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F8FB9831-D708-AC4B-AA04-633FEA3ECE40}" xr6:coauthVersionLast="47" xr6:coauthVersionMax="47" xr10:uidLastSave="{00000000-0000-0000-0000-000000000000}"/>
  <bookViews>
    <workbookView xWindow="11600" yWindow="500" windowWidth="20460" windowHeight="16600" xr2:uid="{00000000-000D-0000-FFFF-FFFF00000000}"/>
  </bookViews>
  <sheets>
    <sheet name="Overview" sheetId="5" r:id="rId1"/>
    <sheet name="Receipts" sheetId="2" r:id="rId2"/>
    <sheet name="Expenses" sheetId="3" r:id="rId3"/>
    <sheet name="Issues of the Grange" sheetId="11" r:id="rId4"/>
    <sheet name="Issues of the Mills" sheetId="6" r:id="rId5"/>
    <sheet name="Stock" sheetId="4" r:id="rId6"/>
    <sheet name="raw data" sheetId="1" r:id="rId7"/>
    <sheet name="Issues of the Grange raw" sheetId="10" r:id="rId8"/>
    <sheet name="Sale of Corn Prices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7" i="5" l="1"/>
  <c r="B176" i="5"/>
  <c r="B174" i="5"/>
  <c r="B173" i="5"/>
  <c r="B172" i="5"/>
  <c r="E70" i="5"/>
  <c r="E69" i="5"/>
  <c r="E68" i="5"/>
  <c r="B171" i="5"/>
  <c r="B151" i="5"/>
  <c r="B166" i="5"/>
  <c r="B165" i="5"/>
  <c r="B162" i="5"/>
  <c r="B164" i="5"/>
  <c r="B163" i="5"/>
  <c r="B159" i="5"/>
  <c r="B158" i="5"/>
  <c r="B156" i="5"/>
  <c r="B157" i="5"/>
  <c r="B155" i="5"/>
  <c r="B148" i="5"/>
  <c r="B149" i="5"/>
  <c r="B150" i="5"/>
  <c r="B147" i="5"/>
  <c r="B144" i="5"/>
  <c r="B14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23" i="5"/>
  <c r="B120" i="5"/>
  <c r="B119" i="5"/>
  <c r="B116" i="5"/>
  <c r="B117" i="5"/>
  <c r="B118" i="5"/>
  <c r="B115" i="5"/>
  <c r="B112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84" i="5"/>
  <c r="B63" i="5"/>
  <c r="E63" i="5"/>
  <c r="F63" i="5"/>
  <c r="B64" i="5"/>
  <c r="E64" i="5"/>
  <c r="F64" i="5"/>
  <c r="B65" i="5"/>
  <c r="E65" i="5"/>
  <c r="F65" i="5"/>
  <c r="B66" i="5"/>
  <c r="E66" i="5"/>
  <c r="F66" i="5"/>
  <c r="B67" i="5"/>
  <c r="E67" i="5"/>
  <c r="F67" i="5"/>
  <c r="F62" i="5"/>
  <c r="E62" i="5"/>
  <c r="B62" i="5"/>
  <c r="B45" i="5"/>
  <c r="B46" i="5"/>
  <c r="B47" i="5"/>
  <c r="B44" i="5"/>
  <c r="B25" i="5"/>
  <c r="C25" i="5" s="1"/>
  <c r="B24" i="5"/>
  <c r="F169" i="2"/>
  <c r="G168" i="2"/>
  <c r="F168" i="2"/>
  <c r="B23" i="5"/>
  <c r="F125" i="3"/>
  <c r="F124" i="3"/>
  <c r="K74" i="3"/>
  <c r="L74" i="3" s="1"/>
  <c r="K75" i="3"/>
  <c r="L75" i="3" s="1"/>
  <c r="L73" i="3"/>
  <c r="K73" i="3"/>
  <c r="L68" i="3"/>
  <c r="K68" i="3"/>
  <c r="L58" i="3"/>
  <c r="L59" i="3"/>
  <c r="L60" i="3"/>
  <c r="L61" i="3"/>
  <c r="L62" i="3"/>
  <c r="L63" i="3"/>
  <c r="L64" i="3"/>
  <c r="L57" i="3"/>
  <c r="K58" i="3"/>
  <c r="K59" i="3"/>
  <c r="K60" i="3"/>
  <c r="K61" i="3"/>
  <c r="K62" i="3"/>
  <c r="K63" i="3"/>
  <c r="K64" i="3"/>
  <c r="K57" i="3"/>
  <c r="K51" i="3"/>
  <c r="K52" i="3"/>
  <c r="K53" i="3"/>
  <c r="K50" i="3"/>
  <c r="L42" i="3"/>
  <c r="L43" i="3"/>
  <c r="L44" i="3"/>
  <c r="L41" i="3"/>
  <c r="L39" i="3"/>
  <c r="L38" i="3"/>
  <c r="K36" i="3"/>
  <c r="K37" i="3"/>
  <c r="K38" i="3"/>
  <c r="K39" i="3"/>
  <c r="K40" i="3"/>
  <c r="K41" i="3"/>
  <c r="K42" i="3"/>
  <c r="K43" i="3"/>
  <c r="K44" i="3"/>
  <c r="K45" i="3"/>
  <c r="K46" i="3"/>
  <c r="K35" i="3"/>
  <c r="L23" i="3"/>
  <c r="L24" i="3"/>
  <c r="L25" i="3"/>
  <c r="L26" i="3"/>
  <c r="L27" i="3"/>
  <c r="L28" i="3"/>
  <c r="L29" i="3"/>
  <c r="L30" i="3"/>
  <c r="L22" i="3"/>
  <c r="K23" i="3"/>
  <c r="K24" i="3"/>
  <c r="K25" i="3"/>
  <c r="K26" i="3"/>
  <c r="K27" i="3"/>
  <c r="K28" i="3"/>
  <c r="K29" i="3"/>
  <c r="K30" i="3"/>
  <c r="K22" i="3"/>
  <c r="L5" i="3"/>
  <c r="L6" i="3"/>
  <c r="L7" i="3"/>
  <c r="L8" i="3"/>
  <c r="L9" i="3"/>
  <c r="L10" i="3"/>
  <c r="L11" i="3"/>
  <c r="L4" i="3"/>
  <c r="K5" i="3"/>
  <c r="K6" i="3"/>
  <c r="K7" i="3"/>
  <c r="K8" i="3"/>
  <c r="K9" i="3"/>
  <c r="K10" i="3"/>
  <c r="K11" i="3"/>
  <c r="K4" i="3"/>
  <c r="G123" i="3"/>
  <c r="F123" i="3"/>
  <c r="F122" i="3"/>
  <c r="T96" i="4"/>
  <c r="T95" i="4"/>
  <c r="T92" i="4"/>
  <c r="T91" i="4"/>
  <c r="T90" i="4"/>
  <c r="O91" i="4"/>
  <c r="O90" i="4"/>
  <c r="T80" i="4"/>
  <c r="T78" i="4"/>
  <c r="O78" i="4"/>
  <c r="T65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44" i="4"/>
  <c r="O45" i="4"/>
  <c r="O48" i="4"/>
  <c r="O51" i="4"/>
  <c r="O52" i="4"/>
  <c r="O53" i="4"/>
  <c r="O55" i="4"/>
  <c r="O57" i="4"/>
  <c r="O59" i="4"/>
  <c r="O60" i="4"/>
  <c r="O61" i="4"/>
  <c r="O62" i="4"/>
  <c r="O44" i="4"/>
  <c r="T31" i="4"/>
  <c r="T12" i="4"/>
  <c r="T14" i="4"/>
  <c r="T15" i="4"/>
  <c r="T18" i="4"/>
  <c r="T19" i="4"/>
  <c r="T21" i="4"/>
  <c r="T22" i="4"/>
  <c r="T23" i="4"/>
  <c r="T24" i="4"/>
  <c r="T25" i="4"/>
  <c r="T26" i="4"/>
  <c r="T7" i="4"/>
  <c r="O12" i="4"/>
  <c r="O14" i="4"/>
  <c r="O15" i="4"/>
  <c r="O18" i="4"/>
  <c r="O19" i="4"/>
  <c r="O21" i="4"/>
  <c r="O23" i="4"/>
  <c r="O26" i="4"/>
  <c r="O27" i="4"/>
  <c r="O7" i="4"/>
  <c r="T39" i="4"/>
  <c r="T36" i="4"/>
  <c r="T35" i="4"/>
  <c r="R96" i="4"/>
  <c r="R92" i="4"/>
  <c r="R80" i="4"/>
  <c r="R65" i="4"/>
  <c r="R39" i="4"/>
  <c r="R31" i="4"/>
  <c r="R78" i="4"/>
  <c r="R95" i="4"/>
  <c r="R91" i="4"/>
  <c r="R90" i="4"/>
  <c r="R62" i="4"/>
  <c r="R61" i="4"/>
  <c r="H61" i="4"/>
  <c r="C61" i="4"/>
  <c r="R37" i="4"/>
  <c r="R55" i="4"/>
  <c r="C55" i="4"/>
  <c r="H55" i="4"/>
  <c r="R48" i="4"/>
  <c r="R45" i="4"/>
  <c r="R44" i="4"/>
  <c r="R26" i="4"/>
  <c r="R23" i="4"/>
  <c r="R21" i="4"/>
  <c r="R19" i="4"/>
  <c r="R18" i="4"/>
  <c r="R15" i="4"/>
  <c r="R14" i="4"/>
  <c r="R12" i="4"/>
  <c r="R7" i="4"/>
  <c r="G118" i="2"/>
  <c r="F118" i="2"/>
  <c r="J35" i="4"/>
  <c r="O15" i="11"/>
  <c r="O16" i="11"/>
  <c r="O17" i="11"/>
  <c r="O18" i="11"/>
  <c r="O19" i="11"/>
  <c r="O14" i="11"/>
  <c r="N15" i="11"/>
  <c r="N16" i="11"/>
  <c r="N17" i="11"/>
  <c r="N18" i="11"/>
  <c r="N19" i="11"/>
  <c r="N14" i="11"/>
  <c r="L15" i="11"/>
  <c r="L16" i="11"/>
  <c r="L17" i="11"/>
  <c r="L18" i="11"/>
  <c r="L19" i="11"/>
  <c r="L14" i="11"/>
  <c r="K15" i="11"/>
  <c r="K16" i="11"/>
  <c r="K17" i="11"/>
  <c r="K18" i="11"/>
  <c r="K19" i="11"/>
  <c r="K14" i="11"/>
  <c r="E15" i="11"/>
  <c r="E16" i="11"/>
  <c r="E17" i="11"/>
  <c r="E18" i="11"/>
  <c r="E19" i="11"/>
  <c r="J17" i="11"/>
  <c r="I17" i="11"/>
  <c r="J16" i="11"/>
  <c r="I16" i="11"/>
  <c r="E14" i="11"/>
  <c r="J14" i="11"/>
  <c r="B15" i="11"/>
  <c r="B16" i="11"/>
  <c r="B17" i="11"/>
  <c r="B18" i="11"/>
  <c r="B19" i="11"/>
  <c r="B14" i="11"/>
  <c r="I5" i="11"/>
  <c r="I3" i="11"/>
  <c r="I4" i="11"/>
  <c r="I6" i="11"/>
  <c r="I7" i="11"/>
  <c r="I2" i="11"/>
  <c r="G3" i="11"/>
  <c r="G4" i="11"/>
  <c r="G5" i="11"/>
  <c r="G6" i="11"/>
  <c r="G7" i="11"/>
  <c r="G2" i="11"/>
  <c r="J28" i="4"/>
  <c r="C26" i="4"/>
  <c r="I23" i="4"/>
  <c r="J23" i="4"/>
  <c r="C23" i="4"/>
  <c r="J22" i="4"/>
  <c r="I22" i="4"/>
  <c r="I21" i="4"/>
  <c r="C21" i="4"/>
  <c r="I20" i="4"/>
  <c r="I19" i="4"/>
  <c r="C19" i="4"/>
  <c r="J18" i="4"/>
  <c r="J15" i="4"/>
  <c r="C14" i="4"/>
  <c r="C12" i="4"/>
  <c r="G112" i="3"/>
  <c r="G100" i="3"/>
  <c r="F94" i="3"/>
  <c r="F96" i="3" s="1"/>
  <c r="G96" i="3" s="1"/>
  <c r="F88" i="3"/>
  <c r="F90" i="3" s="1"/>
  <c r="G90" i="3" s="1"/>
  <c r="F81" i="3"/>
  <c r="F83" i="3" s="1"/>
  <c r="G83" i="3" s="1"/>
  <c r="F75" i="3"/>
  <c r="F77" i="3" s="1"/>
  <c r="F76" i="3"/>
  <c r="F65" i="3"/>
  <c r="F66" i="3"/>
  <c r="F46" i="3"/>
  <c r="F48" i="3" s="1"/>
  <c r="G48" i="3" s="1"/>
  <c r="F32" i="3"/>
  <c r="G33" i="3" s="1"/>
  <c r="F14" i="3"/>
  <c r="F16" i="3" s="1"/>
  <c r="G16" i="3" s="1"/>
  <c r="F162" i="2"/>
  <c r="F163" i="2"/>
  <c r="F164" i="2"/>
  <c r="F158" i="2"/>
  <c r="F155" i="2"/>
  <c r="G156" i="2" s="1"/>
  <c r="F148" i="2"/>
  <c r="F147" i="2"/>
  <c r="F149" i="2" s="1"/>
  <c r="G39" i="2"/>
  <c r="F34" i="2"/>
  <c r="F36" i="2" s="1"/>
  <c r="F35" i="2"/>
  <c r="F28" i="2"/>
  <c r="G29" i="2" s="1"/>
  <c r="F17" i="2"/>
  <c r="F16" i="2"/>
  <c r="F15" i="2"/>
  <c r="F11" i="2"/>
  <c r="F13" i="2" s="1"/>
  <c r="G13" i="2" s="1"/>
  <c r="G6" i="2"/>
  <c r="F165" i="2" l="1"/>
  <c r="G165" i="2" s="1"/>
  <c r="F71" i="3"/>
  <c r="G71" i="3" s="1"/>
  <c r="G77" i="3"/>
  <c r="G149" i="2"/>
  <c r="F159" i="2"/>
  <c r="G159" i="2" s="1"/>
  <c r="G36" i="2"/>
  <c r="G17" i="2"/>
  <c r="F20" i="2"/>
  <c r="G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C13" authorId="0" shapeId="0" xr:uid="{CF1B4714-36A4-B747-A4BB-3D74ABEBE19D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Issue of the grange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D4" authorId="0" shapeId="0" xr:uid="{27F26E9D-A03D-7C4D-9CB8-0023ABA9A3D0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strays that the seem to have added to their own stock?</t>
        </r>
      </text>
    </comment>
    <comment ref="E4" authorId="0" shapeId="0" xr:uid="{06B844B5-9FBF-E944-8525-CCE06E8CC022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herbage = a type of customary payment to the lord; hence an addition to the stock</t>
        </r>
      </text>
    </comment>
  </commentList>
</comments>
</file>

<file path=xl/sharedStrings.xml><?xml version="1.0" encoding="utf-8"?>
<sst xmlns="http://schemas.openxmlformats.org/spreadsheetml/2006/main" count="1938" uniqueCount="794">
  <si>
    <t>Heading</t>
  </si>
  <si>
    <t>Sentence</t>
  </si>
  <si>
    <t>Total in Pounds</t>
  </si>
  <si>
    <t>Pounds</t>
  </si>
  <si>
    <t>Shillings</t>
  </si>
  <si>
    <t>Pence</t>
  </si>
  <si>
    <t>Corn</t>
  </si>
  <si>
    <t>Total Quarters Except 1</t>
  </si>
  <si>
    <t>Total Bushels Except 1</t>
  </si>
  <si>
    <t>Total Corn Cross-Check</t>
  </si>
  <si>
    <t>Total Corn Manorial Account</t>
  </si>
  <si>
    <t>Corn Quantity Error</t>
  </si>
  <si>
    <t>Quarters 1</t>
  </si>
  <si>
    <t>Bushels 1</t>
  </si>
  <si>
    <t>Quarters 2</t>
  </si>
  <si>
    <t>Bushels 2</t>
  </si>
  <si>
    <t>Quarters 3</t>
  </si>
  <si>
    <t>Bushels 3</t>
  </si>
  <si>
    <t>shilling a quarter 1</t>
  </si>
  <si>
    <t>pence a quarter 1</t>
  </si>
  <si>
    <t>shilling a quarter 2</t>
  </si>
  <si>
    <t>pence a quarter 2</t>
  </si>
  <si>
    <t>shilling a quarter 3</t>
  </si>
  <si>
    <t>pence a quarter 3</t>
  </si>
  <si>
    <t>shilling a quarter 4</t>
  </si>
  <si>
    <t>pence a quarter 4</t>
  </si>
  <si>
    <t>shilling a bushel 1</t>
  </si>
  <si>
    <t>pence a bushel 1</t>
  </si>
  <si>
    <t>shilling a bushel 2</t>
  </si>
  <si>
    <t>pence a bushel 2</t>
  </si>
  <si>
    <t>shilling a bushel 3</t>
  </si>
  <si>
    <t>pence a bushel 3</t>
  </si>
  <si>
    <t>shilling a bushel 4</t>
  </si>
  <si>
    <t>pence a bushel 4</t>
  </si>
  <si>
    <t>Arrears</t>
  </si>
  <si>
    <t>Nicholas, bailiff, and William Bouelych', reeve, render account for £68 12 shilling 7.25pence of arrears from the previous year.</t>
  </si>
  <si>
    <t>All delivered to Sir Geoffrey, treasurer of Wolvesey.</t>
  </si>
  <si>
    <t>They are quit.</t>
  </si>
  <si>
    <t>Rents of assize</t>
  </si>
  <si>
    <t>The same render account for £6 13 shilling 11.25pence for rents of assize at Christmas.</t>
  </si>
  <si>
    <t>£7 9 shilling 1pence at Easter (22 April).</t>
  </si>
  <si>
    <t>£6 13 shilling 11.25pence at St John the Baptist (24 June).</t>
  </si>
  <si>
    <t>£11 10 shilling 110.75pence1 at Michaelmas (29 September).</t>
  </si>
  <si>
    <t>Total, £32 7 shilling 10.25pence</t>
  </si>
  <si>
    <t>Increment</t>
  </si>
  <si>
    <t>The same render account for 1pence for the increment of rent from Robert Faber to have 1 plot of land, 12 feet long and 5 feet wide, in the vill of Hambledon.</t>
  </si>
  <si>
    <t>Total, 1pence Total of rents with increment, £32 7 shilling 11.25pence</t>
  </si>
  <si>
    <t>Quittances</t>
  </si>
  <si>
    <t>In quittance of 1 reeve for the year 2 shilling 6pence.</t>
  </si>
  <si>
    <t>1 bartoner for the year 2 shilling 6pence.</t>
  </si>
  <si>
    <t>3 ploughmen for the year 5 shilling.</t>
  </si>
  <si>
    <t>2 shepherds and 1 smith for the year 5 shilling.</t>
  </si>
  <si>
    <t>1 cowherd for the year 1 shilling 8pence.</t>
  </si>
  <si>
    <t>1 swineherd for the year 1 shilling 8pence Total, 18 shilling 4pence</t>
  </si>
  <si>
    <t>Defaults of rent</t>
  </si>
  <si>
    <t>In default of the wood which Herbert' de Chidden' holds drawn into demesne, 1 shilling 6pence for the year.</t>
  </si>
  <si>
    <t>the land of Shortelond', 6pence for the year.</t>
  </si>
  <si>
    <t>1 grove of Vineys drawn into demesne, 6pence for the year.</t>
  </si>
  <si>
    <t>the wood of Mannely which is in demesne through the death of the holder 6 shilling Total, 8 shilling 6pence</t>
  </si>
  <si>
    <t>Quittances and defaults</t>
  </si>
  <si>
    <t>Quittances and defaults, £1 6 shilling 10pence</t>
  </si>
  <si>
    <t>Total of rents remaining</t>
  </si>
  <si>
    <t>Total of rents remaining, £31 1 shilling 1.25pence</t>
  </si>
  <si>
    <t>Annual recognizance</t>
  </si>
  <si>
    <t>The same render account for 3pence from Walter ate Greve for recognizance.</t>
  </si>
  <si>
    <t>3pence from Stephen Blaysut to be able to remain in the hundred of East Meon.</t>
  </si>
  <si>
    <t>3pence from William le Boys for annual recognizance.</t>
  </si>
  <si>
    <t>3pence from Henry Faber for the same.</t>
  </si>
  <si>
    <t>4pence from Adam le Cauz for the same.</t>
  </si>
  <si>
    <t>3pence from Robert Buly for the same.</t>
  </si>
  <si>
    <t>3pence from William Tassor' for the same and henceforth nothing from the same because he is dead.</t>
  </si>
  <si>
    <t>6pence from Adam Cattefan for the same.</t>
  </si>
  <si>
    <t>3pence from Thomas Sharpe for the same.</t>
  </si>
  <si>
    <t>6pence from Roger Boys for the same.</t>
  </si>
  <si>
    <t>3pence from Jordan Boys for the same.</t>
  </si>
  <si>
    <t>Total, 3 shilling 4pence</t>
  </si>
  <si>
    <t>Cumin</t>
  </si>
  <si>
    <t>The same render account for 1 lb of cumin from William Sicator' for the year.</t>
  </si>
  <si>
    <t>delivered to Wolvesey.</t>
  </si>
  <si>
    <t>Wax</t>
  </si>
  <si>
    <t>The same render account for .5 lb of wax from Philip Visard to have maintenance.</t>
  </si>
  <si>
    <t>.5 lb from William le Ysmongar for the same.</t>
  </si>
  <si>
    <t>.5 lb from Thomas Messor for the same.</t>
  </si>
  <si>
    <t>Total, 1.5 lb.</t>
  </si>
  <si>
    <t>Delivered to Wolvesey.</t>
  </si>
  <si>
    <t>Talents</t>
  </si>
  <si>
    <t>The same render account for 1 talent received from the vicar of Hambledon.</t>
  </si>
  <si>
    <t xml:space="preserve">Issues of the manor </t>
  </si>
  <si>
    <t>{henceforth mention should be made of the number of animals}The same render account for £1 18 shilling 4.5pence from pannage of pigs within this year.</t>
  </si>
  <si>
    <t>£1 1 shilling from foreign pannage.</t>
  </si>
  <si>
    <t>£1 8 shilling 6pence from pannage in the park.</t>
  </si>
  <si>
    <t>nothing from William de Chidden from now on because he does the labour service for part of his land.</t>
  </si>
  <si>
    <t>2 shilling 6pence from Robert Cocus for release from the labour service for the land of Dimmyng'.</t>
  </si>
  <si>
    <t>1 shilling 8pence from the same Robert for the labour service of the land which belonged to Richard Luce.</t>
  </si>
  <si>
    <t>6pence from the relict of Philip de Furnaeaus for release from the labour service for the land which belonged to Walter Elyot.</t>
  </si>
  <si>
    <t>2 shilling from cablish sold in the great wood.</t>
  </si>
  <si>
    <t>nothing from underwood in la Brok' this year.</t>
  </si>
  <si>
    <t>3 shilling from the men of Chidden for the pasturage in Eldecroft and answering elsewhere for 5 sheep for the same pasturage.</t>
  </si>
  <si>
    <t>3 shilling 3.5pence from pinfold this year.</t>
  </si>
  <si>
    <t>3 shilling from the men of Pantolf' for pasturage.</t>
  </si>
  <si>
    <t>4 shilling 9.5pence for the pasturage in la Holte sold this year.</t>
  </si>
  <si>
    <t>6 shilling 8pence for the pasturage in the enclosure sold wholesale in winter.</t>
  </si>
  <si>
    <t>£2 7 shilling from the pasturage sold there in summer because the meadow was mown.</t>
  </si>
  <si>
    <t>£2 3 shilling 1pence from 4 oxen, at 11 shilling each for 3, and 10 shilling 1pence for 1.</t>
  </si>
  <si>
    <t>£1 2 shilling 6pence from 3 old cows sold.</t>
  </si>
  <si>
    <t>1 shilling from 1 feeble plough-horse sold.</t>
  </si>
  <si>
    <t>nothing from the pasturage in la Rugg' this year because it was pastured with the lord's sheep.</t>
  </si>
  <si>
    <t>1 shilling 6pence from the pasturage above the church sold.</t>
  </si>
  <si>
    <t>1 shilling from the pasturage in la Brok' sold in winter.</t>
  </si>
  <si>
    <t>5 shilling from the pasturage sold there in summer.</t>
  </si>
  <si>
    <t>£1 4 shilling from the pasturage of 24 animals agisting in the park sold this year.</t>
  </si>
  <si>
    <t>6 shilling from 6 feeble late-born calves sold.</t>
  </si>
  <si>
    <t>£1 from 16 wethers sold at Martinmas, at 1 shilling 3pence each.</t>
  </si>
  <si>
    <t>13 shilling from 14 ewes sold at Martinmas.</t>
  </si>
  <si>
    <t>9 shilling 6pence from 38 feeble lambs sold.</t>
  </si>
  <si>
    <t>£3 from 19 pigs, at 3 shilling 2pence each, less 2pence in all.</t>
  </si>
  <si>
    <t>10pence from the hide sold of 1 plough-horse in murrain.</t>
  </si>
  <si>
    <t>2pence from the hide sold of 1 yearling.</t>
  </si>
  <si>
    <t>3.5pence from the hides sold of 2 calves dead from murrain.</t>
  </si>
  <si>
    <t>14 shilling 6pence from the skins of 24 wethers, 1 ram and 32 ewes dead from murrain before shearing, at 3pence a skin.</t>
  </si>
  <si>
    <t>1 shilling 6pence from the skins sold wholesale of 12 wethers, 7 ewes and 14 hoggs dead from murrain after shearing.</t>
  </si>
  <si>
    <t>5 shilling 6.5pence from the skins sold of 57 lambs dead from murrain before weaning, at 1pence a skin, and of 19 rotted sheep, at .5pence a skin.</t>
  </si>
  <si>
    <t>nothing from coarse wool and lamb's-wool this year because it was sent to Wolvesey.</t>
  </si>
  <si>
    <t>6 shilling 1.5pence from 7 cloves of wool locks sold, at 10.5pence a clove.</t>
  </si>
  <si>
    <t>5 shilling from 17 cloves of rowen cheese sold.</t>
  </si>
  <si>
    <t>£3 8 shilling from 8.5 weys of cheese sold, at 8 shilling a wey.</t>
  </si>
  <si>
    <t>7 shilling 10pence from 1 wey 5 cloves of butter sold.</t>
  </si>
  <si>
    <t>3 shilling 2pence from 38 hens from churchscot sold.</t>
  </si>
  <si>
    <t>10 shilling from 5 quarters of salt sold.</t>
  </si>
  <si>
    <t>1 shilling 3pence from 15 workers who are bound to thresh 2 bushels of wheat and 4 bushels of oats.</t>
  </si>
  <si>
    <t>oats, wheat</t>
  </si>
  <si>
    <t>nothing from labour services sold this year.</t>
  </si>
  <si>
    <t>nothing from the turbary on la Crith this year.</t>
  </si>
  <si>
    <t>nothing from the pasturage beside Parkgate this year for the lord's animals.</t>
  </si>
  <si>
    <t>3 shilling 9pence from dairy produce sold at the audit.</t>
  </si>
  <si>
    <t>£17 2 shilling 6pence from 39 animals sold which were bought to agist in the pasture.</t>
  </si>
  <si>
    <t>Total, £42 3 shilling 4pence</t>
  </si>
  <si>
    <t>Farm of the mill</t>
  </si>
  <si>
    <t>The same render account for £1 16 shilling for the farm of the mill this year.</t>
  </si>
  <si>
    <t>Total, £1 16 shilling</t>
  </si>
  <si>
    <t>Sale of corn</t>
  </si>
  <si>
    <t>The same render account for £12 14 shilling 3pence from 45 quarters 6 bushels of wheat sold, at 5 shilling a quarters for 20 quarters 2 bushels, and 6 shilling a quarters for 25.5 quarters.</t>
  </si>
  <si>
    <t>wheat</t>
  </si>
  <si>
    <t>£1 15 shilling from 13 quarters 1 bushels of curall sold, at 2 shilling 8pence a quarters.</t>
  </si>
  <si>
    <t>curall</t>
  </si>
  <si>
    <t>£4 13 shilling from 23 quarters 2 bushels of barley sold, at 4 shilling a quarters.</t>
  </si>
  <si>
    <t>barley</t>
  </si>
  <si>
    <t>£3 5 shilling 9.5pence from 31.5 quarters of oats sold, at 2 shilling a quarters for 14 quarters 6 bushels, and 2 shilling 2pence a quarters for 16 quarters 6 bushels.</t>
  </si>
  <si>
    <t>oats</t>
  </si>
  <si>
    <t>12 shilling 6pence from 5 quarters of peas sold, at 2 shilling 6pence a quarters.</t>
  </si>
  <si>
    <t>peas</t>
  </si>
  <si>
    <t>16 shilling 6pence from 8 quarters of vetches sold, at 2 shilling a quarters.</t>
  </si>
  <si>
    <t>vetches</t>
  </si>
  <si>
    <t>3 shilling 4.5pence from 4.5 bushels of wheat sold at the audit.</t>
  </si>
  <si>
    <t>2 shilling 9pence from 5.5 bushels of barley sold at the audit.</t>
  </si>
  <si>
    <t>Total, £24 3 shilling 2pence</t>
  </si>
  <si>
    <t>Entry and marriage fines with tithingpenny</t>
  </si>
  <si>
    <t>The same render account for 5 shilling from the tithing of Chidden for tithingpenny at the hundred-court of Martinmas (11 November).</t>
  </si>
  <si>
    <t>5 shilling from the tithing of Denmead for the same.</t>
  </si>
  <si>
    <t>5 shilling from the tithing of la Lygh' for the same.</t>
  </si>
  <si>
    <t>5 shilling from the tithing of Gludden for the same.</t>
  </si>
  <si>
    <t>£1 from the same tithings at the hundred-court of Hockday (1 May).</t>
  </si>
  <si>
    <t>5 shilling from the relict of Thomas le Cog' to retain 1 cotland which belonged to her husband.</t>
  </si>
  <si>
    <t>10 shilling from Adam Coker to have .5 virgate of land which belonged to Stephen his father.</t>
  </si>
  <si>
    <t>2 shilling from William Bouelych' to have 2 acres of land by surrender of Adam Bythewod'.</t>
  </si>
  <si>
    <t>1 shilling from John Pleyfot to have 1 plot of land in the vill of Hambledon by surrender of Walter le Grevere.</t>
  </si>
  <si>
    <t>1 shilling from Robert Faber to have 1 plot of land, 12 feet long and 5 feet wide, in the same vill.</t>
  </si>
  <si>
    <t>4 shilling from Robert le Bole to have 8 acres of land by surrender of William atte Oke.</t>
  </si>
  <si>
    <t>1 shilling from Walter Rykeby for 1 plot of land, 12 feet long and 10 feet wide, for building in the market.</t>
  </si>
  <si>
    <t>10 shilling from Peter ate Putte to have Juliana le Burgeys with her lanpence Total, £3 14 shilling</t>
  </si>
  <si>
    <t>Perquisites</t>
  </si>
  <si>
    <t>The same render account for 2 shilling from Thomas ate Brok' for trespass of wood.</t>
  </si>
  <si>
    <t>2 shilling from Adam Grandel for keeping the park badly.</t>
  </si>
  <si>
    <t>6 shilling1 8pence from William Jolif for keeping the corn badly.</t>
  </si>
  <si>
    <t>£3 5 shilling 9pence from other small perquisites.</t>
  </si>
  <si>
    <t>Total, £3 16 shilling 5pence Total of both, £7 10 shilling 5pence</t>
  </si>
  <si>
    <t>Stallage</t>
  </si>
  <si>
    <t>The same render account for 6pence from Joan le Specer and Adam Blachat for holding 1 stall for the year.</t>
  </si>
  <si>
    <t>6 shilling2 from Walter Rykeby for holding the other stall.</t>
  </si>
  <si>
    <t>2 shilling 2pence from other small stal1 shilling Total, 3 shilling 2pence</t>
  </si>
  <si>
    <t>Total of all receipts</t>
  </si>
  <si>
    <t>Total of all receipts, £107 6.25pence</t>
  </si>
  <si>
    <t xml:space="preserve">Cost of ploughs </t>
  </si>
  <si>
    <t>(henceforth the ploughs of the customary tenants should not be taken if a profit is able to be made).</t>
  </si>
  <si>
    <t>.</t>
  </si>
  <si>
    <t>iron and steel bought for 3 ploughs for the year 11 shilling.</t>
  </si>
  <si>
    <t>3 plough feet bought 1 shilling 3pence.</t>
  </si>
  <si>
    <t>2 ploughshares bought 1 shilling 6pence.</t>
  </si>
  <si>
    <t>5 ploughs made anew and others mended at various times, with timber felled and trimmed for the same, 2 shilling 3pence.</t>
  </si>
  <si>
    <t>2 pairs of wheels bought 6pence.</t>
  </si>
  <si>
    <t>3 harrows made anew 6pence.</t>
  </si>
  <si>
    <t>fitting ploughs with iron tyres 1.5pence.</t>
  </si>
  <si>
    <t>shoeing 6 plough-horses hauling ploughs at the time of both sowings and hauling dung when it was necessary until Lammas, because thereafter they were at the church, 5 shilling 6pence.</t>
  </si>
  <si>
    <t>32 ploughmen in winter and 32 in Lent, £1 according to custom, of whom each ploughman ploughed and harrowed 1 acre in winter and 1 acre in Lent.</t>
  </si>
  <si>
    <t>stipend of 3 ploughmen from Michaelmas until Lammas, because thereafter they were at the church, 6 shilling 9pence.</t>
  </si>
  <si>
    <t>1 plough-horse bought 12 shilling 3pence Total, £3 1 shilling 7.5pence</t>
  </si>
  <si>
    <t>Purchase of corn</t>
  </si>
  <si>
    <t>In 6.5 quarters of barley bought for the liveries of the manorial servants 17 shilling 4pence, at 2 shilling 8pence a quarters.</t>
  </si>
  <si>
    <t>Total, 17 shilling 4pence</t>
  </si>
  <si>
    <t>Cost of carts</t>
  </si>
  <si>
    <t>in 1 pair of wheels made anew from the lord's timber 9pence.</t>
  </si>
  <si>
    <t>mending 1 old binding and putting it on the said wheels with the stipend of the smith 2 shilling 6pence.</t>
  </si>
  <si>
    <t>clouts, nails and grease bought 1 shilling 9pence.</t>
  </si>
  <si>
    <t>mending the axles of the cart at various times 8pence, on account of the manor of Kilmeston.</t>
  </si>
  <si>
    <t>shoeing 2 cart-horses 3 shilling 6pence.</t>
  </si>
  <si>
    <t>2 collars bought 10pence.</t>
  </si>
  <si>
    <t>2 pairs of traces bought 9pence.</t>
  </si>
  <si>
    <t>1 rope bought for the cart 1 shilling 2pence.</t>
  </si>
  <si>
    <t>2 halters bought 1.5pence.</t>
  </si>
  <si>
    <t>stipend of 1 carter from Michaelmas until Lammas, because thereafter he was at the church, 2 shilling 3pence Total, 14 shilling 3.5pence</t>
  </si>
  <si>
    <t>Repair of buildings</t>
  </si>
  <si>
    <t>In 2,000 slates bought 3 shilling 4pence.</t>
  </si>
  <si>
    <t>re-roofing the hall, lord's chamber, clerks' chamber and kitchen, which had been unroofed several times by the wind, 10 shilling 6pence.</t>
  </si>
  <si>
    <t>nails and pegs bought for the same 8pence.</t>
  </si>
  <si>
    <t>re-roofing the barn and other buildings in places 4 shilling 4pence.</t>
  </si>
  <si>
    <t>laying 100 shingles in places on the barn with nails bought for the same 5pence.</t>
  </si>
  <si>
    <t>building anew 1 palisade between the hall and kitchen 2 shilling 8pence.</t>
  </si>
  <si>
    <t>building 1 palisade between the hall and dairy and 1 new garden-gate 2 shilling 2pence.</t>
  </si>
  <si>
    <t>felling and sawing timber for the same 9pence.</t>
  </si>
  <si>
    <t>mending the byre in part and making anew a fodder-rack for the byre 3 shilling 6pence.</t>
  </si>
  <si>
    <t>mending the fodder-rack and manger in the stable 6pence.</t>
  </si>
  <si>
    <t>making 1 window in the kitchen with hooks and hinges for the same 5pence.</t>
  </si>
  <si>
    <t>plastering the walls of the bailiff's room and knights' chamber 10pence Total, £1 10 shilling 1pence</t>
  </si>
  <si>
    <t>Cost of the park</t>
  </si>
  <si>
    <t>In mending 2 gates in the park 2pence.</t>
  </si>
  <si>
    <t>making 2 furlongs 2 perches of ditch in the park for the pasture for the calves 10 shilling 3pence, at 1.5pence a perch.</t>
  </si>
  <si>
    <t>completing the hedge along the said ditch 5 shilling 1.5pence, at .75pence a perch.</t>
  </si>
  <si>
    <t>closing the gaps in the hedge along 8 furlongs 30 perches £1 1 shilling 10.5pence, at .75pence a perch.</t>
  </si>
  <si>
    <t>Total, £1 17 shilling 5pence</t>
  </si>
  <si>
    <t>Dairy</t>
  </si>
  <si>
    <t>In 1 quarters of salt bought 2 shilling.</t>
  </si>
  <si>
    <t>woollen and linen cloth bought 4pence.</t>
  </si>
  <si>
    <t>a press bought 3pence.</t>
  </si>
  <si>
    <t>earthenware pots and pans bought 4.5pence.</t>
  </si>
  <si>
    <t>2 cheese moulds bought 6pence.</t>
  </si>
  <si>
    <t>mending the utensils of the dairy 4pence.</t>
  </si>
  <si>
    <t>15 ells of canvas bought 3 shilling 1.5pence.</t>
  </si>
  <si>
    <t>making sacks with thread for the same and packing the said wool 4pence.</t>
  </si>
  <si>
    <t>stipend of 1 dairymaid from the Purification (2 February) until Michaelmas (29 September) I s. 6pence.</t>
  </si>
  <si>
    <t>80 lambs bought before shearing £21 shilling 4pence, at 5pence each for 48, and 8pence each for 32..</t>
  </si>
  <si>
    <t>castrating piglets 4pence.</t>
  </si>
  <si>
    <t>grease and vinegar bought for greasing sheep 16 shilling 2pence.</t>
  </si>
  <si>
    <t>stipend of 1 keeper of lambs for' year, 2 shilling this year.</t>
  </si>
  <si>
    <t>Total, £3 8 shilling 7pence</t>
  </si>
  <si>
    <t>Sheepcote</t>
  </si>
  <si>
    <t>In roofing part of the sheepcote 1 shilling.</t>
  </si>
  <si>
    <t>making anew 1 door to the ewe-house with nooks and hinges for the same 9.25pence.</t>
  </si>
  <si>
    <t>a fodder-rack and cratch made for the ewe-house 9pence Total, 2 shilling 6.25pence</t>
  </si>
  <si>
    <t>Cost of hay</t>
  </si>
  <si>
    <t>In fences for an enclosure and enclosing the meadow 3 shilling 1.5pence.</t>
  </si>
  <si>
    <t>mowing the whole 2of the.r meadow 10 shilling.</t>
  </si>
  <si>
    <t>tossing and spreading the hay and making haycocks therefrom Total, 15 shilling 1.5pence</t>
  </si>
  <si>
    <t>Threshing</t>
  </si>
  <si>
    <t>In threshing and winnowing 68 quarters of wheat and curall by piece-work 15 shilling 7pence, at 2.75pence a quarters.</t>
  </si>
  <si>
    <t>curall, wheat</t>
  </si>
  <si>
    <t>threshing and winnowing 55 quarters 2 bushels of barley, 4 quarters of peas and 7 quarters of vetches by piece-work 9 shilling 7.5pence, at 1.75pence a quarters.</t>
  </si>
  <si>
    <t>barley, vetches, peas</t>
  </si>
  <si>
    <t>threshing and winnowing 44 quarters of oats by piece-work 3 shilling 2.5pence, at 1.75pence per 2 quarters.</t>
  </si>
  <si>
    <t>5 sacks bought 2 shilling 6pence Total, £1 10 shilling 11pence</t>
  </si>
  <si>
    <t>Harvest-time</t>
  </si>
  <si>
    <t>In bread bought for 974 men at 15 boon-works with the carters and customary tenants who reaped and bound 222 acres of wheat, 107 acres of barley and 414 acres of oats as they lie £1 19 shilling 8pence.</t>
  </si>
  <si>
    <t>barley, oats, wheat</t>
  </si>
  <si>
    <t>relish for the same 12 shilling.</t>
  </si>
  <si>
    <t>allowance of food for the reeve and bartoner at harvest-time 1 shilling 8pence Total, £2 13 shilling 4pence</t>
  </si>
  <si>
    <t>Cost of the mill</t>
  </si>
  <si>
    <t>In iron bought for mending the spindle 8pence Total, 8pence</t>
  </si>
  <si>
    <t>Expenses of the steward</t>
  </si>
  <si>
    <t>In expenses of Simon, clerk, holding the place of the steward at the 2 tourns 9 shilling 6pence Total, 9 shilling 6pence</t>
  </si>
  <si>
    <t>Expenses of the bailiff</t>
  </si>
  <si>
    <t>In expenses of the bailiff for his visits £1 18 shilling.</t>
  </si>
  <si>
    <t>wages of 1 under-servant for the year £2 5 shilling 7.5pence, at 1.5pence a day, because the bailiff did not stay there.</t>
  </si>
  <si>
    <t>Total, £4 3 shilling 7.5pence</t>
  </si>
  <si>
    <t>Purchase of stock</t>
  </si>
  <si>
    <t>In 39 animals bought for pasturing £13 14 shilling 7pence Total, £13 14 shilling 7pence</t>
  </si>
  <si>
    <t>Total of all expenses</t>
  </si>
  <si>
    <t>Total of all expenses, £34 19 shilling 7.25pence</t>
  </si>
  <si>
    <t>And he owes</t>
  </si>
  <si>
    <t>And he owes, £72 l 1pence</t>
  </si>
  <si>
    <t>Cash deliveries</t>
  </si>
  <si>
    <t>Delivered to Sir Geoffrey, treasurer of Wolvesey, by 1 tally, £72.</t>
  </si>
  <si>
    <t>And thus he owes</t>
  </si>
  <si>
    <t>And thus he is quit.</t>
  </si>
  <si>
    <t>Wheat</t>
  </si>
  <si>
    <t>{yield: 4.5-fold less .5 quarters}</t>
  </si>
  <si>
    <t>The same render account for 71 quarters 6 bushels from the whole issue of wheat by struck measure.</t>
  </si>
  <si>
    <t>1.5 quarters from churchscot.</t>
  </si>
  <si>
    <t>Total, 73 quarters 2 bushels</t>
  </si>
  <si>
    <t>Sown over 75 acres which lie in la Garston', Slade and Vyneys, 23 quarters 3.5 bushels.</t>
  </si>
  <si>
    <t>that is, 2.5 bushels an acre.</t>
  </si>
  <si>
    <t>provision of Simon, clerk, for 2 tourns, 6 bushels.</t>
  </si>
  <si>
    <t>provision of the bailiff for his visits, 2 quarters 6 bushels Sold, 45 quarters 6 bushels Sold at the audit, 4.5 bushels</t>
  </si>
  <si>
    <t>Curall</t>
  </si>
  <si>
    <t>The same render account for 13 quarters 1 bushels from the issue of curall by struck measure.</t>
  </si>
  <si>
    <t>all solpence</t>
  </si>
  <si>
    <t>Barley</t>
  </si>
  <si>
    <t>(yield: 4-fold less 3 quarters 2 bushels)</t>
  </si>
  <si>
    <t>The same render account for 69 quarters 2 bushels from the whole issue of barley by struck measure.</t>
  </si>
  <si>
    <t>6 quarters 5 bushels bought.</t>
  </si>
  <si>
    <t>Total, 75 quarters 7 bushels</t>
  </si>
  <si>
    <t>Sown over 33 acres which lie at Parkgate and la Rugg', 20.5 quarters.</t>
  </si>
  <si>
    <t>that is, 5 bushels an acre, less 2 bushels in all.</t>
  </si>
  <si>
    <t>Delivered to 1 park-keeper for the year, 1 quarters according to custom.</t>
  </si>
  <si>
    <t>customary payment to 1 keeper of lambs until the feast of St John the Baptist, 4 bushels Delivered to 1 carter, 6.5 quarters, taking a quarter every 8 weeks.</t>
  </si>
  <si>
    <t>Delivered to 3 ploughmen for the year, 19.5 quarters.</t>
  </si>
  <si>
    <t>Delivered to 1 dairymaid from the purification until Michaelmas, 2 quarters 6.5 bushels, taking a quarter every 12 weeks.</t>
  </si>
  <si>
    <t>Delivered to 1 keeper of lambs from the feast of St John the Baptist until Michaelmas, for 13 weeks, 1 quarters 1 bushels {Henceforth the keeper of lambs should take for 12 weeks} Sold, 23 quarters 2 bushels Sold at the audit, 5.5 bushels</t>
  </si>
  <si>
    <t>Oats</t>
  </si>
  <si>
    <t>(yield: two-fold plus 7 bushels)</t>
  </si>
  <si>
    <t>The same render account for 160 quarters 7 bushels from the whole issue of oats by struck measure.</t>
  </si>
  <si>
    <t>18 quarters by estimation in sheaves.</t>
  </si>
  <si>
    <t>Total, 178 quarters 7 bushels</t>
  </si>
  <si>
    <t>Sown over 131 acres and 1 rood which lie at la Worth', Brechlond' and la Vyneys, 82 quarters.</t>
  </si>
  <si>
    <t>that is, 5 bushels an acre.</t>
  </si>
  <si>
    <t>fodder of 2 cart-horses from Michaelmas until Lammas, because thereafter they were at the church, 19.5 quarters.</t>
  </si>
  <si>
    <t>fodder of 6 plough-horses from Christmas until the Invention of the Cross (3 May), 16 quarters, at 1 bushels a night.</t>
  </si>
  <si>
    <t>fodder of the same when they ploughed after dinner, 6 quarters.</t>
  </si>
  <si>
    <t>Given to oxen by estimation in sheaves, 18 quarters.</t>
  </si>
  <si>
    <t>fodder of the horse of Simon, clerk, for 2 toums, 2 bushels.</t>
  </si>
  <si>
    <t>fodder of the bailiff's horse for his visits, 3 quarters 2 bushels.</t>
  </si>
  <si>
    <t>threshing and winnowing 129 quarters according to custom, 2 quarters 3 bushels, at 1 dish (discum) for 12 bushels, whereof 6 dishes make 1 bushel.</t>
  </si>
  <si>
    <t>Sold, 31.5 quarters.</t>
  </si>
  <si>
    <t>Peas</t>
  </si>
  <si>
    <t>{yield: 4-fold plus 2 bushels)</t>
  </si>
  <si>
    <t>The same render account for 4 quarters 2 bushels from the whole issue of peas by struck measure.</t>
  </si>
  <si>
    <t>1.5 quarters remaining from the previous year in the granary.</t>
  </si>
  <si>
    <t>1 quarters remaining by estimation in the stack.</t>
  </si>
  <si>
    <t>Total, 6 quarters 6 bushels</t>
  </si>
  <si>
    <t>Sown, 2 bushels Sold, 5 quarters.</t>
  </si>
  <si>
    <t>fattening pigs for sale, 1.5 quarters.</t>
  </si>
  <si>
    <t>Vetches</t>
  </si>
  <si>
    <t>{yield: 4-fold}</t>
  </si>
  <si>
    <t>The same render account for 4 quarters 2 bushels from the issue of vetches remaining in the stack from the previous year.</t>
  </si>
  <si>
    <t>4 quarters from this year's issue.</t>
  </si>
  <si>
    <t>Total, 8 quarters 2 bushels All solpence</t>
  </si>
  <si>
    <t>Stock</t>
  </si>
  <si>
    <t>Cart-horses: 2 remain from the previous year.</t>
  </si>
  <si>
    <t>2 remain.</t>
  </si>
  <si>
    <t>Plough-horses: 8 remain from the previous year.</t>
  </si>
  <si>
    <t>1 bought.</t>
  </si>
  <si>
    <t>Total, 9. 1 in murrain.</t>
  </si>
  <si>
    <t>1 solpence Total, 2. 7 remain.</t>
  </si>
  <si>
    <t>Oxen: 26 remain from the previous year.</t>
  </si>
  <si>
    <t>1 from the heriot of Thomas le Cog.</t>
  </si>
  <si>
    <t>5 added from stock.</t>
  </si>
  <si>
    <t>Total, 32. 4 sold.</t>
  </si>
  <si>
    <t>28 remain.</t>
  </si>
  <si>
    <t>Bulls: 2 remain from the previous year.</t>
  </si>
  <si>
    <t>Cows: 21 remain from the previous year.</t>
  </si>
  <si>
    <t>1 from the heriot of Felicia Coker after Calving.</t>
  </si>
  <si>
    <t>Total, 22. 3 sold before calving.</t>
  </si>
  <si>
    <t>19 remain.</t>
  </si>
  <si>
    <t>Steers: 5 remain from the previous year's bullocks.</t>
  </si>
  <si>
    <t>39 bought.</t>
  </si>
  <si>
    <t>Total, 44. 5 added to oxen.</t>
  </si>
  <si>
    <t>39 sold.</t>
  </si>
  <si>
    <t>none remain here.</t>
  </si>
  <si>
    <t>Bullocks: 5 remain from the previous year's yearlings.</t>
  </si>
  <si>
    <t>5 remain, 3 of them male.</t>
  </si>
  <si>
    <t>Yearlings.</t>
  </si>
  <si>
    <t>7 remain from the previous year's calves.</t>
  </si>
  <si>
    <t>1 in murrain.</t>
  </si>
  <si>
    <t>6 remain, 3 of them male.</t>
  </si>
  <si>
    <t>Calves: 15 from the offspring of the said cows because 3 were sterile. 1 in tithe.</t>
  </si>
  <si>
    <t>2 in murrain.</t>
  </si>
  <si>
    <t>6 solpence Total, 9. 6 remain, 3 of them male.</t>
  </si>
  <si>
    <t>Wethers: 354 remain from the previous year.</t>
  </si>
  <si>
    <t>77 added from stock.</t>
  </si>
  <si>
    <t>3 from the men of Chidden before shearing, and they will give 2 in another year.</t>
  </si>
  <si>
    <t>Total, 434. 16 sold at Martinmas.</t>
  </si>
  <si>
    <t>24 in murrain before shearing, 12 after shearing.</t>
  </si>
  <si>
    <t>Total, 52. 382 remain.</t>
  </si>
  <si>
    <t>Rams: 13 remain from the previous year.</t>
  </si>
  <si>
    <t>3 added from stock.</t>
  </si>
  <si>
    <t>Total, 16. 1 in murrain before shearing.</t>
  </si>
  <si>
    <t>15 remain.</t>
  </si>
  <si>
    <t>Ewes: 339 remain from the previous year.</t>
  </si>
  <si>
    <t>94 added from stock.</t>
  </si>
  <si>
    <t>2 from the men of Chidden after lambing and before shearing.</t>
  </si>
  <si>
    <t>Total, 435. 14 sold at Martinmas.</t>
  </si>
  <si>
    <t>24 in murrain before lambing and shearing, 8 after lambing and before shearing, 7 after shearing.</t>
  </si>
  <si>
    <t>Total, 53. 382 remain.</t>
  </si>
  <si>
    <t>Hoggs: 188 remain from the previous year's lambs.</t>
  </si>
  <si>
    <t>14 in murrain after shearing.</t>
  </si>
  <si>
    <t>77 added to wethers, 3 to rams and 94 to ewes.</t>
  </si>
  <si>
    <t>Lambs: 255 from the offspring of the said ewes because 46 sterile.</t>
  </si>
  <si>
    <t>80 bought.</t>
  </si>
  <si>
    <t>Total, 335. 25 in tithe, 5 of them skins.</t>
  </si>
  <si>
    <t>3 in customary payment to the reeve, shepherd and hayward.</t>
  </si>
  <si>
    <t>57 in murrain before weaning and 19 after weaning and before shearing.</t>
  </si>
  <si>
    <t>38 sold before shearing because feeble.</t>
  </si>
  <si>
    <t>Total, 142. 193 remain.</t>
  </si>
  <si>
    <t>Sows and boars: 1 boar and 3 sows remain from the previous year.</t>
  </si>
  <si>
    <t>1 boar and 3 sows remain.</t>
  </si>
  <si>
    <t>Pigs: 43 remain from the previous year.</t>
  </si>
  <si>
    <t>24 added from stock.</t>
  </si>
  <si>
    <t>Total, 67. 3 in murrain.</t>
  </si>
  <si>
    <t>19 solpence Total, 22. 45 remain.</t>
  </si>
  <si>
    <t>Hoggets: 27 remain from the previous year's piglets.</t>
  </si>
  <si>
    <t>3 in murrain.</t>
  </si>
  <si>
    <t>24 added to pigs.</t>
  </si>
  <si>
    <t>Piglets: {henceforth distinguish the ages of the piglets}: 51 from the offspring of the said sows this year.</t>
  </si>
  <si>
    <t>Total, 51. 5 in tithe.</t>
  </si>
  <si>
    <t>3 in customary payment to the reeve, swineherd and haywarpence Total, 8. 43 remain.</t>
  </si>
  <si>
    <t>Coarse wool: {yield of fleece 3.25pence plus 4 shilling 10.25pence in all}: 812 fleeces produced at the shearing this year.</t>
  </si>
  <si>
    <t>81 in tithe.</t>
  </si>
  <si>
    <t>2 in customary payment to 2 shepherds.</t>
  </si>
  <si>
    <t>729 sent to Wolvesey, which made 3.5 weys 11 cloves.</t>
  </si>
  <si>
    <t>Lamb's-wool: {yield of fleece 1.25pence plus 1 shilling .75pence in all}: 193 fleeces produced at the shearing this year.</t>
  </si>
  <si>
    <t>all sent to Wolvesey, which made 11 cloves.</t>
  </si>
  <si>
    <t>Winter cheese: 30 made.</t>
  </si>
  <si>
    <t>all sold, which made 17 cloves.</t>
  </si>
  <si>
    <t>Summer cheese {yield of cow 3 shilling and sheep 2pence with 1 cheese for customary payment valued at 5pence}: 167 cheeses made between Monday after the feast of SS Tiburtius and Valerian (16 April) and Michaelmas (29 September), both days included.</t>
  </si>
  <si>
    <t>16 in tithe.</t>
  </si>
  <si>
    <t>1 in customary payment to the reeve.</t>
  </si>
  <si>
    <t>150 sold, which made 8.5 weys.</t>
  </si>
  <si>
    <t>Butter: 1 wey and 5 cloves.</t>
  </si>
  <si>
    <t>Hens: {henceforth 5 geese and 1 gander should be reserved and the offspring of geese and hens answered for}: 54 hens from churchscot. 1 in default of the land of Richard le Wop because he has no wife.</t>
  </si>
  <si>
    <t>1 in default of the land of Alice de Cruce because a widow.</t>
  </si>
  <si>
    <t>1 in default of the land of Walter Albrech' because he has no wife.</t>
  </si>
  <si>
    <t>1 in default of Beatrice le Kembort because a widow.</t>
  </si>
  <si>
    <t>1 in default of the land of Isabel Daunfront because a widow.</t>
  </si>
  <si>
    <t>1 in default of the land of Matilda ate Holte because a widow.</t>
  </si>
  <si>
    <t>1 in default of the land of Henry le Wanser because a widower.</t>
  </si>
  <si>
    <t>1 in default of the land of William de Cruce for the same.</t>
  </si>
  <si>
    <t>1 in default of the land of Lucy Cog because a widow.</t>
  </si>
  <si>
    <t>1 in default of the land of Walter le Portir because a widower.</t>
  </si>
  <si>
    <t>1 in default of the land of Juliana Cattefan because a widow.</t>
  </si>
  <si>
    <t>2 in default of the land of Adam Cattefan which Robert Cocus holds freely.</t>
  </si>
  <si>
    <t>2 in default of the land of Richard Luce which the same Robert holds and which is commuted.</t>
  </si>
  <si>
    <t>1 in default of the land of Eve le Ryde because a widow.</t>
  </si>
  <si>
    <t>Total, 16. 38 solpence</t>
  </si>
  <si>
    <t>Peacocks: 7 remain from the previous year.</t>
  </si>
  <si>
    <t>6 remain, 1 of them a peacock.</t>
  </si>
  <si>
    <t>Salt: 5 quarters from rents.</t>
  </si>
  <si>
    <t>Hides: 1 from a plough-horse, 1 from a yearling and 3 from calves dead from murrain.</t>
  </si>
  <si>
    <t>Woolskins: 24 from wethers, 1 from a ram and 32 from ewes.</t>
  </si>
  <si>
    <t>Skins after shearing: 12 from wethers, 7 from ewes and 14 from hoggs dead from murrain after shearing.</t>
  </si>
  <si>
    <t>Lambskins: 57 from lambs dead from murrain before weaning.</t>
  </si>
  <si>
    <t>19 from rotted sheep.</t>
  </si>
  <si>
    <t>Utensils: 3 carts with iron tyres with all equipment, 1 standard bushel measure, 2 brass pots, 2 brass pans, 1 posnet and 1 ewer with a basin remain from the previous year.</t>
  </si>
  <si>
    <t>all remain.</t>
  </si>
  <si>
    <t>Cider: 2 casks and 1 pipe made this year.</t>
  </si>
  <si>
    <t>2.5 casks remain.</t>
  </si>
  <si>
    <t>Error</t>
  </si>
  <si>
    <t>Total</t>
  </si>
  <si>
    <t>The same render account for £12 14 shilling 3pence from 45 quarters 6 bushels of wheat sold, at 5 shilling a qr for 20 quarters 2 bushels, and 6 shilling a qr for 25.5 quarters.</t>
  </si>
  <si>
    <t>£1 15 shilling from 13 quarters 1 bushels of curall sold, at 2 shilling 8pence a qr.</t>
  </si>
  <si>
    <t>£4 13 shilling from 23 quarters 2 bushels of barley sold, at 4 shilling a qr.</t>
  </si>
  <si>
    <t>£3 5 shilling 9.5pence from 31.5 quarters of oats sold, at 2 shilling a qr for 14 quarters 6 bushels, and 2 shilling 2pence a qr for 16 quarters 6 bushels.</t>
  </si>
  <si>
    <t>12 shilling 6pence from 5 quarters of peas sold, at 2 shilling 6pence a qr.</t>
  </si>
  <si>
    <t>16 shilling 6pence from 8 quarters of vetches sold, at 2 shilling a qr.</t>
  </si>
  <si>
    <t>In 6.5 quarters of barley bought for the liveries of the manorial servants 17 shilling 4pence, at 2 shilling 8pence a qr.</t>
  </si>
  <si>
    <t>In 1 qr of salt bought 2 shilling.</t>
  </si>
  <si>
    <t>In threshing and winnowing 68 quarters of wheat and curall by piece-work 15 shilling 7pence, at 2.75pence a qr.</t>
  </si>
  <si>
    <t>threshing and winnowing 55 quarters 2 bushels of barley, 4 quarters of peas and 7 quarters of vetches by piece-work 9 shilling 7.5pence, at 1.75pence a qr.</t>
  </si>
  <si>
    <t>added</t>
  </si>
  <si>
    <t>sold</t>
  </si>
  <si>
    <t>Cart-horses</t>
  </si>
  <si>
    <t>Oxen</t>
  </si>
  <si>
    <t>Bulls</t>
  </si>
  <si>
    <t>Cows</t>
  </si>
  <si>
    <t>Steers</t>
  </si>
  <si>
    <t>Bullocks</t>
  </si>
  <si>
    <t>Calves</t>
  </si>
  <si>
    <t>Wethers</t>
  </si>
  <si>
    <t>Rams</t>
  </si>
  <si>
    <t>Ewes</t>
  </si>
  <si>
    <t>Hoggs</t>
  </si>
  <si>
    <t>Lambs</t>
  </si>
  <si>
    <t>Boars</t>
  </si>
  <si>
    <t>Pigs</t>
  </si>
  <si>
    <t>Hoggets</t>
  </si>
  <si>
    <t>Piglets</t>
  </si>
  <si>
    <t>Coarse wool</t>
  </si>
  <si>
    <t>Cheese</t>
  </si>
  <si>
    <t>Butter</t>
  </si>
  <si>
    <t>Poultry stock</t>
  </si>
  <si>
    <t>Peacocks</t>
  </si>
  <si>
    <t>Lambskins</t>
  </si>
  <si>
    <t>Utensils</t>
  </si>
  <si>
    <t>Cider</t>
  </si>
  <si>
    <t>Quarters 1_x</t>
  </si>
  <si>
    <t>Bushels 1_x</t>
  </si>
  <si>
    <t>Sown Quarters</t>
  </si>
  <si>
    <t>Sown Bushels</t>
  </si>
  <si>
    <t>Sown Total Quarters</t>
  </si>
  <si>
    <t>Bought in Quarters</t>
  </si>
  <si>
    <t>Bought in Bushels</t>
  </si>
  <si>
    <t>Bought in Total Quarters</t>
  </si>
  <si>
    <t>Tithe Quarters</t>
  </si>
  <si>
    <t>Tithe Bushels</t>
  </si>
  <si>
    <t>Tithe Total Quarters</t>
  </si>
  <si>
    <t>Manorial servants &amp; livestock Quarters</t>
  </si>
  <si>
    <t>Manorial servants &amp; livestock Bushels</t>
  </si>
  <si>
    <t>Manorial servants &amp; livestock Total Quarters</t>
  </si>
  <si>
    <t>Sold Quarters</t>
  </si>
  <si>
    <t>Sold Bushels</t>
  </si>
  <si>
    <t>Sold Total Quarters</t>
  </si>
  <si>
    <t>Account Quarters</t>
  </si>
  <si>
    <t>Account Bushels</t>
  </si>
  <si>
    <t>Account Total Quarters</t>
  </si>
  <si>
    <t>bought only</t>
  </si>
  <si>
    <t>Quarters 1_y</t>
  </si>
  <si>
    <t>Bushels 1_y</t>
  </si>
  <si>
    <t>{yield: 4.5-fold less .5 qr}</t>
  </si>
  <si>
    <t>Delivered to 1 park-keeper for the year, 1 qr according to custom.</t>
  </si>
  <si>
    <t>Delivered to 1 keeper of lambs from the feast of St John the Baptist until Michaelmas, for 13 weeks, 1 qr 1 bushels {Henceforth the keeper of lambs should take for 12 weeks} Sold, 23 quarters 2 bushels Sold at the audit, 5.5 bushels</t>
  </si>
  <si>
    <t>1 qr remaining by estimation in the stack.</t>
  </si>
  <si>
    <t>Gross Output</t>
  </si>
  <si>
    <t>Difference Produced+Bought-Sold</t>
  </si>
  <si>
    <t>Weighted Average Price per Quarter</t>
  </si>
  <si>
    <t>Non-Weighted Average Price per Quarter</t>
  </si>
  <si>
    <t>Value of Total Production weighted</t>
  </si>
  <si>
    <t>Maslin</t>
  </si>
  <si>
    <t>Oatmeal</t>
  </si>
  <si>
    <t>Quarters 0</t>
  </si>
  <si>
    <t>Bushels 0</t>
  </si>
  <si>
    <t>£ a quarter 1</t>
  </si>
  <si>
    <t>£ a quarter 2</t>
  </si>
  <si>
    <t>£ a quarter 3</t>
  </si>
  <si>
    <t>£ a quarter 4</t>
  </si>
  <si>
    <t>Quarters Sold</t>
  </si>
  <si>
    <t>Corn lowercase</t>
  </si>
  <si>
    <t>inf</t>
  </si>
  <si>
    <t>CASH ACCOUNT</t>
  </si>
  <si>
    <t>RECEIPTS</t>
  </si>
  <si>
    <t>Arrears total</t>
  </si>
  <si>
    <t>Rents of assize total</t>
  </si>
  <si>
    <t>Quittances total</t>
  </si>
  <si>
    <t>Defaults of rent total</t>
  </si>
  <si>
    <t>Defaults of rent through the pestilence total</t>
  </si>
  <si>
    <t>Cotlands defaults total</t>
  </si>
  <si>
    <t>Cotlands total</t>
  </si>
  <si>
    <t>Total of quittances and defaults of rent total</t>
  </si>
  <si>
    <t>Total of rents remaining clear total</t>
  </si>
  <si>
    <t>Farms total</t>
  </si>
  <si>
    <t>Annual recognizances total</t>
  </si>
  <si>
    <t>Issues of the Manor total</t>
  </si>
  <si>
    <t>Issues of the tenements in the lord's hands total</t>
  </si>
  <si>
    <t>Sale of labour services total</t>
  </si>
  <si>
    <t>Sale of corn total</t>
  </si>
  <si>
    <t>Entry and marriage fines total</t>
  </si>
  <si>
    <t>Pleas &amp; perquisites total</t>
  </si>
  <si>
    <t>Forfeited chattels total</t>
  </si>
  <si>
    <t>Farm of the demesne land total</t>
  </si>
  <si>
    <t>Total of all receipts (calculated here)</t>
  </si>
  <si>
    <t>Total of all receipts (calculated here) incl arrears</t>
  </si>
  <si>
    <t>Total recorded in the accounts excl. arrears</t>
  </si>
  <si>
    <t>Total recorded in the accounts incl. arrears</t>
  </si>
  <si>
    <t>EXPENSES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</si>
  <si>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</si>
  <si>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</si>
  <si>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</si>
  <si>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</si>
  <si>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</si>
  <si>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</si>
  <si>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</si>
  <si>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</si>
  <si>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Barley expenses</t>
  </si>
  <si>
    <t>Expenses of the harvest total</t>
  </si>
  <si>
    <t>Necessary expenses</t>
  </si>
  <si>
    <t>Wages of the bailiff</t>
  </si>
  <si>
    <t>Steward's expenses total</t>
  </si>
  <si>
    <t>Annual fees</t>
  </si>
  <si>
    <t>Total of all expenses per account</t>
  </si>
  <si>
    <t>Total of all expenses (calculated here)</t>
  </si>
  <si>
    <t>Total fixed investment</t>
  </si>
  <si>
    <t>Total Demesne fixed investment</t>
  </si>
  <si>
    <t>Owed by the reeve</t>
  </si>
  <si>
    <t>From accounts</t>
  </si>
  <si>
    <t>Allowances</t>
  </si>
  <si>
    <t>Sum of the above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</si>
  <si>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</si>
  <si>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</si>
  <si>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</si>
  <si>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</si>
  <si>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</si>
  <si>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Total value of gross production (sum of the above)</t>
  </si>
  <si>
    <t>Total value of net production</t>
  </si>
  <si>
    <t>Value of sales</t>
  </si>
  <si>
    <t>MILL ACCOUNT</t>
  </si>
  <si>
    <t>Issues of the mill</t>
  </si>
  <si>
    <t>1st grade malt</t>
  </si>
  <si>
    <t>2nd grade malt</t>
  </si>
  <si>
    <t>Total value of production (sum of the above)</t>
  </si>
  <si>
    <t>STOCK ACCOUNT</t>
  </si>
  <si>
    <t>Livestock</t>
  </si>
  <si>
    <t>Mares</t>
  </si>
  <si>
    <t>Plough horses</t>
  </si>
  <si>
    <t>Colts (2 years)</t>
  </si>
  <si>
    <t>Colts (1 year)</t>
  </si>
  <si>
    <t>Foals</t>
  </si>
  <si>
    <t>Yearlings</t>
  </si>
  <si>
    <t>Sows</t>
  </si>
  <si>
    <t>Swans</t>
  </si>
  <si>
    <t>Total value of stock (sum of the above)</t>
  </si>
  <si>
    <t>Total value of production</t>
  </si>
  <si>
    <t>Wool</t>
  </si>
  <si>
    <t>Lamb's wool</t>
  </si>
  <si>
    <t>Wool locks</t>
  </si>
  <si>
    <t>Wool sold at shearing</t>
  </si>
  <si>
    <t>Hides</t>
  </si>
  <si>
    <t>Ox hides</t>
  </si>
  <si>
    <t>Cow hides</t>
  </si>
  <si>
    <t>Mare hides</t>
  </si>
  <si>
    <t>Steer hides</t>
  </si>
  <si>
    <t>Yearling Calf hides</t>
  </si>
  <si>
    <t>Calf hides</t>
  </si>
  <si>
    <t>Pig hides</t>
  </si>
  <si>
    <t>Wether woolskins</t>
  </si>
  <si>
    <t>Ram woolskins</t>
  </si>
  <si>
    <t>Ewe woolskins</t>
  </si>
  <si>
    <t>Hogg woolskins</t>
  </si>
  <si>
    <t>Woolskins (total)</t>
  </si>
  <si>
    <t>Wether bareskins</t>
  </si>
  <si>
    <t>Ram bareskins</t>
  </si>
  <si>
    <t>Ewe bareskins</t>
  </si>
  <si>
    <t>Hogg bareskins</t>
  </si>
  <si>
    <t>Bareskins (total)</t>
  </si>
  <si>
    <t>Rotted skins</t>
  </si>
  <si>
    <t>Shorn skins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</si>
  <si>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</si>
  <si>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</si>
  <si>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</si>
  <si>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</si>
  <si>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</si>
  <si>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</si>
  <si>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</si>
  <si>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</si>
  <si>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</si>
  <si>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</si>
  <si>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Winter Cheese</t>
  </si>
  <si>
    <t>Summer Cheese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</si>
  <si>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</si>
  <si>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</si>
  <si>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</si>
  <si>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 and Mill)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</si>
  <si>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</si>
  <si>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</si>
  <si>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</si>
  <si>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Total in £</t>
  </si>
  <si>
    <t>Note</t>
  </si>
  <si>
    <t>HAMBLEDON</t>
  </si>
  <si>
    <t>HAMBLEDON RECEIPTS</t>
  </si>
  <si>
    <t>£</t>
  </si>
  <si>
    <t xml:space="preserve">s </t>
  </si>
  <si>
    <t>d</t>
  </si>
  <si>
    <t>Notes</t>
  </si>
  <si>
    <t>Own notes</t>
  </si>
  <si>
    <t>£11 10 shilling 10.75pence at Michaelmas (29 September).</t>
  </si>
  <si>
    <t xml:space="preserve">Total, 1pence </t>
  </si>
  <si>
    <t>Total of rents with increment, £32 7 shilling 11.25pence</t>
  </si>
  <si>
    <t>Total Rents</t>
  </si>
  <si>
    <t xml:space="preserve">1 swineherd for the year 1 shilling 8pence </t>
  </si>
  <si>
    <t>Total, 18 shilling 4pence</t>
  </si>
  <si>
    <t xml:space="preserve">the wood of Mannely which is in demesne through the death of the holder 6 shilling </t>
  </si>
  <si>
    <t>Total, 8 shilling 6pence</t>
  </si>
  <si>
    <t xml:space="preserve">10 shilling from Peter ate Putte to have Juliana le Burgeys with her lanpence </t>
  </si>
  <si>
    <t>Total, £3 14 shilling</t>
  </si>
  <si>
    <t xml:space="preserve">Total, £3 16 shilling 5pence </t>
  </si>
  <si>
    <t>Total of both, £7 10 shilling 5pence</t>
  </si>
  <si>
    <t>Both</t>
  </si>
  <si>
    <t>Total, 3 shilling 2pence</t>
  </si>
  <si>
    <t>2 shilling 2pence from other small stall</t>
  </si>
  <si>
    <t>6 pence from Walter Rykeby for holding the other stall.</t>
  </si>
  <si>
    <t xml:space="preserve">1 plough-horse bought 12 shilling 3pence </t>
  </si>
  <si>
    <t>Total, £3 1 shilling 7.5pence</t>
  </si>
  <si>
    <t xml:space="preserve">stipend of 1 carter from Michaelmas until Lammas, because thereafter he was at the church, 2 shilling 3pence </t>
  </si>
  <si>
    <t>Total, 14 shilling 3.5pence</t>
  </si>
  <si>
    <t xml:space="preserve">plastering the walls of the bailiff's room and knights' chamber 10pence </t>
  </si>
  <si>
    <t>Total, £1 10 shilling 1pence</t>
  </si>
  <si>
    <t>80 lambs bought before shearing £2 1shilling 4pence, at 5pence each for 48, and 8pence each for 32..</t>
  </si>
  <si>
    <t>stipend of 1 dairymaid from the Purification (2 February) until Michaelmas (29 September) 1shilling  6pence.</t>
  </si>
  <si>
    <t xml:space="preserve">a fodder-rack and cratch made for the ewe-house 9pence </t>
  </si>
  <si>
    <t>Total, 2 shilling 6.25pence</t>
  </si>
  <si>
    <t>Total, 15 shilling 1.5pence</t>
  </si>
  <si>
    <t>mowing the whole of the meadow 10 shilling.</t>
  </si>
  <si>
    <t>tossing and spreading the hay and making haycocks therefrom 2 shilling</t>
  </si>
  <si>
    <t xml:space="preserve">5 sacks bought 2 shilling 6pence </t>
  </si>
  <si>
    <t>Total, £1 10 shilling 11pence</t>
  </si>
  <si>
    <t xml:space="preserve">allowance of food for the reeve and bartoner at harvest-time 1 shilling 8pence </t>
  </si>
  <si>
    <t>Total, £2 13 shilling 4pence</t>
  </si>
  <si>
    <t xml:space="preserve">In iron bought for mending the spindle 8pence </t>
  </si>
  <si>
    <t>Total, 8pence</t>
  </si>
  <si>
    <t xml:space="preserve">In expenses of Simon, clerk, holding the place of the steward at the 2 tourns 9 shilling 6pence </t>
  </si>
  <si>
    <t>Total, 9 shilling 6pence</t>
  </si>
  <si>
    <t xml:space="preserve">In 39 animals bought for pasturing £13 14 shilling 7pence </t>
  </si>
  <si>
    <t>Total, £13 14 shilling 7pence</t>
  </si>
  <si>
    <t>Colts (unspecified years)</t>
  </si>
  <si>
    <t>Total Value</t>
  </si>
  <si>
    <t>Total wool</t>
  </si>
  <si>
    <t>Mare</t>
  </si>
  <si>
    <t>Steer</t>
  </si>
  <si>
    <t>calves</t>
  </si>
  <si>
    <t>pigs</t>
  </si>
  <si>
    <t>wethers</t>
  </si>
  <si>
    <t>rams</t>
  </si>
  <si>
    <t>ewes</t>
  </si>
  <si>
    <t>hoggs</t>
  </si>
  <si>
    <t>Bareskins</t>
  </si>
  <si>
    <t xml:space="preserve">Total </t>
  </si>
  <si>
    <t>Total poultry stock</t>
  </si>
  <si>
    <t>Total poultry excluding churchscot</t>
  </si>
  <si>
    <t>Meat</t>
  </si>
  <si>
    <t>Beef</t>
  </si>
  <si>
    <t>Mutton</t>
  </si>
  <si>
    <t>Pork</t>
  </si>
  <si>
    <t>Winter cheese</t>
  </si>
  <si>
    <t>Summer cheese</t>
  </si>
  <si>
    <t>Total Dairy Sales</t>
  </si>
  <si>
    <t>Additional Information (not necessarily useful)</t>
  </si>
  <si>
    <t>ploughs</t>
  </si>
  <si>
    <t>carts</t>
  </si>
  <si>
    <t>cart-ropes</t>
  </si>
  <si>
    <t>corn baskets</t>
  </si>
  <si>
    <t>seed-sacks</t>
  </si>
  <si>
    <t>seed basket</t>
  </si>
  <si>
    <t>locks for the doors</t>
  </si>
  <si>
    <t>lead vessel</t>
  </si>
  <si>
    <t>brass pots</t>
  </si>
  <si>
    <t>pans</t>
  </si>
  <si>
    <t>tripods</t>
  </si>
  <si>
    <t>mortar</t>
  </si>
  <si>
    <t>axe</t>
  </si>
  <si>
    <t>casks</t>
  </si>
  <si>
    <t>tubs</t>
  </si>
  <si>
    <t>troughs</t>
  </si>
  <si>
    <t>bucket</t>
  </si>
  <si>
    <t>cheese basket</t>
  </si>
  <si>
    <t>tables</t>
  </si>
  <si>
    <t>table with trestles</t>
  </si>
  <si>
    <t>benches</t>
  </si>
  <si>
    <t>ewer with a basin</t>
  </si>
  <si>
    <t>ladders</t>
  </si>
  <si>
    <t>cloth</t>
  </si>
  <si>
    <t>brass posnets</t>
  </si>
  <si>
    <t>HAMBLEDON STOCK ACCOUNT</t>
  </si>
  <si>
    <t>subtracted</t>
  </si>
  <si>
    <t>Inherited stock</t>
  </si>
  <si>
    <t>strays</t>
  </si>
  <si>
    <t>herbage</t>
  </si>
  <si>
    <t>churchscot</t>
  </si>
  <si>
    <t>of which in default</t>
  </si>
  <si>
    <t>in murrain</t>
  </si>
  <si>
    <t>accounted for elsewhere</t>
  </si>
  <si>
    <t>End-period  stock</t>
  </si>
  <si>
    <t>cross-check</t>
  </si>
  <si>
    <t>stock building</t>
  </si>
  <si>
    <t>raw production</t>
  </si>
  <si>
    <t>Unit price (£)</t>
  </si>
  <si>
    <t>Value of stock  (£) at given value</t>
  </si>
  <si>
    <t>Value of stock  (£) at sales prices</t>
  </si>
  <si>
    <t>Sales in (£)</t>
  </si>
  <si>
    <t>Value of stock building (£)</t>
  </si>
  <si>
    <t>Value of production (£) at sales prices</t>
  </si>
  <si>
    <t>Details</t>
  </si>
  <si>
    <t>Total Quantity</t>
  </si>
  <si>
    <t>Received from churchscot</t>
  </si>
  <si>
    <t>Total Production</t>
  </si>
  <si>
    <t>Sales of corn (as recorded in accounts)</t>
  </si>
  <si>
    <t>Net output</t>
  </si>
  <si>
    <t>Gross output</t>
  </si>
  <si>
    <t>Seed quarters</t>
  </si>
  <si>
    <t>Seed bushels</t>
  </si>
  <si>
    <t>Seed total quarters</t>
  </si>
  <si>
    <t>tithe quarters</t>
  </si>
  <si>
    <t>tithe bushels</t>
  </si>
  <si>
    <t>tithe total</t>
  </si>
  <si>
    <t>manorial servants quarters</t>
  </si>
  <si>
    <t>manorial servants bushels</t>
  </si>
  <si>
    <t>manorial servants total quarters</t>
  </si>
  <si>
    <t>output net of tithe, seed, liveries</t>
  </si>
  <si>
    <t>in stock from last year</t>
  </si>
  <si>
    <t>Price in £</t>
  </si>
  <si>
    <t>Value of net output in £</t>
  </si>
  <si>
    <t>Value of sales (in "Sale of Corn") in £</t>
  </si>
  <si>
    <t>1 wey 5 cloves</t>
  </si>
  <si>
    <t>plough horse</t>
  </si>
  <si>
    <t>yearling</t>
  </si>
  <si>
    <t xml:space="preserve">Woolskins </t>
  </si>
  <si>
    <t>not found in issues</t>
  </si>
  <si>
    <t>only 2 calves recorded in issues</t>
  </si>
  <si>
    <t>sales only recorded in issues; recorded in cloves</t>
  </si>
  <si>
    <t>unit price from overview sheet (UnitPricesStocks_averages)</t>
  </si>
  <si>
    <t>Total of all receipts recorded in accounts</t>
  </si>
  <si>
    <t>Total cross-check without arrears</t>
  </si>
  <si>
    <t>Total cross-check with arrears</t>
  </si>
  <si>
    <t>Fixed investment</t>
  </si>
  <si>
    <t>Demesne fixed investment</t>
  </si>
  <si>
    <t>qrs</t>
  </si>
  <si>
    <t>Value of total gross production in £</t>
  </si>
  <si>
    <t>Value of total net production in £</t>
  </si>
  <si>
    <t>Sales value in £</t>
  </si>
  <si>
    <t>Value of production at sales prices 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</si>
</sst>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 (Body)"/>
    </font>
    <font>
      <i/>
      <sz val="12"/>
      <color theme="1"/>
      <name val="Calibri"/>
      <family val="2"/>
      <scheme val="minor"/>
    </font>
    <font>
      <i/>
      <sz val="12"/>
      <color rgb="FFFF0000"/>
      <name val="Calibri (Body)"/>
    </font>
    <font>
      <sz val="11"/>
      <color rgb="FFFF0000"/>
      <name val="Calibri (Body)"/>
    </font>
    <font>
      <b/>
      <sz val="12"/>
      <name val="Calibri"/>
      <family val="2"/>
    </font>
    <font>
      <b/>
      <sz val="12"/>
      <color rgb="FFFF0000"/>
      <name val="Calibri (Body)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1" xfId="0" applyFont="1" applyBorder="1" applyAlignment="1">
      <alignment horizontal="center" vertical="top"/>
    </xf>
    <xf numFmtId="0" fontId="6" fillId="0" borderId="0" xfId="0" applyFont="1"/>
    <xf numFmtId="0" fontId="6" fillId="2" borderId="0" xfId="0" applyFont="1" applyFill="1"/>
    <xf numFmtId="0" fontId="7" fillId="0" borderId="0" xfId="0" applyFont="1"/>
    <xf numFmtId="0" fontId="2" fillId="0" borderId="0" xfId="0" applyFont="1"/>
    <xf numFmtId="0" fontId="8" fillId="3" borderId="2" xfId="0" applyFont="1" applyFill="1" applyBorder="1"/>
    <xf numFmtId="0" fontId="8" fillId="3" borderId="0" xfId="0" applyFont="1" applyFill="1"/>
    <xf numFmtId="0" fontId="9" fillId="2" borderId="0" xfId="0" applyFont="1" applyFill="1"/>
    <xf numFmtId="0" fontId="7" fillId="0" borderId="3" xfId="0" applyFont="1" applyBorder="1"/>
    <xf numFmtId="0" fontId="5" fillId="0" borderId="0" xfId="0" applyFont="1"/>
    <xf numFmtId="0" fontId="7" fillId="4" borderId="0" xfId="0" applyFont="1" applyFill="1"/>
    <xf numFmtId="0" fontId="10" fillId="4" borderId="0" xfId="0" applyFont="1" applyFill="1"/>
    <xf numFmtId="0" fontId="10" fillId="5" borderId="0" xfId="0" applyFont="1" applyFill="1"/>
    <xf numFmtId="0" fontId="10" fillId="2" borderId="0" xfId="0" applyFont="1" applyFill="1"/>
    <xf numFmtId="0" fontId="6" fillId="6" borderId="0" xfId="0" applyFont="1" applyFill="1"/>
    <xf numFmtId="0" fontId="6" fillId="3" borderId="0" xfId="0" applyFont="1" applyFill="1"/>
    <xf numFmtId="0" fontId="7" fillId="0" borderId="0" xfId="0" applyFont="1" applyAlignment="1">
      <alignment wrapText="1"/>
    </xf>
    <xf numFmtId="0" fontId="10" fillId="6" borderId="0" xfId="0" applyFont="1" applyFill="1"/>
    <xf numFmtId="0" fontId="7" fillId="0" borderId="4" xfId="0" applyFont="1" applyBorder="1"/>
    <xf numFmtId="0" fontId="7" fillId="0" borderId="0" xfId="0" applyFont="1" applyAlignment="1">
      <alignment horizontal="right"/>
    </xf>
    <xf numFmtId="0" fontId="7" fillId="0" borderId="4" xfId="0" applyFont="1" applyBorder="1" applyAlignment="1">
      <alignment horizontal="left"/>
    </xf>
    <xf numFmtId="0" fontId="7" fillId="3" borderId="5" xfId="0" applyFont="1" applyFill="1" applyBorder="1"/>
    <xf numFmtId="0" fontId="10" fillId="2" borderId="6" xfId="0" applyFont="1" applyFill="1" applyBorder="1"/>
    <xf numFmtId="0" fontId="10" fillId="5" borderId="6" xfId="0" applyFont="1" applyFill="1" applyBorder="1"/>
    <xf numFmtId="0" fontId="7" fillId="0" borderId="6" xfId="0" applyFont="1" applyBorder="1"/>
    <xf numFmtId="10" fontId="10" fillId="2" borderId="6" xfId="0" applyNumberFormat="1" applyFont="1" applyFill="1" applyBorder="1"/>
    <xf numFmtId="10" fontId="10" fillId="5" borderId="7" xfId="0" applyNumberFormat="1" applyFont="1" applyFill="1" applyBorder="1"/>
    <xf numFmtId="2" fontId="6" fillId="0" borderId="0" xfId="0" applyNumberFormat="1" applyFont="1" applyAlignment="1">
      <alignment horizontal="right"/>
    </xf>
    <xf numFmtId="2" fontId="11" fillId="0" borderId="0" xfId="0" applyNumberFormat="1" applyFont="1" applyAlignment="1">
      <alignment horizontal="right"/>
    </xf>
    <xf numFmtId="0" fontId="4" fillId="0" borderId="0" xfId="0" applyFont="1"/>
    <xf numFmtId="0" fontId="12" fillId="0" borderId="0" xfId="0" applyFont="1"/>
    <xf numFmtId="0" fontId="13" fillId="0" borderId="0" xfId="0" applyFont="1"/>
    <xf numFmtId="0" fontId="16" fillId="0" borderId="0" xfId="0" applyFont="1" applyAlignment="1">
      <alignment horizontal="center" vertical="top"/>
    </xf>
    <xf numFmtId="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6" fillId="0" borderId="0" xfId="0" applyFont="1" applyAlignment="1">
      <alignment horizontal="left" vertical="top"/>
    </xf>
    <xf numFmtId="0" fontId="8" fillId="0" borderId="0" xfId="0" applyFont="1"/>
    <xf numFmtId="2" fontId="2" fillId="0" borderId="0" xfId="0" applyNumberFormat="1" applyFont="1"/>
    <xf numFmtId="2" fontId="14" fillId="0" borderId="0" xfId="0" applyNumberFormat="1" applyFont="1"/>
    <xf numFmtId="2" fontId="5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 vertical="top"/>
    </xf>
    <xf numFmtId="2" fontId="0" fillId="0" borderId="0" xfId="0" applyNumberFormat="1"/>
    <xf numFmtId="2" fontId="15" fillId="0" borderId="0" xfId="0" applyNumberFormat="1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3" fillId="7" borderId="0" xfId="0" applyFont="1" applyFill="1"/>
    <xf numFmtId="0" fontId="0" fillId="0" borderId="8" xfId="0" applyBorder="1"/>
    <xf numFmtId="0" fontId="0" fillId="0" borderId="0" xfId="0" applyAlignment="1">
      <alignment horizontal="righ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0" fillId="8" borderId="0" xfId="0" applyFill="1"/>
    <xf numFmtId="0" fontId="13" fillId="3" borderId="0" xfId="0" applyFont="1" applyFill="1"/>
    <xf numFmtId="2" fontId="0" fillId="0" borderId="0" xfId="0" applyNumberFormat="1" applyAlignment="1">
      <alignment wrapText="1"/>
    </xf>
    <xf numFmtId="0" fontId="5" fillId="0" borderId="0" xfId="0" applyFont="1" applyAlignment="1">
      <alignment horizontal="right" wrapText="1"/>
    </xf>
    <xf numFmtId="2" fontId="5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0" fontId="20" fillId="0" borderId="0" xfId="0" applyFont="1"/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10" xfId="0" applyFont="1" applyBorder="1" applyAlignment="1">
      <alignment wrapText="1"/>
    </xf>
    <xf numFmtId="2" fontId="20" fillId="0" borderId="0" xfId="0" applyNumberFormat="1" applyFont="1" applyAlignment="1">
      <alignment horizontal="right" wrapText="1"/>
    </xf>
    <xf numFmtId="0" fontId="0" fillId="9" borderId="0" xfId="0" applyFill="1" applyAlignment="1">
      <alignment wrapText="1"/>
    </xf>
    <xf numFmtId="0" fontId="0" fillId="10" borderId="0" xfId="0" applyFill="1"/>
    <xf numFmtId="0" fontId="0" fillId="7" borderId="0" xfId="0" applyFill="1"/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wrapText="1"/>
    </xf>
    <xf numFmtId="2" fontId="0" fillId="7" borderId="0" xfId="0" applyNumberFormat="1" applyFill="1"/>
    <xf numFmtId="0" fontId="1" fillId="0" borderId="0" xfId="0" applyFont="1"/>
    <xf numFmtId="0" fontId="0" fillId="0" borderId="0" xfId="0" applyFont="1"/>
    <xf numFmtId="2" fontId="20" fillId="0" borderId="0" xfId="0" applyNumberFormat="1" applyFont="1" applyAlignment="1">
      <alignment horizontal="center" vertical="center" wrapText="1"/>
    </xf>
    <xf numFmtId="2" fontId="0" fillId="0" borderId="0" xfId="0" applyNumberFormat="1" applyFont="1"/>
    <xf numFmtId="0" fontId="22" fillId="0" borderId="0" xfId="0" applyFont="1"/>
    <xf numFmtId="2" fontId="22" fillId="0" borderId="0" xfId="0" applyNumberFormat="1" applyFont="1"/>
    <xf numFmtId="0" fontId="5" fillId="3" borderId="0" xfId="0" applyFont="1" applyFill="1" applyAlignment="1">
      <alignment horizontal="center"/>
    </xf>
    <xf numFmtId="0" fontId="1" fillId="3" borderId="0" xfId="0" applyFont="1" applyFill="1"/>
    <xf numFmtId="2" fontId="1" fillId="3" borderId="0" xfId="0" applyNumberFormat="1" applyFont="1" applyFill="1"/>
    <xf numFmtId="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2" fontId="5" fillId="0" borderId="0" xfId="0" applyNumberFormat="1" applyFont="1"/>
    <xf numFmtId="0" fontId="22" fillId="3" borderId="0" xfId="0" applyFont="1" applyFill="1"/>
    <xf numFmtId="0" fontId="20" fillId="3" borderId="0" xfId="0" applyFont="1" applyFill="1"/>
    <xf numFmtId="2" fontId="0" fillId="3" borderId="0" xfId="0" applyNumberFormat="1" applyFill="1"/>
    <xf numFmtId="0" fontId="0" fillId="0" borderId="12" xfId="0" applyBorder="1"/>
    <xf numFmtId="0" fontId="0" fillId="0" borderId="13" xfId="0" applyBorder="1"/>
    <xf numFmtId="0" fontId="0" fillId="0" borderId="11" xfId="0" applyBorder="1"/>
    <xf numFmtId="2" fontId="0" fillId="0" borderId="12" xfId="0" applyNumberFormat="1" applyBorder="1"/>
    <xf numFmtId="10" fontId="0" fillId="0" borderId="1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9"/>
  <sheetViews>
    <sheetView tabSelected="1" workbookViewId="0">
      <pane xSplit="1" ySplit="1" topLeftCell="B159" activePane="bottomRight" state="frozen"/>
      <selection pane="topRight" activeCell="B1" sqref="B1"/>
      <selection pane="bottomLeft" activeCell="A2" sqref="A2"/>
      <selection pane="bottomRight" activeCell="B171" sqref="B171"/>
    </sheetView>
  </sheetViews>
  <sheetFormatPr baseColWidth="10" defaultColWidth="8.83203125" defaultRowHeight="16" x14ac:dyDescent="0.2"/>
  <cols>
    <col min="1" max="1" width="80" style="5" bestFit="1" customWidth="1"/>
    <col min="2" max="2" width="29.1640625" bestFit="1" customWidth="1"/>
    <col min="3" max="3" width="8.83203125" style="76"/>
    <col min="5" max="5" width="30.83203125" bestFit="1" customWidth="1"/>
    <col min="6" max="6" width="29.33203125" bestFit="1" customWidth="1"/>
  </cols>
  <sheetData>
    <row r="1" spans="1:5" s="5" customFormat="1" x14ac:dyDescent="0.2">
      <c r="A1" s="2" t="s">
        <v>642</v>
      </c>
      <c r="B1" s="28" t="s">
        <v>640</v>
      </c>
      <c r="C1" s="29" t="s">
        <v>443</v>
      </c>
      <c r="D1" s="10" t="s">
        <v>641</v>
      </c>
      <c r="E1" s="10"/>
    </row>
    <row r="2" spans="1:5" s="5" customFormat="1" x14ac:dyDescent="0.2">
      <c r="A2" s="2" t="s">
        <v>524</v>
      </c>
      <c r="C2" s="30"/>
    </row>
    <row r="3" spans="1:5" x14ac:dyDescent="0.2">
      <c r="A3" s="3" t="s">
        <v>525</v>
      </c>
    </row>
    <row r="4" spans="1:5" x14ac:dyDescent="0.2">
      <c r="A4" s="4" t="s">
        <v>526</v>
      </c>
    </row>
    <row r="5" spans="1:5" x14ac:dyDescent="0.2">
      <c r="A5" s="4" t="s">
        <v>527</v>
      </c>
    </row>
    <row r="6" spans="1:5" x14ac:dyDescent="0.2">
      <c r="A6" s="4" t="s">
        <v>528</v>
      </c>
    </row>
    <row r="7" spans="1:5" x14ac:dyDescent="0.2">
      <c r="A7" s="4" t="s">
        <v>529</v>
      </c>
    </row>
    <row r="8" spans="1:5" x14ac:dyDescent="0.2">
      <c r="A8" s="5" t="s">
        <v>530</v>
      </c>
    </row>
    <row r="9" spans="1:5" x14ac:dyDescent="0.2">
      <c r="A9" s="5" t="s">
        <v>531</v>
      </c>
    </row>
    <row r="10" spans="1:5" x14ac:dyDescent="0.2">
      <c r="A10" s="5" t="s">
        <v>532</v>
      </c>
    </row>
    <row r="11" spans="1:5" x14ac:dyDescent="0.2">
      <c r="A11" s="5" t="s">
        <v>533</v>
      </c>
    </row>
    <row r="12" spans="1:5" x14ac:dyDescent="0.2">
      <c r="A12" s="5" t="s">
        <v>534</v>
      </c>
    </row>
    <row r="13" spans="1:5" x14ac:dyDescent="0.2">
      <c r="A13" s="5" t="s">
        <v>535</v>
      </c>
    </row>
    <row r="14" spans="1:5" x14ac:dyDescent="0.2">
      <c r="A14" s="4" t="s">
        <v>536</v>
      </c>
    </row>
    <row r="15" spans="1:5" x14ac:dyDescent="0.2">
      <c r="A15" s="4" t="s">
        <v>537</v>
      </c>
    </row>
    <row r="16" spans="1:5" x14ac:dyDescent="0.2">
      <c r="A16" s="5" t="s">
        <v>538</v>
      </c>
    </row>
    <row r="17" spans="1:3" x14ac:dyDescent="0.2">
      <c r="A17" s="5" t="s">
        <v>539</v>
      </c>
    </row>
    <row r="18" spans="1:3" x14ac:dyDescent="0.2">
      <c r="A18" s="4" t="s">
        <v>540</v>
      </c>
    </row>
    <row r="19" spans="1:3" x14ac:dyDescent="0.2">
      <c r="A19" s="4" t="s">
        <v>541</v>
      </c>
    </row>
    <row r="20" spans="1:3" x14ac:dyDescent="0.2">
      <c r="A20" s="4" t="s">
        <v>542</v>
      </c>
    </row>
    <row r="21" spans="1:3" x14ac:dyDescent="0.2">
      <c r="A21" s="5" t="s">
        <v>543</v>
      </c>
    </row>
    <row r="22" spans="1:3" x14ac:dyDescent="0.2">
      <c r="A22" s="5" t="s">
        <v>544</v>
      </c>
    </row>
    <row r="23" spans="1:3" x14ac:dyDescent="0.2">
      <c r="A23" s="6" t="s">
        <v>545</v>
      </c>
      <c r="B23" s="42">
        <f>Receipts!F168</f>
        <v>106.81333333333333</v>
      </c>
    </row>
    <row r="24" spans="1:3" x14ac:dyDescent="0.2">
      <c r="A24" s="7" t="s">
        <v>546</v>
      </c>
      <c r="B24" s="42">
        <f>Receipts!F169</f>
        <v>175.44333333333333</v>
      </c>
    </row>
    <row r="25" spans="1:3" x14ac:dyDescent="0.2">
      <c r="A25" s="8" t="s">
        <v>547</v>
      </c>
      <c r="B25" s="42">
        <f>Receipts!F167</f>
        <v>107.03</v>
      </c>
      <c r="C25" s="77">
        <f>B25-B23</f>
        <v>0.21666666666666856</v>
      </c>
    </row>
    <row r="26" spans="1:3" x14ac:dyDescent="0.2">
      <c r="A26" s="8" t="s">
        <v>548</v>
      </c>
    </row>
    <row r="27" spans="1:3" x14ac:dyDescent="0.2">
      <c r="A27" s="4"/>
    </row>
    <row r="28" spans="1:3" x14ac:dyDescent="0.2">
      <c r="A28" s="4"/>
    </row>
    <row r="29" spans="1:3" x14ac:dyDescent="0.2">
      <c r="A29" s="3" t="s">
        <v>549</v>
      </c>
    </row>
    <row r="30" spans="1:3" x14ac:dyDescent="0.2">
      <c r="A30" s="4" t="s">
        <v>550</v>
      </c>
    </row>
    <row r="31" spans="1:3" x14ac:dyDescent="0.2">
      <c r="A31" s="4" t="s">
        <v>551</v>
      </c>
    </row>
    <row r="32" spans="1:3" x14ac:dyDescent="0.2">
      <c r="A32" s="4" t="s">
        <v>552</v>
      </c>
    </row>
    <row r="33" spans="1:2" x14ac:dyDescent="0.2">
      <c r="A33" s="4" t="s">
        <v>553</v>
      </c>
    </row>
    <row r="34" spans="1:2" x14ac:dyDescent="0.2">
      <c r="A34" s="4" t="s">
        <v>554</v>
      </c>
    </row>
    <row r="35" spans="1:2" x14ac:dyDescent="0.2">
      <c r="A35" s="4" t="s">
        <v>555</v>
      </c>
    </row>
    <row r="36" spans="1:2" x14ac:dyDescent="0.2">
      <c r="A36" s="4" t="s">
        <v>556</v>
      </c>
    </row>
    <row r="37" spans="1:2" x14ac:dyDescent="0.2">
      <c r="A37" s="4" t="s">
        <v>557</v>
      </c>
    </row>
    <row r="38" spans="1:2" x14ac:dyDescent="0.2">
      <c r="A38" s="4" t="s">
        <v>558</v>
      </c>
    </row>
    <row r="39" spans="1:2" x14ac:dyDescent="0.2">
      <c r="A39" s="4" t="s">
        <v>559</v>
      </c>
    </row>
    <row r="40" spans="1:2" x14ac:dyDescent="0.2">
      <c r="A40" s="4" t="s">
        <v>560</v>
      </c>
    </row>
    <row r="41" spans="1:2" x14ac:dyDescent="0.2">
      <c r="A41" s="4" t="s">
        <v>561</v>
      </c>
    </row>
    <row r="42" spans="1:2" x14ac:dyDescent="0.2">
      <c r="A42" s="4" t="s">
        <v>562</v>
      </c>
    </row>
    <row r="43" spans="1:2" x14ac:dyDescent="0.2">
      <c r="A43" s="9" t="s">
        <v>563</v>
      </c>
    </row>
    <row r="44" spans="1:2" x14ac:dyDescent="0.2">
      <c r="A44" s="7" t="s">
        <v>564</v>
      </c>
      <c r="B44" s="42">
        <f>Expenses!F122</f>
        <v>34.979999999999997</v>
      </c>
    </row>
    <row r="45" spans="1:2" x14ac:dyDescent="0.2">
      <c r="A45" s="7" t="s">
        <v>565</v>
      </c>
      <c r="B45" s="42">
        <f>Expenses!F123</f>
        <v>30.835000000000001</v>
      </c>
    </row>
    <row r="46" spans="1:2" x14ac:dyDescent="0.2">
      <c r="A46" s="7" t="s">
        <v>566</v>
      </c>
      <c r="B46" s="42">
        <f>Expenses!F124</f>
        <v>6.4491666666666632</v>
      </c>
    </row>
    <row r="47" spans="1:2" x14ac:dyDescent="0.2">
      <c r="A47" s="7" t="s">
        <v>567</v>
      </c>
      <c r="B47" s="42">
        <f>Expenses!F125</f>
        <v>3.6574999999999998</v>
      </c>
    </row>
    <row r="48" spans="1:2" x14ac:dyDescent="0.2">
      <c r="A48" s="10"/>
    </row>
    <row r="49" spans="1:6" x14ac:dyDescent="0.2">
      <c r="A49" s="11" t="s">
        <v>568</v>
      </c>
    </row>
    <row r="50" spans="1:6" x14ac:dyDescent="0.2">
      <c r="A50" s="11" t="s">
        <v>569</v>
      </c>
    </row>
    <row r="51" spans="1:6" x14ac:dyDescent="0.2">
      <c r="A51" s="4"/>
    </row>
    <row r="52" spans="1:6" x14ac:dyDescent="0.2">
      <c r="A52" s="11" t="s">
        <v>570</v>
      </c>
    </row>
    <row r="53" spans="1:6" x14ac:dyDescent="0.2">
      <c r="A53" s="11" t="s">
        <v>278</v>
      </c>
    </row>
    <row r="54" spans="1:6" x14ac:dyDescent="0.2">
      <c r="A54" s="12" t="s">
        <v>571</v>
      </c>
    </row>
    <row r="55" spans="1:6" x14ac:dyDescent="0.2">
      <c r="A55" s="13" t="s">
        <v>572</v>
      </c>
    </row>
    <row r="56" spans="1:6" x14ac:dyDescent="0.2">
      <c r="A56" s="4"/>
    </row>
    <row r="57" spans="1:6" x14ac:dyDescent="0.2">
      <c r="A57" s="11" t="s">
        <v>573</v>
      </c>
    </row>
    <row r="58" spans="1:6" x14ac:dyDescent="0.2">
      <c r="A58" s="11" t="s">
        <v>574</v>
      </c>
    </row>
    <row r="59" spans="1:6" x14ac:dyDescent="0.2">
      <c r="A59" s="4"/>
    </row>
    <row r="60" spans="1:6" x14ac:dyDescent="0.2">
      <c r="A60" s="3" t="s">
        <v>575</v>
      </c>
      <c r="B60" s="78" t="s">
        <v>758</v>
      </c>
      <c r="C60" s="78"/>
      <c r="D60" s="79"/>
      <c r="E60" s="79"/>
      <c r="F60" s="80"/>
    </row>
    <row r="61" spans="1:6" x14ac:dyDescent="0.2">
      <c r="A61" s="2" t="s">
        <v>576</v>
      </c>
      <c r="B61" s="81" t="s">
        <v>789</v>
      </c>
      <c r="C61" s="82"/>
      <c r="D61" s="72"/>
      <c r="E61" s="83" t="s">
        <v>790</v>
      </c>
      <c r="F61" s="83" t="s">
        <v>791</v>
      </c>
    </row>
    <row r="62" spans="1:6" ht="15" x14ac:dyDescent="0.2">
      <c r="A62" t="s">
        <v>142</v>
      </c>
      <c r="B62" s="42">
        <f>'Issues of the Grange'!B2</f>
        <v>73.25</v>
      </c>
      <c r="E62" s="42">
        <f>'Issues of the Grange'!I2</f>
        <v>20.373582995951413</v>
      </c>
      <c r="F62" s="42">
        <f>'Issues of the Grange'!O14</f>
        <v>13.437525303643723</v>
      </c>
    </row>
    <row r="63" spans="1:6" ht="15" x14ac:dyDescent="0.2">
      <c r="A63" t="s">
        <v>144</v>
      </c>
      <c r="B63" s="42">
        <f>'Issues of the Grange'!B3</f>
        <v>13.125</v>
      </c>
      <c r="E63" s="42">
        <f>'Issues of the Grange'!I3</f>
        <v>1.7499999999999996</v>
      </c>
      <c r="F63" s="42">
        <f>'Issues of the Grange'!O15</f>
        <v>1.7499999999999996</v>
      </c>
    </row>
    <row r="64" spans="1:6" ht="15" x14ac:dyDescent="0.2">
      <c r="A64" t="s">
        <v>146</v>
      </c>
      <c r="B64" s="42">
        <f>'Issues of the Grange'!B4</f>
        <v>76.5</v>
      </c>
      <c r="E64" s="42">
        <f>'Issues of the Grange'!I4</f>
        <v>15.3</v>
      </c>
      <c r="F64" s="42">
        <f>'Issues of the Grange'!O16</f>
        <v>4.9125000000000005</v>
      </c>
    </row>
    <row r="65" spans="1:6" ht="15" x14ac:dyDescent="0.2">
      <c r="A65" t="s">
        <v>148</v>
      </c>
      <c r="B65" s="42">
        <f>'Issues of the Grange'!B5</f>
        <v>178.875</v>
      </c>
      <c r="E65" s="42">
        <f>'Issues of the Grange'!I5</f>
        <v>18.680133928571422</v>
      </c>
      <c r="F65" s="42">
        <f>'Issues of the Grange'!O17</f>
        <v>3.3026372354497346</v>
      </c>
    </row>
    <row r="66" spans="1:6" ht="15" x14ac:dyDescent="0.2">
      <c r="A66" t="s">
        <v>150</v>
      </c>
      <c r="B66" s="42">
        <f>'Issues of the Grange'!B6</f>
        <v>6.75</v>
      </c>
      <c r="E66" s="42">
        <f>'Issues of the Grange'!I6</f>
        <v>0.84375</v>
      </c>
      <c r="F66" s="42">
        <f>'Issues of the Grange'!O18</f>
        <v>0.625</v>
      </c>
    </row>
    <row r="67" spans="1:6" ht="15" x14ac:dyDescent="0.2">
      <c r="A67" t="s">
        <v>152</v>
      </c>
      <c r="B67" s="42">
        <f>'Issues of the Grange'!B7</f>
        <v>8.25</v>
      </c>
      <c r="E67" s="42">
        <f>'Issues of the Grange'!I7</f>
        <v>0.82500000000000007</v>
      </c>
      <c r="F67" s="42">
        <f>'Issues of the Grange'!O19</f>
        <v>0.82500000000000007</v>
      </c>
    </row>
    <row r="68" spans="1:6" x14ac:dyDescent="0.2">
      <c r="A68" s="14" t="s">
        <v>577</v>
      </c>
      <c r="B68" s="52"/>
      <c r="C68" s="84"/>
      <c r="D68" s="52"/>
      <c r="E68" s="86">
        <f>SUM(E62:E67)</f>
        <v>57.772466924522838</v>
      </c>
      <c r="F68" s="52"/>
    </row>
    <row r="69" spans="1:6" x14ac:dyDescent="0.2">
      <c r="A69" s="14" t="s">
        <v>578</v>
      </c>
      <c r="B69" s="52"/>
      <c r="C69" s="84"/>
      <c r="D69" s="52"/>
      <c r="E69" s="86">
        <f>SUM(F62:F67)</f>
        <v>24.852662539093455</v>
      </c>
      <c r="F69" s="52"/>
    </row>
    <row r="70" spans="1:6" x14ac:dyDescent="0.2">
      <c r="A70" s="14" t="s">
        <v>579</v>
      </c>
      <c r="B70" s="52"/>
      <c r="C70" s="84"/>
      <c r="D70" s="52"/>
      <c r="E70" s="86">
        <f>Receipts!F133</f>
        <v>24.16</v>
      </c>
      <c r="F70" s="52"/>
    </row>
    <row r="71" spans="1:6" x14ac:dyDescent="0.2">
      <c r="A71" s="4"/>
    </row>
    <row r="72" spans="1:6" x14ac:dyDescent="0.2">
      <c r="A72" s="3" t="s">
        <v>580</v>
      </c>
    </row>
    <row r="73" spans="1:6" x14ac:dyDescent="0.2">
      <c r="A73" s="2" t="s">
        <v>581</v>
      </c>
    </row>
    <row r="74" spans="1:6" x14ac:dyDescent="0.2">
      <c r="A74" s="4" t="s">
        <v>282</v>
      </c>
    </row>
    <row r="75" spans="1:6" x14ac:dyDescent="0.2">
      <c r="A75" s="4" t="s">
        <v>514</v>
      </c>
    </row>
    <row r="76" spans="1:6" x14ac:dyDescent="0.2">
      <c r="A76" s="4" t="s">
        <v>582</v>
      </c>
    </row>
    <row r="77" spans="1:6" x14ac:dyDescent="0.2">
      <c r="A77" s="4" t="s">
        <v>583</v>
      </c>
    </row>
    <row r="78" spans="1:6" x14ac:dyDescent="0.2">
      <c r="A78" s="4" t="s">
        <v>513</v>
      </c>
    </row>
    <row r="79" spans="1:6" x14ac:dyDescent="0.2">
      <c r="A79" s="14" t="s">
        <v>584</v>
      </c>
    </row>
    <row r="80" spans="1:6" x14ac:dyDescent="0.2">
      <c r="A80" s="14" t="s">
        <v>579</v>
      </c>
    </row>
    <row r="81" spans="1:2" x14ac:dyDescent="0.2">
      <c r="A81" s="4"/>
    </row>
    <row r="82" spans="1:2" x14ac:dyDescent="0.2">
      <c r="A82" s="15" t="s">
        <v>585</v>
      </c>
      <c r="B82" s="52"/>
    </row>
    <row r="83" spans="1:2" x14ac:dyDescent="0.2">
      <c r="A83" s="16" t="s">
        <v>586</v>
      </c>
      <c r="B83" s="85" t="s">
        <v>792</v>
      </c>
    </row>
    <row r="84" spans="1:2" ht="17" x14ac:dyDescent="0.2">
      <c r="A84" s="17" t="s">
        <v>457</v>
      </c>
      <c r="B84">
        <f>Stock!T5</f>
        <v>0</v>
      </c>
    </row>
    <row r="85" spans="1:2" ht="17" x14ac:dyDescent="0.2">
      <c r="A85" s="17" t="s">
        <v>587</v>
      </c>
      <c r="B85">
        <f>Stock!T6</f>
        <v>0</v>
      </c>
    </row>
    <row r="86" spans="1:2" x14ac:dyDescent="0.2">
      <c r="A86" s="4" t="s">
        <v>588</v>
      </c>
      <c r="B86">
        <f>Stock!T7</f>
        <v>0.04</v>
      </c>
    </row>
    <row r="87" spans="1:2" x14ac:dyDescent="0.2">
      <c r="A87" s="4" t="s">
        <v>589</v>
      </c>
      <c r="B87">
        <f>Stock!T8</f>
        <v>0</v>
      </c>
    </row>
    <row r="88" spans="1:2" x14ac:dyDescent="0.2">
      <c r="A88" s="4" t="s">
        <v>589</v>
      </c>
      <c r="B88">
        <f>Stock!T9</f>
        <v>0</v>
      </c>
    </row>
    <row r="89" spans="1:2" x14ac:dyDescent="0.2">
      <c r="A89" s="4" t="s">
        <v>590</v>
      </c>
      <c r="B89">
        <f>Stock!T10</f>
        <v>0</v>
      </c>
    </row>
    <row r="90" spans="1:2" x14ac:dyDescent="0.2">
      <c r="A90" s="4" t="s">
        <v>591</v>
      </c>
      <c r="B90">
        <f>Stock!T11</f>
        <v>0</v>
      </c>
    </row>
    <row r="91" spans="1:2" x14ac:dyDescent="0.2">
      <c r="A91" s="4" t="s">
        <v>458</v>
      </c>
      <c r="B91">
        <f>Stock!T12</f>
        <v>3.2249999999999996</v>
      </c>
    </row>
    <row r="92" spans="1:2" x14ac:dyDescent="0.2">
      <c r="A92" s="4" t="s">
        <v>459</v>
      </c>
      <c r="B92">
        <f>Stock!T13</f>
        <v>0</v>
      </c>
    </row>
    <row r="93" spans="1:2" x14ac:dyDescent="0.2">
      <c r="A93" s="4" t="s">
        <v>460</v>
      </c>
      <c r="B93">
        <f>Stock!T14</f>
        <v>0.37333333333333335</v>
      </c>
    </row>
    <row r="94" spans="1:2" x14ac:dyDescent="0.2">
      <c r="A94" s="4" t="s">
        <v>461</v>
      </c>
      <c r="B94">
        <f>Stock!T15</f>
        <v>17.12</v>
      </c>
    </row>
    <row r="95" spans="1:2" x14ac:dyDescent="0.2">
      <c r="A95" s="4" t="s">
        <v>462</v>
      </c>
      <c r="B95">
        <f>Stock!T16</f>
        <v>0</v>
      </c>
    </row>
    <row r="96" spans="1:2" x14ac:dyDescent="0.2">
      <c r="A96" s="4" t="s">
        <v>592</v>
      </c>
      <c r="B96">
        <f>Stock!T17</f>
        <v>0</v>
      </c>
    </row>
    <row r="97" spans="1:3" x14ac:dyDescent="0.2">
      <c r="A97" s="4" t="s">
        <v>463</v>
      </c>
      <c r="B97">
        <f>Stock!T18</f>
        <v>0</v>
      </c>
    </row>
    <row r="98" spans="1:3" x14ac:dyDescent="0.2">
      <c r="A98" s="4" t="s">
        <v>464</v>
      </c>
      <c r="B98">
        <f>Stock!T19</f>
        <v>5</v>
      </c>
    </row>
    <row r="99" spans="1:3" x14ac:dyDescent="0.2">
      <c r="A99" s="4" t="s">
        <v>465</v>
      </c>
      <c r="B99">
        <f>Stock!T20</f>
        <v>0</v>
      </c>
    </row>
    <row r="100" spans="1:3" x14ac:dyDescent="0.2">
      <c r="A100" s="4" t="s">
        <v>466</v>
      </c>
      <c r="B100">
        <f>Stock!T21</f>
        <v>4.4571428571428573</v>
      </c>
    </row>
    <row r="101" spans="1:3" x14ac:dyDescent="0.2">
      <c r="A101" s="4" t="s">
        <v>467</v>
      </c>
      <c r="B101">
        <f>Stock!T22</f>
        <v>0</v>
      </c>
    </row>
    <row r="102" spans="1:3" x14ac:dyDescent="0.2">
      <c r="A102" s="4" t="s">
        <v>468</v>
      </c>
      <c r="B102">
        <f>Stock!T23</f>
        <v>4.2315789473684209</v>
      </c>
    </row>
    <row r="103" spans="1:3" x14ac:dyDescent="0.2">
      <c r="A103" s="4" t="s">
        <v>469</v>
      </c>
      <c r="B103">
        <f>Stock!T24</f>
        <v>0</v>
      </c>
    </row>
    <row r="104" spans="1:3" x14ac:dyDescent="0.2">
      <c r="A104" s="4" t="s">
        <v>593</v>
      </c>
      <c r="B104">
        <f>Stock!T25</f>
        <v>0</v>
      </c>
    </row>
    <row r="105" spans="1:3" x14ac:dyDescent="0.2">
      <c r="A105" s="4" t="s">
        <v>470</v>
      </c>
      <c r="B105">
        <f>Stock!T26</f>
        <v>3.7894736842105261</v>
      </c>
    </row>
    <row r="106" spans="1:3" x14ac:dyDescent="0.2">
      <c r="A106" s="4" t="s">
        <v>471</v>
      </c>
      <c r="B106">
        <f>Stock!T27</f>
        <v>0</v>
      </c>
    </row>
    <row r="107" spans="1:3" x14ac:dyDescent="0.2">
      <c r="A107" s="4" t="s">
        <v>472</v>
      </c>
      <c r="B107">
        <f>Stock!T28</f>
        <v>0</v>
      </c>
    </row>
    <row r="108" spans="1:3" x14ac:dyDescent="0.2">
      <c r="A108" s="4" t="s">
        <v>594</v>
      </c>
      <c r="B108">
        <f>Stock!T29</f>
        <v>0</v>
      </c>
    </row>
    <row r="109" spans="1:3" x14ac:dyDescent="0.2">
      <c r="A109" s="4" t="s">
        <v>477</v>
      </c>
      <c r="B109">
        <f>Stock!T30</f>
        <v>0</v>
      </c>
    </row>
    <row r="110" spans="1:3" x14ac:dyDescent="0.2">
      <c r="A110" s="14" t="s">
        <v>595</v>
      </c>
      <c r="B110" s="52"/>
      <c r="C110" s="84"/>
    </row>
    <row r="111" spans="1:3" x14ac:dyDescent="0.2">
      <c r="A111" s="14" t="s">
        <v>596</v>
      </c>
      <c r="B111" s="52"/>
      <c r="C111" s="84"/>
    </row>
    <row r="112" spans="1:3" x14ac:dyDescent="0.2">
      <c r="A112" s="14" t="s">
        <v>579</v>
      </c>
      <c r="B112" s="86">
        <f>Stock!R31</f>
        <v>25.86</v>
      </c>
      <c r="C112" s="84"/>
    </row>
    <row r="113" spans="1:2" x14ac:dyDescent="0.2">
      <c r="A113" s="4"/>
    </row>
    <row r="114" spans="1:2" x14ac:dyDescent="0.2">
      <c r="A114" s="3" t="s">
        <v>597</v>
      </c>
      <c r="B114" s="85" t="s">
        <v>793</v>
      </c>
    </row>
    <row r="115" spans="1:2" ht="15" x14ac:dyDescent="0.2">
      <c r="A115" t="s">
        <v>473</v>
      </c>
      <c r="B115" s="42">
        <f>Stock!T35</f>
        <v>16.240000000000002</v>
      </c>
    </row>
    <row r="116" spans="1:2" ht="15" x14ac:dyDescent="0.2">
      <c r="A116" t="s">
        <v>598</v>
      </c>
      <c r="B116" s="42">
        <f>Stock!T36</f>
        <v>1.93</v>
      </c>
    </row>
    <row r="117" spans="1:2" ht="15" x14ac:dyDescent="0.2">
      <c r="A117" t="s">
        <v>599</v>
      </c>
      <c r="B117" s="42">
        <f>Stock!T37</f>
        <v>0</v>
      </c>
    </row>
    <row r="118" spans="1:2" ht="15" x14ac:dyDescent="0.2">
      <c r="A118" t="s">
        <v>600</v>
      </c>
      <c r="B118" s="42">
        <f>Stock!T38</f>
        <v>0</v>
      </c>
    </row>
    <row r="119" spans="1:2" x14ac:dyDescent="0.2">
      <c r="A119" s="18" t="s">
        <v>584</v>
      </c>
      <c r="B119" s="52">
        <f>Stock!T39</f>
        <v>18.48</v>
      </c>
    </row>
    <row r="120" spans="1:2" x14ac:dyDescent="0.2">
      <c r="A120" s="18" t="s">
        <v>579</v>
      </c>
      <c r="B120" s="52">
        <f>Stock!R39</f>
        <v>0.31</v>
      </c>
    </row>
    <row r="121" spans="1:2" x14ac:dyDescent="0.2">
      <c r="A121" s="2"/>
    </row>
    <row r="122" spans="1:2" x14ac:dyDescent="0.2">
      <c r="A122" s="3" t="s">
        <v>601</v>
      </c>
      <c r="B122" s="85" t="s">
        <v>793</v>
      </c>
    </row>
    <row r="123" spans="1:2" x14ac:dyDescent="0.2">
      <c r="A123" s="4" t="s">
        <v>602</v>
      </c>
      <c r="B123">
        <f>Stock!T43</f>
        <v>0</v>
      </c>
    </row>
    <row r="124" spans="1:2" x14ac:dyDescent="0.2">
      <c r="A124" s="4" t="s">
        <v>603</v>
      </c>
      <c r="B124">
        <f>Stock!T44</f>
        <v>0.04</v>
      </c>
    </row>
    <row r="125" spans="1:2" x14ac:dyDescent="0.2">
      <c r="A125" s="4" t="s">
        <v>604</v>
      </c>
      <c r="B125">
        <f>Stock!T45</f>
        <v>0.01</v>
      </c>
    </row>
    <row r="126" spans="1:2" x14ac:dyDescent="0.2">
      <c r="A126" s="4" t="s">
        <v>605</v>
      </c>
      <c r="B126">
        <f>Stock!T46</f>
        <v>0</v>
      </c>
    </row>
    <row r="127" spans="1:2" x14ac:dyDescent="0.2">
      <c r="A127" s="4" t="s">
        <v>606</v>
      </c>
      <c r="B127">
        <f>Stock!T47</f>
        <v>0</v>
      </c>
    </row>
    <row r="128" spans="1:2" x14ac:dyDescent="0.2">
      <c r="A128" s="4" t="s">
        <v>607</v>
      </c>
      <c r="B128">
        <f>Stock!T48</f>
        <v>0.01</v>
      </c>
    </row>
    <row r="129" spans="1:2" x14ac:dyDescent="0.2">
      <c r="A129" s="19" t="s">
        <v>608</v>
      </c>
      <c r="B129">
        <f>Stock!T49</f>
        <v>0</v>
      </c>
    </row>
    <row r="130" spans="1:2" x14ac:dyDescent="0.2">
      <c r="A130" s="20" t="s">
        <v>609</v>
      </c>
      <c r="B130">
        <f>Stock!T50</f>
        <v>0</v>
      </c>
    </row>
    <row r="131" spans="1:2" x14ac:dyDescent="0.2">
      <c r="A131" s="20" t="s">
        <v>610</v>
      </c>
      <c r="B131">
        <f>Stock!T51</f>
        <v>0</v>
      </c>
    </row>
    <row r="132" spans="1:2" x14ac:dyDescent="0.2">
      <c r="A132" s="20" t="s">
        <v>611</v>
      </c>
      <c r="B132">
        <f>Stock!T52</f>
        <v>0</v>
      </c>
    </row>
    <row r="133" spans="1:2" x14ac:dyDescent="0.2">
      <c r="A133" s="20" t="s">
        <v>612</v>
      </c>
      <c r="B133">
        <f>Stock!T53</f>
        <v>0</v>
      </c>
    </row>
    <row r="134" spans="1:2" x14ac:dyDescent="0.2">
      <c r="A134" s="21" t="s">
        <v>613</v>
      </c>
      <c r="B134">
        <f>Stock!T54</f>
        <v>0</v>
      </c>
    </row>
    <row r="135" spans="1:2" x14ac:dyDescent="0.2">
      <c r="A135" s="20" t="s">
        <v>614</v>
      </c>
      <c r="B135">
        <f>Stock!T55</f>
        <v>0.28000000000000003</v>
      </c>
    </row>
    <row r="136" spans="1:2" x14ac:dyDescent="0.2">
      <c r="A136" s="20" t="s">
        <v>615</v>
      </c>
      <c r="B136">
        <f>Stock!T56</f>
        <v>0</v>
      </c>
    </row>
    <row r="137" spans="1:2" x14ac:dyDescent="0.2">
      <c r="A137" s="20" t="s">
        <v>616</v>
      </c>
      <c r="B137">
        <f>Stock!T57</f>
        <v>0</v>
      </c>
    </row>
    <row r="138" spans="1:2" x14ac:dyDescent="0.2">
      <c r="A138" s="20" t="s">
        <v>617</v>
      </c>
      <c r="B138">
        <f>Stock!T58</f>
        <v>0</v>
      </c>
    </row>
    <row r="139" spans="1:2" x14ac:dyDescent="0.2">
      <c r="A139" s="21" t="s">
        <v>618</v>
      </c>
      <c r="B139">
        <f>Stock!T59</f>
        <v>0</v>
      </c>
    </row>
    <row r="140" spans="1:2" x14ac:dyDescent="0.2">
      <c r="A140" s="4" t="s">
        <v>478</v>
      </c>
      <c r="B140">
        <f>Stock!T60</f>
        <v>0</v>
      </c>
    </row>
    <row r="141" spans="1:2" x14ac:dyDescent="0.2">
      <c r="A141" s="4" t="s">
        <v>619</v>
      </c>
      <c r="B141">
        <f>Stock!T61</f>
        <v>0.08</v>
      </c>
    </row>
    <row r="142" spans="1:2" x14ac:dyDescent="0.2">
      <c r="A142" s="4" t="s">
        <v>620</v>
      </c>
      <c r="B142">
        <f>Stock!T62</f>
        <v>0.28000000000000003</v>
      </c>
    </row>
    <row r="143" spans="1:2" x14ac:dyDescent="0.2">
      <c r="A143" s="14" t="s">
        <v>584</v>
      </c>
      <c r="B143" s="52">
        <f>Stock!T65</f>
        <v>0.70000000000000007</v>
      </c>
    </row>
    <row r="144" spans="1:2" x14ac:dyDescent="0.2">
      <c r="A144" s="14" t="s">
        <v>579</v>
      </c>
      <c r="B144" s="52">
        <f>Stock!R65</f>
        <v>0.70000000000000007</v>
      </c>
    </row>
    <row r="145" spans="1:2" x14ac:dyDescent="0.2">
      <c r="A145" s="4"/>
    </row>
    <row r="146" spans="1:2" x14ac:dyDescent="0.2">
      <c r="A146" s="3" t="s">
        <v>476</v>
      </c>
      <c r="B146" s="85" t="s">
        <v>793</v>
      </c>
    </row>
    <row r="147" spans="1:2" ht="17" x14ac:dyDescent="0.2">
      <c r="A147" s="17" t="s">
        <v>621</v>
      </c>
      <c r="B147">
        <f>Stock!T69</f>
        <v>0</v>
      </c>
    </row>
    <row r="148" spans="1:2" x14ac:dyDescent="0.2">
      <c r="A148" s="4" t="s">
        <v>622</v>
      </c>
      <c r="B148">
        <f>Stock!T70</f>
        <v>0</v>
      </c>
    </row>
    <row r="149" spans="1:2" x14ac:dyDescent="0.2">
      <c r="A149" s="4" t="s">
        <v>623</v>
      </c>
      <c r="B149">
        <f>Stock!T71</f>
        <v>0</v>
      </c>
    </row>
    <row r="150" spans="1:2" x14ac:dyDescent="0.2">
      <c r="A150" s="4" t="s">
        <v>624</v>
      </c>
      <c r="B150">
        <f>Stock!T72</f>
        <v>0</v>
      </c>
    </row>
    <row r="151" spans="1:2" x14ac:dyDescent="0.2">
      <c r="A151" s="18" t="s">
        <v>584</v>
      </c>
      <c r="B151" s="52">
        <f>SUM(B147:B150)</f>
        <v>0</v>
      </c>
    </row>
    <row r="152" spans="1:2" x14ac:dyDescent="0.2">
      <c r="A152" s="18" t="s">
        <v>579</v>
      </c>
      <c r="B152" s="52"/>
    </row>
    <row r="153" spans="1:2" x14ac:dyDescent="0.2">
      <c r="A153" s="4"/>
    </row>
    <row r="154" spans="1:2" x14ac:dyDescent="0.2">
      <c r="A154" s="3" t="s">
        <v>625</v>
      </c>
      <c r="B154" s="85" t="s">
        <v>793</v>
      </c>
    </row>
    <row r="155" spans="1:2" x14ac:dyDescent="0.2">
      <c r="A155" s="4" t="s">
        <v>626</v>
      </c>
      <c r="B155">
        <f>Stock!T77</f>
        <v>0</v>
      </c>
    </row>
    <row r="156" spans="1:2" x14ac:dyDescent="0.2">
      <c r="A156" s="4" t="s">
        <v>627</v>
      </c>
      <c r="B156">
        <f>Stock!T78</f>
        <v>0.16</v>
      </c>
    </row>
    <row r="157" spans="1:2" x14ac:dyDescent="0.2">
      <c r="A157" s="4" t="s">
        <v>628</v>
      </c>
      <c r="B157">
        <f>Stock!T79</f>
        <v>0</v>
      </c>
    </row>
    <row r="158" spans="1:2" x14ac:dyDescent="0.2">
      <c r="A158" s="14" t="s">
        <v>629</v>
      </c>
      <c r="B158" s="52">
        <f>Stock!T80</f>
        <v>0.16</v>
      </c>
    </row>
    <row r="159" spans="1:2" x14ac:dyDescent="0.2">
      <c r="A159" s="14" t="s">
        <v>579</v>
      </c>
      <c r="B159" s="52">
        <f>Stock!R80</f>
        <v>0.16</v>
      </c>
    </row>
    <row r="160" spans="1:2" x14ac:dyDescent="0.2">
      <c r="A160" s="4"/>
    </row>
    <row r="161" spans="1:2" x14ac:dyDescent="0.2">
      <c r="A161" s="3" t="s">
        <v>630</v>
      </c>
      <c r="B161" s="85" t="s">
        <v>793</v>
      </c>
    </row>
    <row r="162" spans="1:2" x14ac:dyDescent="0.2">
      <c r="A162" s="4" t="s">
        <v>475</v>
      </c>
      <c r="B162">
        <f>Stock!T95</f>
        <v>0.39</v>
      </c>
    </row>
    <row r="163" spans="1:2" x14ac:dyDescent="0.2">
      <c r="A163" s="4" t="s">
        <v>631</v>
      </c>
      <c r="B163">
        <f>Stock!T90</f>
        <v>0.25</v>
      </c>
    </row>
    <row r="164" spans="1:2" x14ac:dyDescent="0.2">
      <c r="A164" s="4" t="s">
        <v>632</v>
      </c>
      <c r="B164" s="42">
        <f>Stock!T91</f>
        <v>3.785333333333333</v>
      </c>
    </row>
    <row r="165" spans="1:2" x14ac:dyDescent="0.2">
      <c r="A165" s="14" t="s">
        <v>584</v>
      </c>
      <c r="B165" s="86">
        <f>SUM(B162:B164)</f>
        <v>4.4253333333333327</v>
      </c>
    </row>
    <row r="166" spans="1:2" x14ac:dyDescent="0.2">
      <c r="A166" s="14" t="s">
        <v>579</v>
      </c>
      <c r="B166" s="86">
        <f>Stock!R96+Stock!R92</f>
        <v>4.04</v>
      </c>
    </row>
    <row r="167" spans="1:2" x14ac:dyDescent="0.2">
      <c r="A167" s="4"/>
    </row>
    <row r="168" spans="1:2" x14ac:dyDescent="0.2">
      <c r="A168" s="4"/>
    </row>
    <row r="169" spans="1:2" ht="17" thickBot="1" x14ac:dyDescent="0.25"/>
    <row r="170" spans="1:2" ht="17" thickBot="1" x14ac:dyDescent="0.25">
      <c r="A170" s="22"/>
      <c r="B170" s="89"/>
    </row>
    <row r="171" spans="1:2" x14ac:dyDescent="0.2">
      <c r="A171" s="23" t="s">
        <v>633</v>
      </c>
      <c r="B171" s="90">
        <f>B165+B158+B151+B143+B119+B112+E69</f>
        <v>74.477995872426789</v>
      </c>
    </row>
    <row r="172" spans="1:2" x14ac:dyDescent="0.2">
      <c r="A172" s="24" t="s">
        <v>634</v>
      </c>
      <c r="B172" s="90">
        <f>B166+B159+B152+B144+B120+B112+E70</f>
        <v>55.230000000000004</v>
      </c>
    </row>
    <row r="173" spans="1:2" x14ac:dyDescent="0.2">
      <c r="A173" s="24" t="s">
        <v>635</v>
      </c>
      <c r="B173" s="90">
        <f>Receipts!F133+Receipts!F118</f>
        <v>66.11</v>
      </c>
    </row>
    <row r="174" spans="1:2" x14ac:dyDescent="0.2">
      <c r="A174" s="24" t="s">
        <v>636</v>
      </c>
      <c r="B174" s="90">
        <f>B171+Receipts!F39+Receipts!F53+Receipts!F57+Receipts!F64+Receipts!F68+Receipts!F122+Receipts!F149+Receipts!F156+Receipts!F165</f>
        <v>115.18132920576011</v>
      </c>
    </row>
    <row r="175" spans="1:2" x14ac:dyDescent="0.2">
      <c r="A175" s="25"/>
      <c r="B175" s="87"/>
    </row>
    <row r="176" spans="1:2" x14ac:dyDescent="0.2">
      <c r="A176" s="26" t="s">
        <v>637</v>
      </c>
      <c r="B176" s="91">
        <f>B47/B171</f>
        <v>4.9108464280710834E-2</v>
      </c>
    </row>
    <row r="177" spans="1:2" x14ac:dyDescent="0.2">
      <c r="A177" s="24" t="s">
        <v>638</v>
      </c>
      <c r="B177" s="91">
        <f>B47/B174</f>
        <v>3.1754278451381956E-2</v>
      </c>
    </row>
    <row r="178" spans="1:2" x14ac:dyDescent="0.2">
      <c r="A178" s="25"/>
      <c r="B178" s="87"/>
    </row>
    <row r="179" spans="1:2" ht="17" thickBot="1" x14ac:dyDescent="0.25">
      <c r="A179" s="27" t="s">
        <v>639</v>
      </c>
      <c r="B179" s="88"/>
    </row>
  </sheetData>
  <mergeCells count="1">
    <mergeCell ref="B60:C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9"/>
  <sheetViews>
    <sheetView workbookViewId="0">
      <pane xSplit="1" ySplit="2" topLeftCell="B137" activePane="bottomRight" state="frozen"/>
      <selection pane="topRight" activeCell="B1" sqref="B1"/>
      <selection pane="bottomLeft" activeCell="A3" sqref="A3"/>
      <selection pane="bottomRight" activeCell="F170" sqref="F170"/>
    </sheetView>
  </sheetViews>
  <sheetFormatPr baseColWidth="10" defaultColWidth="8.83203125" defaultRowHeight="15" x14ac:dyDescent="0.2"/>
  <cols>
    <col min="1" max="1" width="33.83203125" bestFit="1" customWidth="1"/>
    <col min="6" max="6" width="8.83203125" style="42"/>
    <col min="7" max="7" width="8.83203125" style="43"/>
  </cols>
  <sheetData>
    <row r="1" spans="1:9" s="5" customFormat="1" ht="16" x14ac:dyDescent="0.2">
      <c r="A1" s="31" t="s">
        <v>643</v>
      </c>
      <c r="E1" s="30"/>
      <c r="F1" s="38"/>
      <c r="G1" s="39"/>
    </row>
    <row r="2" spans="1:9" s="5" customFormat="1" ht="16" x14ac:dyDescent="0.2">
      <c r="A2" s="33" t="s">
        <v>0</v>
      </c>
      <c r="B2" s="34" t="s">
        <v>644</v>
      </c>
      <c r="C2" s="35" t="s">
        <v>645</v>
      </c>
      <c r="D2" s="35" t="s">
        <v>646</v>
      </c>
      <c r="E2" s="35"/>
      <c r="F2" s="40" t="s">
        <v>640</v>
      </c>
      <c r="G2" s="41" t="s">
        <v>443</v>
      </c>
      <c r="H2" s="36" t="s">
        <v>647</v>
      </c>
      <c r="I2" s="37" t="s">
        <v>648</v>
      </c>
    </row>
    <row r="3" spans="1:9" x14ac:dyDescent="0.2">
      <c r="A3" t="s">
        <v>34</v>
      </c>
      <c r="B3">
        <v>68</v>
      </c>
      <c r="C3">
        <v>12</v>
      </c>
      <c r="D3">
        <v>7.25</v>
      </c>
      <c r="F3" s="42">
        <v>68.63</v>
      </c>
      <c r="H3" t="s">
        <v>35</v>
      </c>
    </row>
    <row r="4" spans="1:9" x14ac:dyDescent="0.2">
      <c r="A4" t="s">
        <v>34</v>
      </c>
      <c r="B4">
        <v>0</v>
      </c>
      <c r="C4">
        <v>0</v>
      </c>
      <c r="D4">
        <v>0</v>
      </c>
      <c r="F4" s="42">
        <v>0</v>
      </c>
      <c r="H4" t="s">
        <v>36</v>
      </c>
    </row>
    <row r="5" spans="1:9" x14ac:dyDescent="0.2">
      <c r="A5" t="s">
        <v>34</v>
      </c>
      <c r="B5">
        <v>0</v>
      </c>
      <c r="C5">
        <v>0</v>
      </c>
      <c r="D5">
        <v>0</v>
      </c>
      <c r="F5" s="42">
        <v>0</v>
      </c>
      <c r="H5" t="s">
        <v>37</v>
      </c>
    </row>
    <row r="6" spans="1:9" x14ac:dyDescent="0.2">
      <c r="A6" t="s">
        <v>34</v>
      </c>
      <c r="F6" s="42">
        <v>68.63</v>
      </c>
      <c r="G6" s="43">
        <f>F6-F3</f>
        <v>0</v>
      </c>
      <c r="H6" t="s">
        <v>444</v>
      </c>
    </row>
    <row r="8" spans="1:9" x14ac:dyDescent="0.2">
      <c r="A8" t="s">
        <v>38</v>
      </c>
      <c r="B8">
        <v>6</v>
      </c>
      <c r="C8">
        <v>13</v>
      </c>
      <c r="D8">
        <v>11.25</v>
      </c>
      <c r="F8" s="42">
        <v>6.7</v>
      </c>
      <c r="H8" t="s">
        <v>39</v>
      </c>
    </row>
    <row r="9" spans="1:9" x14ac:dyDescent="0.2">
      <c r="A9" t="s">
        <v>38</v>
      </c>
      <c r="B9">
        <v>7</v>
      </c>
      <c r="C9">
        <v>9</v>
      </c>
      <c r="D9">
        <v>1</v>
      </c>
      <c r="F9" s="42">
        <v>7.45</v>
      </c>
      <c r="H9" t="s">
        <v>40</v>
      </c>
    </row>
    <row r="10" spans="1:9" x14ac:dyDescent="0.2">
      <c r="A10" t="s">
        <v>38</v>
      </c>
      <c r="B10">
        <v>6</v>
      </c>
      <c r="C10">
        <v>13</v>
      </c>
      <c r="D10">
        <v>11.25</v>
      </c>
      <c r="F10" s="42">
        <v>6.7</v>
      </c>
      <c r="H10" t="s">
        <v>41</v>
      </c>
    </row>
    <row r="11" spans="1:9" x14ac:dyDescent="0.2">
      <c r="A11" t="s">
        <v>38</v>
      </c>
      <c r="B11">
        <v>11</v>
      </c>
      <c r="C11">
        <v>10</v>
      </c>
      <c r="D11">
        <v>10.75</v>
      </c>
      <c r="F11" s="42">
        <f>B11+C11/20+D11/240</f>
        <v>11.544791666666667</v>
      </c>
      <c r="H11" t="s">
        <v>649</v>
      </c>
    </row>
    <row r="12" spans="1:9" x14ac:dyDescent="0.2">
      <c r="A12" t="s">
        <v>38</v>
      </c>
      <c r="B12">
        <v>32</v>
      </c>
      <c r="C12">
        <v>7</v>
      </c>
      <c r="D12">
        <v>10.25</v>
      </c>
      <c r="F12" s="42">
        <v>32.39</v>
      </c>
      <c r="H12" t="s">
        <v>43</v>
      </c>
    </row>
    <row r="13" spans="1:9" x14ac:dyDescent="0.2">
      <c r="A13" t="s">
        <v>38</v>
      </c>
      <c r="F13" s="42">
        <f>SUM(F8:F11)</f>
        <v>32.39479166666667</v>
      </c>
      <c r="G13" s="43">
        <f>F13-F12</f>
        <v>4.7916666666694141E-3</v>
      </c>
      <c r="H13" t="s">
        <v>444</v>
      </c>
    </row>
    <row r="15" spans="1:9" x14ac:dyDescent="0.2">
      <c r="A15" t="s">
        <v>44</v>
      </c>
      <c r="B15">
        <v>0</v>
      </c>
      <c r="C15">
        <v>0</v>
      </c>
      <c r="D15">
        <v>1</v>
      </c>
      <c r="F15" s="42">
        <f>B15+C15/20+D15/240</f>
        <v>4.1666666666666666E-3</v>
      </c>
      <c r="H15" t="s">
        <v>45</v>
      </c>
    </row>
    <row r="16" spans="1:9" x14ac:dyDescent="0.2">
      <c r="A16" t="s">
        <v>44</v>
      </c>
      <c r="B16">
        <v>0</v>
      </c>
      <c r="C16">
        <v>0</v>
      </c>
      <c r="D16">
        <v>1</v>
      </c>
      <c r="F16" s="42">
        <f>B16+C16/20+D16/240</f>
        <v>4.1666666666666666E-3</v>
      </c>
      <c r="H16" t="s">
        <v>650</v>
      </c>
    </row>
    <row r="17" spans="1:8" x14ac:dyDescent="0.2">
      <c r="A17" t="s">
        <v>44</v>
      </c>
      <c r="F17" s="42">
        <f>B17+C17/20+D17/240</f>
        <v>0</v>
      </c>
      <c r="G17" s="43">
        <f>F17-F16</f>
        <v>-4.1666666666666666E-3</v>
      </c>
      <c r="H17" t="s">
        <v>444</v>
      </c>
    </row>
    <row r="19" spans="1:8" x14ac:dyDescent="0.2">
      <c r="A19" t="s">
        <v>652</v>
      </c>
      <c r="B19">
        <v>32</v>
      </c>
      <c r="C19">
        <v>7</v>
      </c>
      <c r="D19">
        <v>11.25</v>
      </c>
      <c r="F19" s="42">
        <v>32.4</v>
      </c>
      <c r="H19" t="s">
        <v>651</v>
      </c>
    </row>
    <row r="20" spans="1:8" x14ac:dyDescent="0.2">
      <c r="A20" t="s">
        <v>652</v>
      </c>
      <c r="F20" s="42">
        <f>F13+F17</f>
        <v>32.39479166666667</v>
      </c>
      <c r="G20" s="43">
        <f>F20-F19</f>
        <v>-5.2083333333285964E-3</v>
      </c>
      <c r="H20" t="s">
        <v>444</v>
      </c>
    </row>
    <row r="22" spans="1:8" x14ac:dyDescent="0.2">
      <c r="A22" t="s">
        <v>47</v>
      </c>
      <c r="B22">
        <v>0</v>
      </c>
      <c r="C22">
        <v>2</v>
      </c>
      <c r="D22">
        <v>6</v>
      </c>
      <c r="F22" s="42">
        <v>0.12</v>
      </c>
      <c r="H22" t="s">
        <v>48</v>
      </c>
    </row>
    <row r="23" spans="1:8" x14ac:dyDescent="0.2">
      <c r="A23" t="s">
        <v>47</v>
      </c>
      <c r="B23">
        <v>0</v>
      </c>
      <c r="C23">
        <v>2</v>
      </c>
      <c r="D23">
        <v>6</v>
      </c>
      <c r="F23" s="42">
        <v>0.12</v>
      </c>
      <c r="H23" t="s">
        <v>49</v>
      </c>
    </row>
    <row r="24" spans="1:8" x14ac:dyDescent="0.2">
      <c r="A24" t="s">
        <v>47</v>
      </c>
      <c r="B24">
        <v>0</v>
      </c>
      <c r="C24">
        <v>5</v>
      </c>
      <c r="D24">
        <v>0</v>
      </c>
      <c r="F24" s="42">
        <v>0.25</v>
      </c>
      <c r="H24" t="s">
        <v>50</v>
      </c>
    </row>
    <row r="25" spans="1:8" x14ac:dyDescent="0.2">
      <c r="A25" t="s">
        <v>47</v>
      </c>
      <c r="B25">
        <v>0</v>
      </c>
      <c r="C25">
        <v>5</v>
      </c>
      <c r="D25">
        <v>0</v>
      </c>
      <c r="F25" s="42">
        <v>0.25</v>
      </c>
      <c r="H25" t="s">
        <v>51</v>
      </c>
    </row>
    <row r="26" spans="1:8" x14ac:dyDescent="0.2">
      <c r="A26" t="s">
        <v>47</v>
      </c>
      <c r="B26">
        <v>0</v>
      </c>
      <c r="C26">
        <v>1</v>
      </c>
      <c r="D26">
        <v>8</v>
      </c>
      <c r="F26" s="42">
        <v>0.08</v>
      </c>
      <c r="H26" t="s">
        <v>52</v>
      </c>
    </row>
    <row r="27" spans="1:8" x14ac:dyDescent="0.2">
      <c r="A27" t="s">
        <v>47</v>
      </c>
      <c r="B27">
        <v>0</v>
      </c>
      <c r="C27">
        <v>1</v>
      </c>
      <c r="D27">
        <v>8</v>
      </c>
      <c r="F27" s="42">
        <v>0.08</v>
      </c>
      <c r="H27" t="s">
        <v>653</v>
      </c>
    </row>
    <row r="28" spans="1:8" x14ac:dyDescent="0.2">
      <c r="A28" t="s">
        <v>47</v>
      </c>
      <c r="B28">
        <v>0</v>
      </c>
      <c r="C28">
        <v>18</v>
      </c>
      <c r="D28">
        <v>4</v>
      </c>
      <c r="F28" s="42">
        <f>B28+C28/20+D28/240</f>
        <v>0.91666666666666674</v>
      </c>
      <c r="H28" t="s">
        <v>654</v>
      </c>
    </row>
    <row r="29" spans="1:8" x14ac:dyDescent="0.2">
      <c r="A29" t="s">
        <v>47</v>
      </c>
      <c r="F29" s="42">
        <v>0.89999999999999991</v>
      </c>
      <c r="G29" s="43">
        <f>F29-F28</f>
        <v>-1.6666666666666829E-2</v>
      </c>
      <c r="H29" t="s">
        <v>444</v>
      </c>
    </row>
    <row r="31" spans="1:8" x14ac:dyDescent="0.2">
      <c r="A31" t="s">
        <v>54</v>
      </c>
      <c r="B31">
        <v>0</v>
      </c>
      <c r="C31">
        <v>1</v>
      </c>
      <c r="D31">
        <v>6</v>
      </c>
      <c r="F31" s="42">
        <v>0.08</v>
      </c>
      <c r="H31" t="s">
        <v>55</v>
      </c>
    </row>
    <row r="32" spans="1:8" x14ac:dyDescent="0.2">
      <c r="A32" t="s">
        <v>54</v>
      </c>
      <c r="B32">
        <v>0</v>
      </c>
      <c r="C32">
        <v>0</v>
      </c>
      <c r="D32">
        <v>6</v>
      </c>
      <c r="F32" s="42">
        <v>0.03</v>
      </c>
      <c r="H32" t="s">
        <v>56</v>
      </c>
    </row>
    <row r="33" spans="1:8" x14ac:dyDescent="0.2">
      <c r="A33" t="s">
        <v>54</v>
      </c>
      <c r="B33">
        <v>0</v>
      </c>
      <c r="C33">
        <v>0</v>
      </c>
      <c r="D33">
        <v>6</v>
      </c>
      <c r="F33" s="42">
        <v>0.03</v>
      </c>
      <c r="H33" t="s">
        <v>57</v>
      </c>
    </row>
    <row r="34" spans="1:8" x14ac:dyDescent="0.2">
      <c r="A34" t="s">
        <v>54</v>
      </c>
      <c r="B34">
        <v>0</v>
      </c>
      <c r="C34">
        <v>6</v>
      </c>
      <c r="D34">
        <v>0</v>
      </c>
      <c r="F34" s="42">
        <f>B34+C34/20+D34/240</f>
        <v>0.3</v>
      </c>
      <c r="H34" t="s">
        <v>655</v>
      </c>
    </row>
    <row r="35" spans="1:8" x14ac:dyDescent="0.2">
      <c r="A35" t="s">
        <v>54</v>
      </c>
      <c r="B35">
        <v>0</v>
      </c>
      <c r="C35">
        <v>8</v>
      </c>
      <c r="D35">
        <v>6</v>
      </c>
      <c r="F35" s="42">
        <f>B35+C35/20+D35/240</f>
        <v>0.42500000000000004</v>
      </c>
      <c r="H35" t="s">
        <v>656</v>
      </c>
    </row>
    <row r="36" spans="1:8" x14ac:dyDescent="0.2">
      <c r="A36" t="s">
        <v>54</v>
      </c>
      <c r="F36" s="42">
        <f>SUM(F31:F34)</f>
        <v>0.44</v>
      </c>
      <c r="G36" s="43">
        <f>F36-F35</f>
        <v>1.4999999999999958E-2</v>
      </c>
      <c r="H36" t="s">
        <v>444</v>
      </c>
    </row>
    <row r="38" spans="1:8" x14ac:dyDescent="0.2">
      <c r="A38" t="s">
        <v>61</v>
      </c>
      <c r="B38">
        <v>31</v>
      </c>
      <c r="C38">
        <v>1</v>
      </c>
      <c r="D38">
        <v>1.25</v>
      </c>
      <c r="F38" s="42">
        <v>31.06</v>
      </c>
      <c r="H38" t="s">
        <v>62</v>
      </c>
    </row>
    <row r="39" spans="1:8" x14ac:dyDescent="0.2">
      <c r="A39" t="s">
        <v>61</v>
      </c>
      <c r="F39" s="42">
        <v>31.06</v>
      </c>
      <c r="G39" s="43">
        <f>F39-F38</f>
        <v>0</v>
      </c>
      <c r="H39" t="s">
        <v>444</v>
      </c>
    </row>
    <row r="41" spans="1:8" x14ac:dyDescent="0.2">
      <c r="A41" t="s">
        <v>63</v>
      </c>
      <c r="B41">
        <v>0</v>
      </c>
      <c r="C41">
        <v>0</v>
      </c>
      <c r="D41">
        <v>3</v>
      </c>
      <c r="F41" s="42">
        <v>0.01</v>
      </c>
      <c r="H41" t="s">
        <v>64</v>
      </c>
    </row>
    <row r="42" spans="1:8" x14ac:dyDescent="0.2">
      <c r="A42" t="s">
        <v>63</v>
      </c>
      <c r="B42">
        <v>0</v>
      </c>
      <c r="C42">
        <v>0</v>
      </c>
      <c r="D42">
        <v>3</v>
      </c>
      <c r="F42" s="42">
        <v>0.01</v>
      </c>
      <c r="H42" t="s">
        <v>65</v>
      </c>
    </row>
    <row r="43" spans="1:8" x14ac:dyDescent="0.2">
      <c r="A43" t="s">
        <v>63</v>
      </c>
      <c r="B43">
        <v>0</v>
      </c>
      <c r="C43">
        <v>0</v>
      </c>
      <c r="D43">
        <v>3</v>
      </c>
      <c r="F43" s="42">
        <v>0.01</v>
      </c>
      <c r="H43" t="s">
        <v>66</v>
      </c>
    </row>
    <row r="44" spans="1:8" x14ac:dyDescent="0.2">
      <c r="A44" t="s">
        <v>63</v>
      </c>
      <c r="B44">
        <v>0</v>
      </c>
      <c r="C44">
        <v>0</v>
      </c>
      <c r="D44">
        <v>3</v>
      </c>
      <c r="F44" s="42">
        <v>0.01</v>
      </c>
      <c r="H44" t="s">
        <v>67</v>
      </c>
    </row>
    <row r="45" spans="1:8" x14ac:dyDescent="0.2">
      <c r="A45" t="s">
        <v>63</v>
      </c>
      <c r="B45">
        <v>0</v>
      </c>
      <c r="C45">
        <v>0</v>
      </c>
      <c r="D45">
        <v>4</v>
      </c>
      <c r="F45" s="42">
        <v>0.02</v>
      </c>
      <c r="H45" t="s">
        <v>68</v>
      </c>
    </row>
    <row r="46" spans="1:8" x14ac:dyDescent="0.2">
      <c r="A46" t="s">
        <v>63</v>
      </c>
      <c r="B46">
        <v>0</v>
      </c>
      <c r="C46">
        <v>0</v>
      </c>
      <c r="D46">
        <v>3</v>
      </c>
      <c r="F46" s="42">
        <v>0.01</v>
      </c>
      <c r="H46" t="s">
        <v>69</v>
      </c>
    </row>
    <row r="47" spans="1:8" x14ac:dyDescent="0.2">
      <c r="A47" t="s">
        <v>63</v>
      </c>
      <c r="B47">
        <v>0</v>
      </c>
      <c r="C47">
        <v>0</v>
      </c>
      <c r="D47">
        <v>3</v>
      </c>
      <c r="F47" s="42">
        <v>0.01</v>
      </c>
      <c r="H47" t="s">
        <v>70</v>
      </c>
    </row>
    <row r="48" spans="1:8" x14ac:dyDescent="0.2">
      <c r="A48" t="s">
        <v>63</v>
      </c>
      <c r="B48">
        <v>0</v>
      </c>
      <c r="C48">
        <v>0</v>
      </c>
      <c r="D48">
        <v>6</v>
      </c>
      <c r="F48" s="42">
        <v>0.03</v>
      </c>
      <c r="H48" t="s">
        <v>71</v>
      </c>
    </row>
    <row r="49" spans="1:8" x14ac:dyDescent="0.2">
      <c r="A49" t="s">
        <v>63</v>
      </c>
      <c r="B49">
        <v>0</v>
      </c>
      <c r="C49">
        <v>0</v>
      </c>
      <c r="D49">
        <v>3</v>
      </c>
      <c r="F49" s="42">
        <v>0.01</v>
      </c>
      <c r="H49" t="s">
        <v>72</v>
      </c>
    </row>
    <row r="50" spans="1:8" x14ac:dyDescent="0.2">
      <c r="A50" t="s">
        <v>63</v>
      </c>
      <c r="B50">
        <v>0</v>
      </c>
      <c r="C50">
        <v>0</v>
      </c>
      <c r="D50">
        <v>6</v>
      </c>
      <c r="F50" s="42">
        <v>0.03</v>
      </c>
      <c r="H50" t="s">
        <v>73</v>
      </c>
    </row>
    <row r="51" spans="1:8" x14ac:dyDescent="0.2">
      <c r="A51" t="s">
        <v>63</v>
      </c>
      <c r="B51">
        <v>0</v>
      </c>
      <c r="C51">
        <v>0</v>
      </c>
      <c r="D51">
        <v>3</v>
      </c>
      <c r="F51" s="42">
        <v>0.01</v>
      </c>
      <c r="H51" t="s">
        <v>74</v>
      </c>
    </row>
    <row r="52" spans="1:8" x14ac:dyDescent="0.2">
      <c r="A52" t="s">
        <v>63</v>
      </c>
      <c r="B52">
        <v>0</v>
      </c>
      <c r="C52">
        <v>3</v>
      </c>
      <c r="D52">
        <v>4</v>
      </c>
      <c r="F52" s="42">
        <v>0.17</v>
      </c>
      <c r="H52" t="s">
        <v>75</v>
      </c>
    </row>
    <row r="53" spans="1:8" x14ac:dyDescent="0.2">
      <c r="A53" t="s">
        <v>63</v>
      </c>
      <c r="F53" s="42">
        <v>0.16</v>
      </c>
      <c r="G53" s="43">
        <v>-1.0000000000000011E-2</v>
      </c>
      <c r="H53" t="s">
        <v>444</v>
      </c>
    </row>
    <row r="55" spans="1:8" x14ac:dyDescent="0.2">
      <c r="A55" t="s">
        <v>76</v>
      </c>
      <c r="B55">
        <v>0</v>
      </c>
      <c r="C55">
        <v>0</v>
      </c>
      <c r="D55">
        <v>0</v>
      </c>
      <c r="F55" s="42">
        <v>0</v>
      </c>
      <c r="H55" t="s">
        <v>77</v>
      </c>
    </row>
    <row r="56" spans="1:8" x14ac:dyDescent="0.2">
      <c r="A56" t="s">
        <v>76</v>
      </c>
      <c r="B56">
        <v>0</v>
      </c>
      <c r="C56">
        <v>0</v>
      </c>
      <c r="D56">
        <v>0</v>
      </c>
      <c r="F56" s="42">
        <v>0</v>
      </c>
      <c r="H56" t="s">
        <v>78</v>
      </c>
    </row>
    <row r="57" spans="1:8" x14ac:dyDescent="0.2">
      <c r="A57" t="s">
        <v>76</v>
      </c>
      <c r="F57" s="42">
        <v>0</v>
      </c>
      <c r="G57" s="43">
        <v>0</v>
      </c>
      <c r="H57" t="s">
        <v>444</v>
      </c>
    </row>
    <row r="59" spans="1:8" x14ac:dyDescent="0.2">
      <c r="A59" t="s">
        <v>79</v>
      </c>
      <c r="B59">
        <v>0</v>
      </c>
      <c r="C59">
        <v>0</v>
      </c>
      <c r="D59">
        <v>0</v>
      </c>
      <c r="F59" s="42">
        <v>0</v>
      </c>
      <c r="H59" t="s">
        <v>80</v>
      </c>
    </row>
    <row r="60" spans="1:8" x14ac:dyDescent="0.2">
      <c r="A60" t="s">
        <v>79</v>
      </c>
      <c r="B60">
        <v>0</v>
      </c>
      <c r="C60">
        <v>0</v>
      </c>
      <c r="D60">
        <v>0</v>
      </c>
      <c r="F60" s="42">
        <v>0</v>
      </c>
      <c r="H60" t="s">
        <v>81</v>
      </c>
    </row>
    <row r="61" spans="1:8" x14ac:dyDescent="0.2">
      <c r="A61" t="s">
        <v>79</v>
      </c>
      <c r="B61">
        <v>0</v>
      </c>
      <c r="C61">
        <v>0</v>
      </c>
      <c r="D61">
        <v>0</v>
      </c>
      <c r="F61" s="42">
        <v>0</v>
      </c>
      <c r="H61" t="s">
        <v>82</v>
      </c>
    </row>
    <row r="62" spans="1:8" x14ac:dyDescent="0.2">
      <c r="A62" t="s">
        <v>79</v>
      </c>
      <c r="B62">
        <v>0</v>
      </c>
      <c r="C62">
        <v>0</v>
      </c>
      <c r="D62">
        <v>0</v>
      </c>
      <c r="F62" s="42">
        <v>0</v>
      </c>
      <c r="H62" t="s">
        <v>83</v>
      </c>
    </row>
    <row r="63" spans="1:8" x14ac:dyDescent="0.2">
      <c r="A63" t="s">
        <v>79</v>
      </c>
      <c r="B63">
        <v>0</v>
      </c>
      <c r="C63">
        <v>0</v>
      </c>
      <c r="D63">
        <v>0</v>
      </c>
      <c r="F63" s="42">
        <v>0</v>
      </c>
      <c r="H63" t="s">
        <v>84</v>
      </c>
    </row>
    <row r="64" spans="1:8" x14ac:dyDescent="0.2">
      <c r="A64" t="s">
        <v>79</v>
      </c>
      <c r="F64" s="42">
        <v>0</v>
      </c>
      <c r="G64" s="43">
        <v>0</v>
      </c>
      <c r="H64" t="s">
        <v>444</v>
      </c>
    </row>
    <row r="66" spans="1:8" x14ac:dyDescent="0.2">
      <c r="A66" t="s">
        <v>85</v>
      </c>
      <c r="B66">
        <v>0</v>
      </c>
      <c r="C66">
        <v>0</v>
      </c>
      <c r="D66">
        <v>0</v>
      </c>
      <c r="F66" s="42">
        <v>0</v>
      </c>
      <c r="H66" t="s">
        <v>86</v>
      </c>
    </row>
    <row r="67" spans="1:8" x14ac:dyDescent="0.2">
      <c r="A67" t="s">
        <v>85</v>
      </c>
      <c r="B67">
        <v>0</v>
      </c>
      <c r="C67">
        <v>0</v>
      </c>
      <c r="D67">
        <v>0</v>
      </c>
      <c r="F67" s="42">
        <v>0</v>
      </c>
      <c r="H67" t="s">
        <v>78</v>
      </c>
    </row>
    <row r="68" spans="1:8" x14ac:dyDescent="0.2">
      <c r="A68" t="s">
        <v>85</v>
      </c>
      <c r="F68" s="42">
        <v>0</v>
      </c>
      <c r="G68" s="43">
        <v>0</v>
      </c>
      <c r="H68" t="s">
        <v>444</v>
      </c>
    </row>
    <row r="70" spans="1:8" x14ac:dyDescent="0.2">
      <c r="A70" t="s">
        <v>87</v>
      </c>
      <c r="B70">
        <v>1</v>
      </c>
      <c r="C70">
        <v>18</v>
      </c>
      <c r="D70">
        <v>4.5</v>
      </c>
      <c r="F70">
        <v>1.92</v>
      </c>
      <c r="H70" t="s">
        <v>88</v>
      </c>
    </row>
    <row r="71" spans="1:8" x14ac:dyDescent="0.2">
      <c r="A71" t="s">
        <v>87</v>
      </c>
      <c r="B71">
        <v>1</v>
      </c>
      <c r="C71">
        <v>1</v>
      </c>
      <c r="D71">
        <v>0</v>
      </c>
      <c r="F71">
        <v>1.05</v>
      </c>
      <c r="H71" t="s">
        <v>89</v>
      </c>
    </row>
    <row r="72" spans="1:8" x14ac:dyDescent="0.2">
      <c r="A72" t="s">
        <v>87</v>
      </c>
      <c r="B72">
        <v>1</v>
      </c>
      <c r="C72">
        <v>8</v>
      </c>
      <c r="D72">
        <v>6</v>
      </c>
      <c r="F72">
        <v>1.42</v>
      </c>
      <c r="H72" t="s">
        <v>90</v>
      </c>
    </row>
    <row r="73" spans="1:8" x14ac:dyDescent="0.2">
      <c r="A73" t="s">
        <v>87</v>
      </c>
      <c r="B73">
        <v>0</v>
      </c>
      <c r="C73">
        <v>0</v>
      </c>
      <c r="D73">
        <v>0</v>
      </c>
      <c r="F73">
        <v>0</v>
      </c>
      <c r="H73" t="s">
        <v>91</v>
      </c>
    </row>
    <row r="74" spans="1:8" x14ac:dyDescent="0.2">
      <c r="A74" t="s">
        <v>87</v>
      </c>
      <c r="B74">
        <v>0</v>
      </c>
      <c r="C74">
        <v>2</v>
      </c>
      <c r="D74">
        <v>6</v>
      </c>
      <c r="F74">
        <v>0.12</v>
      </c>
      <c r="H74" t="s">
        <v>92</v>
      </c>
    </row>
    <row r="75" spans="1:8" x14ac:dyDescent="0.2">
      <c r="A75" t="s">
        <v>87</v>
      </c>
      <c r="B75">
        <v>0</v>
      </c>
      <c r="C75">
        <v>1</v>
      </c>
      <c r="D75">
        <v>8</v>
      </c>
      <c r="F75">
        <v>0.08</v>
      </c>
      <c r="H75" t="s">
        <v>93</v>
      </c>
    </row>
    <row r="76" spans="1:8" x14ac:dyDescent="0.2">
      <c r="A76" t="s">
        <v>87</v>
      </c>
      <c r="B76">
        <v>0</v>
      </c>
      <c r="C76">
        <v>0</v>
      </c>
      <c r="D76">
        <v>6</v>
      </c>
      <c r="F76">
        <v>0.03</v>
      </c>
      <c r="H76" t="s">
        <v>94</v>
      </c>
    </row>
    <row r="77" spans="1:8" x14ac:dyDescent="0.2">
      <c r="A77" t="s">
        <v>87</v>
      </c>
      <c r="B77">
        <v>0</v>
      </c>
      <c r="C77">
        <v>2</v>
      </c>
      <c r="D77">
        <v>0</v>
      </c>
      <c r="F77">
        <v>0.1</v>
      </c>
      <c r="H77" t="s">
        <v>95</v>
      </c>
    </row>
    <row r="78" spans="1:8" x14ac:dyDescent="0.2">
      <c r="A78" t="s">
        <v>87</v>
      </c>
      <c r="B78">
        <v>0</v>
      </c>
      <c r="C78">
        <v>0</v>
      </c>
      <c r="D78">
        <v>0</v>
      </c>
      <c r="F78">
        <v>0</v>
      </c>
      <c r="H78" t="s">
        <v>96</v>
      </c>
    </row>
    <row r="79" spans="1:8" x14ac:dyDescent="0.2">
      <c r="A79" t="s">
        <v>87</v>
      </c>
      <c r="B79">
        <v>0</v>
      </c>
      <c r="C79">
        <v>3</v>
      </c>
      <c r="D79">
        <v>0</v>
      </c>
      <c r="F79">
        <v>0.15</v>
      </c>
      <c r="H79" t="s">
        <v>97</v>
      </c>
    </row>
    <row r="80" spans="1:8" x14ac:dyDescent="0.2">
      <c r="A80" t="s">
        <v>87</v>
      </c>
      <c r="B80">
        <v>0</v>
      </c>
      <c r="C80">
        <v>3</v>
      </c>
      <c r="D80">
        <v>3.5</v>
      </c>
      <c r="F80">
        <v>0.16</v>
      </c>
      <c r="H80" t="s">
        <v>98</v>
      </c>
    </row>
    <row r="81" spans="1:8" x14ac:dyDescent="0.2">
      <c r="A81" t="s">
        <v>87</v>
      </c>
      <c r="B81">
        <v>0</v>
      </c>
      <c r="C81">
        <v>3</v>
      </c>
      <c r="D81">
        <v>0</v>
      </c>
      <c r="F81">
        <v>0.15</v>
      </c>
      <c r="H81" t="s">
        <v>99</v>
      </c>
    </row>
    <row r="82" spans="1:8" x14ac:dyDescent="0.2">
      <c r="A82" t="s">
        <v>87</v>
      </c>
      <c r="B82">
        <v>0</v>
      </c>
      <c r="C82">
        <v>4</v>
      </c>
      <c r="D82">
        <v>9.5</v>
      </c>
      <c r="F82">
        <v>0.24</v>
      </c>
      <c r="H82" t="s">
        <v>100</v>
      </c>
    </row>
    <row r="83" spans="1:8" x14ac:dyDescent="0.2">
      <c r="A83" t="s">
        <v>87</v>
      </c>
      <c r="B83">
        <v>0</v>
      </c>
      <c r="C83">
        <v>6</v>
      </c>
      <c r="D83">
        <v>8</v>
      </c>
      <c r="F83">
        <v>0.33</v>
      </c>
      <c r="H83" t="s">
        <v>101</v>
      </c>
    </row>
    <row r="84" spans="1:8" x14ac:dyDescent="0.2">
      <c r="A84" t="s">
        <v>87</v>
      </c>
      <c r="B84">
        <v>2</v>
      </c>
      <c r="C84">
        <v>7</v>
      </c>
      <c r="D84">
        <v>0</v>
      </c>
      <c r="F84">
        <v>2.35</v>
      </c>
      <c r="H84" t="s">
        <v>102</v>
      </c>
    </row>
    <row r="85" spans="1:8" x14ac:dyDescent="0.2">
      <c r="A85" t="s">
        <v>87</v>
      </c>
      <c r="B85">
        <v>2</v>
      </c>
      <c r="C85">
        <v>3</v>
      </c>
      <c r="D85">
        <v>1</v>
      </c>
      <c r="F85">
        <v>2.15</v>
      </c>
      <c r="H85" t="s">
        <v>103</v>
      </c>
    </row>
    <row r="86" spans="1:8" x14ac:dyDescent="0.2">
      <c r="A86" t="s">
        <v>87</v>
      </c>
      <c r="B86">
        <v>1</v>
      </c>
      <c r="C86">
        <v>2</v>
      </c>
      <c r="D86">
        <v>6</v>
      </c>
      <c r="F86">
        <v>1.1200000000000001</v>
      </c>
      <c r="H86" t="s">
        <v>104</v>
      </c>
    </row>
    <row r="87" spans="1:8" x14ac:dyDescent="0.2">
      <c r="A87" t="s">
        <v>87</v>
      </c>
      <c r="B87">
        <v>0</v>
      </c>
      <c r="C87">
        <v>1</v>
      </c>
      <c r="D87">
        <v>0</v>
      </c>
      <c r="F87">
        <v>0.05</v>
      </c>
      <c r="H87" t="s">
        <v>105</v>
      </c>
    </row>
    <row r="88" spans="1:8" x14ac:dyDescent="0.2">
      <c r="A88" t="s">
        <v>87</v>
      </c>
      <c r="B88">
        <v>0</v>
      </c>
      <c r="C88">
        <v>0</v>
      </c>
      <c r="D88">
        <v>0</v>
      </c>
      <c r="F88">
        <v>0</v>
      </c>
      <c r="H88" t="s">
        <v>106</v>
      </c>
    </row>
    <row r="89" spans="1:8" x14ac:dyDescent="0.2">
      <c r="A89" t="s">
        <v>87</v>
      </c>
      <c r="B89">
        <v>0</v>
      </c>
      <c r="C89">
        <v>1</v>
      </c>
      <c r="D89">
        <v>6</v>
      </c>
      <c r="F89">
        <v>0.08</v>
      </c>
      <c r="H89" t="s">
        <v>107</v>
      </c>
    </row>
    <row r="90" spans="1:8" x14ac:dyDescent="0.2">
      <c r="A90" t="s">
        <v>87</v>
      </c>
      <c r="B90">
        <v>0</v>
      </c>
      <c r="C90">
        <v>1</v>
      </c>
      <c r="D90">
        <v>0</v>
      </c>
      <c r="F90">
        <v>0.05</v>
      </c>
      <c r="H90" t="s">
        <v>108</v>
      </c>
    </row>
    <row r="91" spans="1:8" x14ac:dyDescent="0.2">
      <c r="A91" t="s">
        <v>87</v>
      </c>
      <c r="B91">
        <v>0</v>
      </c>
      <c r="C91">
        <v>5</v>
      </c>
      <c r="D91">
        <v>0</v>
      </c>
      <c r="F91">
        <v>0.25</v>
      </c>
      <c r="H91" t="s">
        <v>109</v>
      </c>
    </row>
    <row r="92" spans="1:8" x14ac:dyDescent="0.2">
      <c r="A92" t="s">
        <v>87</v>
      </c>
      <c r="B92">
        <v>1</v>
      </c>
      <c r="C92">
        <v>4</v>
      </c>
      <c r="D92">
        <v>0</v>
      </c>
      <c r="F92">
        <v>1.2</v>
      </c>
      <c r="H92" t="s">
        <v>110</v>
      </c>
    </row>
    <row r="93" spans="1:8" x14ac:dyDescent="0.2">
      <c r="A93" t="s">
        <v>87</v>
      </c>
      <c r="B93">
        <v>0</v>
      </c>
      <c r="C93">
        <v>6</v>
      </c>
      <c r="D93">
        <v>0</v>
      </c>
      <c r="F93">
        <v>0.3</v>
      </c>
      <c r="H93" t="s">
        <v>111</v>
      </c>
    </row>
    <row r="94" spans="1:8" x14ac:dyDescent="0.2">
      <c r="A94" t="s">
        <v>87</v>
      </c>
      <c r="B94">
        <v>1</v>
      </c>
      <c r="C94">
        <v>0</v>
      </c>
      <c r="D94">
        <v>0</v>
      </c>
      <c r="F94">
        <v>1</v>
      </c>
      <c r="H94" t="s">
        <v>112</v>
      </c>
    </row>
    <row r="95" spans="1:8" x14ac:dyDescent="0.2">
      <c r="A95" t="s">
        <v>87</v>
      </c>
      <c r="B95">
        <v>0</v>
      </c>
      <c r="C95">
        <v>13</v>
      </c>
      <c r="D95">
        <v>0</v>
      </c>
      <c r="F95">
        <v>0.65</v>
      </c>
      <c r="H95" t="s">
        <v>113</v>
      </c>
    </row>
    <row r="96" spans="1:8" x14ac:dyDescent="0.2">
      <c r="A96" t="s">
        <v>87</v>
      </c>
      <c r="B96">
        <v>0</v>
      </c>
      <c r="C96">
        <v>9</v>
      </c>
      <c r="D96">
        <v>6</v>
      </c>
      <c r="F96">
        <v>0.48</v>
      </c>
      <c r="H96" t="s">
        <v>114</v>
      </c>
    </row>
    <row r="97" spans="1:8" x14ac:dyDescent="0.2">
      <c r="A97" t="s">
        <v>87</v>
      </c>
      <c r="B97">
        <v>3</v>
      </c>
      <c r="C97">
        <v>0</v>
      </c>
      <c r="D97">
        <v>0</v>
      </c>
      <c r="F97">
        <v>3</v>
      </c>
      <c r="H97" t="s">
        <v>115</v>
      </c>
    </row>
    <row r="98" spans="1:8" x14ac:dyDescent="0.2">
      <c r="A98" t="s">
        <v>87</v>
      </c>
      <c r="B98">
        <v>0</v>
      </c>
      <c r="C98">
        <v>0</v>
      </c>
      <c r="D98">
        <v>10</v>
      </c>
      <c r="F98">
        <v>0.04</v>
      </c>
      <c r="H98" t="s">
        <v>116</v>
      </c>
    </row>
    <row r="99" spans="1:8" x14ac:dyDescent="0.2">
      <c r="A99" t="s">
        <v>87</v>
      </c>
      <c r="B99">
        <v>0</v>
      </c>
      <c r="C99">
        <v>0</v>
      </c>
      <c r="D99">
        <v>2</v>
      </c>
      <c r="F99">
        <v>0.01</v>
      </c>
      <c r="H99" t="s">
        <v>117</v>
      </c>
    </row>
    <row r="100" spans="1:8" x14ac:dyDescent="0.2">
      <c r="A100" t="s">
        <v>87</v>
      </c>
      <c r="B100">
        <v>0</v>
      </c>
      <c r="C100">
        <v>0</v>
      </c>
      <c r="D100">
        <v>3.5</v>
      </c>
      <c r="F100">
        <v>0.01</v>
      </c>
      <c r="H100" t="s">
        <v>118</v>
      </c>
    </row>
    <row r="101" spans="1:8" x14ac:dyDescent="0.2">
      <c r="A101" t="s">
        <v>87</v>
      </c>
      <c r="B101">
        <v>0</v>
      </c>
      <c r="C101">
        <v>14</v>
      </c>
      <c r="D101">
        <v>6</v>
      </c>
      <c r="F101">
        <v>0.72</v>
      </c>
      <c r="H101" t="s">
        <v>119</v>
      </c>
    </row>
    <row r="102" spans="1:8" x14ac:dyDescent="0.2">
      <c r="A102" t="s">
        <v>87</v>
      </c>
      <c r="B102">
        <v>0</v>
      </c>
      <c r="C102">
        <v>1</v>
      </c>
      <c r="D102">
        <v>6</v>
      </c>
      <c r="F102">
        <v>0.08</v>
      </c>
      <c r="H102" t="s">
        <v>120</v>
      </c>
    </row>
    <row r="103" spans="1:8" x14ac:dyDescent="0.2">
      <c r="A103" t="s">
        <v>87</v>
      </c>
      <c r="B103">
        <v>0</v>
      </c>
      <c r="C103">
        <v>5</v>
      </c>
      <c r="D103">
        <v>6.5</v>
      </c>
      <c r="F103">
        <v>0.28000000000000003</v>
      </c>
      <c r="H103" t="s">
        <v>121</v>
      </c>
    </row>
    <row r="104" spans="1:8" x14ac:dyDescent="0.2">
      <c r="A104" t="s">
        <v>87</v>
      </c>
      <c r="B104">
        <v>0</v>
      </c>
      <c r="C104">
        <v>0</v>
      </c>
      <c r="D104">
        <v>0</v>
      </c>
      <c r="F104">
        <v>0</v>
      </c>
      <c r="H104" t="s">
        <v>122</v>
      </c>
    </row>
    <row r="105" spans="1:8" x14ac:dyDescent="0.2">
      <c r="A105" t="s">
        <v>87</v>
      </c>
      <c r="B105">
        <v>0</v>
      </c>
      <c r="C105">
        <v>6</v>
      </c>
      <c r="D105">
        <v>1.5</v>
      </c>
      <c r="F105">
        <v>0.31</v>
      </c>
      <c r="H105" t="s">
        <v>123</v>
      </c>
    </row>
    <row r="106" spans="1:8" x14ac:dyDescent="0.2">
      <c r="A106" t="s">
        <v>87</v>
      </c>
      <c r="B106">
        <v>0</v>
      </c>
      <c r="C106">
        <v>5</v>
      </c>
      <c r="D106">
        <v>0</v>
      </c>
      <c r="F106">
        <v>0.25</v>
      </c>
      <c r="H106" t="s">
        <v>124</v>
      </c>
    </row>
    <row r="107" spans="1:8" x14ac:dyDescent="0.2">
      <c r="A107" t="s">
        <v>87</v>
      </c>
      <c r="B107">
        <v>3</v>
      </c>
      <c r="C107">
        <v>8</v>
      </c>
      <c r="D107">
        <v>0</v>
      </c>
      <c r="F107">
        <v>3.4</v>
      </c>
      <c r="H107" t="s">
        <v>125</v>
      </c>
    </row>
    <row r="108" spans="1:8" x14ac:dyDescent="0.2">
      <c r="A108" t="s">
        <v>87</v>
      </c>
      <c r="B108">
        <v>0</v>
      </c>
      <c r="C108">
        <v>7</v>
      </c>
      <c r="D108">
        <v>10</v>
      </c>
      <c r="F108">
        <v>0.39</v>
      </c>
      <c r="H108" t="s">
        <v>126</v>
      </c>
    </row>
    <row r="109" spans="1:8" x14ac:dyDescent="0.2">
      <c r="A109" t="s">
        <v>87</v>
      </c>
      <c r="B109">
        <v>0</v>
      </c>
      <c r="C109">
        <v>3</v>
      </c>
      <c r="D109">
        <v>2</v>
      </c>
      <c r="F109">
        <v>0.16</v>
      </c>
      <c r="H109" t="s">
        <v>127</v>
      </c>
    </row>
    <row r="110" spans="1:8" x14ac:dyDescent="0.2">
      <c r="A110" t="s">
        <v>87</v>
      </c>
      <c r="B110">
        <v>0</v>
      </c>
      <c r="C110">
        <v>10</v>
      </c>
      <c r="D110">
        <v>0</v>
      </c>
      <c r="F110">
        <v>0.5</v>
      </c>
      <c r="H110" t="s">
        <v>128</v>
      </c>
    </row>
    <row r="111" spans="1:8" x14ac:dyDescent="0.2">
      <c r="A111" t="s">
        <v>87</v>
      </c>
      <c r="B111">
        <v>0</v>
      </c>
      <c r="C111">
        <v>1</v>
      </c>
      <c r="D111">
        <v>3</v>
      </c>
      <c r="F111">
        <v>0.06</v>
      </c>
      <c r="H111" t="s">
        <v>129</v>
      </c>
    </row>
    <row r="112" spans="1:8" x14ac:dyDescent="0.2">
      <c r="A112" t="s">
        <v>87</v>
      </c>
      <c r="B112">
        <v>0</v>
      </c>
      <c r="C112">
        <v>0</v>
      </c>
      <c r="D112">
        <v>0</v>
      </c>
      <c r="F112">
        <v>0</v>
      </c>
      <c r="H112" t="s">
        <v>131</v>
      </c>
    </row>
    <row r="113" spans="1:8" x14ac:dyDescent="0.2">
      <c r="A113" t="s">
        <v>87</v>
      </c>
      <c r="B113">
        <v>0</v>
      </c>
      <c r="C113">
        <v>0</v>
      </c>
      <c r="D113">
        <v>0</v>
      </c>
      <c r="F113">
        <v>0</v>
      </c>
      <c r="H113" t="s">
        <v>132</v>
      </c>
    </row>
    <row r="114" spans="1:8" x14ac:dyDescent="0.2">
      <c r="A114" t="s">
        <v>87</v>
      </c>
      <c r="B114">
        <v>0</v>
      </c>
      <c r="C114">
        <v>0</v>
      </c>
      <c r="D114">
        <v>0</v>
      </c>
      <c r="F114">
        <v>0</v>
      </c>
      <c r="H114" t="s">
        <v>133</v>
      </c>
    </row>
    <row r="115" spans="1:8" x14ac:dyDescent="0.2">
      <c r="A115" t="s">
        <v>87</v>
      </c>
      <c r="B115">
        <v>0</v>
      </c>
      <c r="C115">
        <v>3</v>
      </c>
      <c r="D115">
        <v>9</v>
      </c>
      <c r="F115">
        <v>0.19</v>
      </c>
      <c r="H115" t="s">
        <v>134</v>
      </c>
    </row>
    <row r="116" spans="1:8" x14ac:dyDescent="0.2">
      <c r="A116" t="s">
        <v>87</v>
      </c>
      <c r="B116">
        <v>17</v>
      </c>
      <c r="C116">
        <v>2</v>
      </c>
      <c r="D116">
        <v>6</v>
      </c>
      <c r="F116">
        <v>17.12</v>
      </c>
      <c r="H116" t="s">
        <v>135</v>
      </c>
    </row>
    <row r="117" spans="1:8" x14ac:dyDescent="0.2">
      <c r="A117" t="s">
        <v>87</v>
      </c>
      <c r="B117">
        <v>42</v>
      </c>
      <c r="C117">
        <v>3</v>
      </c>
      <c r="D117">
        <v>4</v>
      </c>
      <c r="F117">
        <v>42.17</v>
      </c>
      <c r="H117" t="s">
        <v>136</v>
      </c>
    </row>
    <row r="118" spans="1:8" x14ac:dyDescent="0.2">
      <c r="F118">
        <f>SUM(F70:F116)</f>
        <v>41.95</v>
      </c>
      <c r="G118" s="43">
        <f>F118-F117</f>
        <v>-0.21999999999999886</v>
      </c>
      <c r="H118" t="s">
        <v>444</v>
      </c>
    </row>
    <row r="120" spans="1:8" x14ac:dyDescent="0.2">
      <c r="A120" t="s">
        <v>137</v>
      </c>
      <c r="B120">
        <v>1</v>
      </c>
      <c r="C120">
        <v>16</v>
      </c>
      <c r="D120">
        <v>0</v>
      </c>
      <c r="F120" s="42">
        <v>1.8</v>
      </c>
      <c r="H120" t="s">
        <v>138</v>
      </c>
    </row>
    <row r="121" spans="1:8" x14ac:dyDescent="0.2">
      <c r="A121" t="s">
        <v>137</v>
      </c>
      <c r="B121">
        <v>1</v>
      </c>
      <c r="C121">
        <v>16</v>
      </c>
      <c r="D121">
        <v>0</v>
      </c>
      <c r="F121" s="42">
        <v>1.8</v>
      </c>
      <c r="H121" t="s">
        <v>139</v>
      </c>
    </row>
    <row r="122" spans="1:8" x14ac:dyDescent="0.2">
      <c r="A122" t="s">
        <v>137</v>
      </c>
      <c r="F122" s="42">
        <v>1.8</v>
      </c>
      <c r="G122" s="43">
        <v>0</v>
      </c>
      <c r="H122" t="s">
        <v>444</v>
      </c>
    </row>
    <row r="124" spans="1:8" x14ac:dyDescent="0.2">
      <c r="A124" t="s">
        <v>140</v>
      </c>
      <c r="B124">
        <v>12</v>
      </c>
      <c r="C124">
        <v>14</v>
      </c>
      <c r="D124">
        <v>3</v>
      </c>
      <c r="F124" s="42">
        <v>12.71</v>
      </c>
      <c r="H124" t="s">
        <v>445</v>
      </c>
    </row>
    <row r="125" spans="1:8" x14ac:dyDescent="0.2">
      <c r="A125" t="s">
        <v>140</v>
      </c>
      <c r="B125">
        <v>1</v>
      </c>
      <c r="C125">
        <v>15</v>
      </c>
      <c r="D125">
        <v>0</v>
      </c>
      <c r="F125" s="42">
        <v>1.75</v>
      </c>
      <c r="H125" t="s">
        <v>446</v>
      </c>
    </row>
    <row r="126" spans="1:8" x14ac:dyDescent="0.2">
      <c r="A126" t="s">
        <v>140</v>
      </c>
      <c r="B126">
        <v>4</v>
      </c>
      <c r="C126">
        <v>13</v>
      </c>
      <c r="D126">
        <v>0</v>
      </c>
      <c r="F126" s="42">
        <v>4.6500000000000004</v>
      </c>
      <c r="H126" t="s">
        <v>447</v>
      </c>
    </row>
    <row r="127" spans="1:8" x14ac:dyDescent="0.2">
      <c r="A127" t="s">
        <v>140</v>
      </c>
      <c r="B127">
        <v>3</v>
      </c>
      <c r="C127">
        <v>5</v>
      </c>
      <c r="D127">
        <v>9.5</v>
      </c>
      <c r="F127" s="42">
        <v>3.29</v>
      </c>
      <c r="H127" t="s">
        <v>448</v>
      </c>
    </row>
    <row r="128" spans="1:8" x14ac:dyDescent="0.2">
      <c r="A128" t="s">
        <v>140</v>
      </c>
      <c r="B128">
        <v>0</v>
      </c>
      <c r="C128">
        <v>12</v>
      </c>
      <c r="D128">
        <v>6</v>
      </c>
      <c r="F128" s="42">
        <v>0.62</v>
      </c>
      <c r="H128" t="s">
        <v>449</v>
      </c>
    </row>
    <row r="129" spans="1:8" x14ac:dyDescent="0.2">
      <c r="A129" t="s">
        <v>140</v>
      </c>
      <c r="B129">
        <v>0</v>
      </c>
      <c r="C129">
        <v>16</v>
      </c>
      <c r="D129">
        <v>6</v>
      </c>
      <c r="F129" s="42">
        <v>0.83</v>
      </c>
      <c r="H129" t="s">
        <v>450</v>
      </c>
    </row>
    <row r="130" spans="1:8" x14ac:dyDescent="0.2">
      <c r="A130" t="s">
        <v>140</v>
      </c>
      <c r="B130">
        <v>0</v>
      </c>
      <c r="C130">
        <v>3</v>
      </c>
      <c r="D130">
        <v>4.5</v>
      </c>
      <c r="F130" s="42">
        <v>0.17</v>
      </c>
      <c r="H130" t="s">
        <v>153</v>
      </c>
    </row>
    <row r="131" spans="1:8" x14ac:dyDescent="0.2">
      <c r="A131" t="s">
        <v>140</v>
      </c>
      <c r="B131">
        <v>0</v>
      </c>
      <c r="C131">
        <v>2</v>
      </c>
      <c r="D131">
        <v>9</v>
      </c>
      <c r="F131" s="42">
        <v>0.14000000000000001</v>
      </c>
      <c r="H131" t="s">
        <v>154</v>
      </c>
    </row>
    <row r="132" spans="1:8" x14ac:dyDescent="0.2">
      <c r="A132" t="s">
        <v>140</v>
      </c>
      <c r="B132">
        <v>24</v>
      </c>
      <c r="C132">
        <v>3</v>
      </c>
      <c r="D132">
        <v>2</v>
      </c>
      <c r="F132" s="42">
        <v>24.16</v>
      </c>
      <c r="H132" t="s">
        <v>155</v>
      </c>
    </row>
    <row r="133" spans="1:8" x14ac:dyDescent="0.2">
      <c r="A133" t="s">
        <v>140</v>
      </c>
      <c r="F133" s="42">
        <v>24.16</v>
      </c>
      <c r="G133" s="43">
        <v>0</v>
      </c>
      <c r="H133" t="s">
        <v>444</v>
      </c>
    </row>
    <row r="135" spans="1:8" x14ac:dyDescent="0.2">
      <c r="A135" t="s">
        <v>156</v>
      </c>
      <c r="B135">
        <v>0</v>
      </c>
      <c r="C135">
        <v>5</v>
      </c>
      <c r="D135">
        <v>0</v>
      </c>
      <c r="F135" s="42">
        <v>0.25</v>
      </c>
      <c r="H135" t="s">
        <v>157</v>
      </c>
    </row>
    <row r="136" spans="1:8" x14ac:dyDescent="0.2">
      <c r="A136" t="s">
        <v>156</v>
      </c>
      <c r="B136">
        <v>0</v>
      </c>
      <c r="C136">
        <v>5</v>
      </c>
      <c r="D136">
        <v>0</v>
      </c>
      <c r="F136" s="42">
        <v>0.25</v>
      </c>
      <c r="H136" t="s">
        <v>158</v>
      </c>
    </row>
    <row r="137" spans="1:8" x14ac:dyDescent="0.2">
      <c r="A137" t="s">
        <v>156</v>
      </c>
      <c r="B137">
        <v>0</v>
      </c>
      <c r="C137">
        <v>5</v>
      </c>
      <c r="D137">
        <v>0</v>
      </c>
      <c r="F137" s="42">
        <v>0.25</v>
      </c>
      <c r="H137" t="s">
        <v>159</v>
      </c>
    </row>
    <row r="138" spans="1:8" x14ac:dyDescent="0.2">
      <c r="A138" t="s">
        <v>156</v>
      </c>
      <c r="B138">
        <v>0</v>
      </c>
      <c r="C138">
        <v>5</v>
      </c>
      <c r="D138">
        <v>0</v>
      </c>
      <c r="F138" s="42">
        <v>0.25</v>
      </c>
      <c r="H138" t="s">
        <v>160</v>
      </c>
    </row>
    <row r="139" spans="1:8" x14ac:dyDescent="0.2">
      <c r="A139" t="s">
        <v>156</v>
      </c>
      <c r="B139">
        <v>1</v>
      </c>
      <c r="C139">
        <v>0</v>
      </c>
      <c r="D139">
        <v>0</v>
      </c>
      <c r="F139" s="42">
        <v>1</v>
      </c>
      <c r="H139" t="s">
        <v>161</v>
      </c>
    </row>
    <row r="140" spans="1:8" x14ac:dyDescent="0.2">
      <c r="A140" t="s">
        <v>156</v>
      </c>
      <c r="B140">
        <v>0</v>
      </c>
      <c r="C140">
        <v>5</v>
      </c>
      <c r="D140">
        <v>0</v>
      </c>
      <c r="F140" s="42">
        <v>0.25</v>
      </c>
      <c r="H140" t="s">
        <v>162</v>
      </c>
    </row>
    <row r="141" spans="1:8" x14ac:dyDescent="0.2">
      <c r="A141" t="s">
        <v>156</v>
      </c>
      <c r="B141">
        <v>0</v>
      </c>
      <c r="C141">
        <v>10</v>
      </c>
      <c r="D141">
        <v>0</v>
      </c>
      <c r="F141" s="42">
        <v>0.5</v>
      </c>
      <c r="H141" t="s">
        <v>163</v>
      </c>
    </row>
    <row r="142" spans="1:8" x14ac:dyDescent="0.2">
      <c r="A142" t="s">
        <v>156</v>
      </c>
      <c r="B142">
        <v>0</v>
      </c>
      <c r="C142">
        <v>2</v>
      </c>
      <c r="D142">
        <v>0</v>
      </c>
      <c r="F142" s="42">
        <v>0.1</v>
      </c>
      <c r="H142" t="s">
        <v>164</v>
      </c>
    </row>
    <row r="143" spans="1:8" x14ac:dyDescent="0.2">
      <c r="A143" t="s">
        <v>156</v>
      </c>
      <c r="B143">
        <v>0</v>
      </c>
      <c r="C143">
        <v>1</v>
      </c>
      <c r="D143">
        <v>0</v>
      </c>
      <c r="F143" s="42">
        <v>0.05</v>
      </c>
      <c r="H143" t="s">
        <v>165</v>
      </c>
    </row>
    <row r="144" spans="1:8" x14ac:dyDescent="0.2">
      <c r="A144" t="s">
        <v>156</v>
      </c>
      <c r="B144">
        <v>0</v>
      </c>
      <c r="C144">
        <v>1</v>
      </c>
      <c r="D144">
        <v>0</v>
      </c>
      <c r="F144" s="42">
        <v>0.05</v>
      </c>
      <c r="H144" t="s">
        <v>166</v>
      </c>
    </row>
    <row r="145" spans="1:8" x14ac:dyDescent="0.2">
      <c r="A145" t="s">
        <v>156</v>
      </c>
      <c r="B145">
        <v>0</v>
      </c>
      <c r="C145">
        <v>4</v>
      </c>
      <c r="D145">
        <v>0</v>
      </c>
      <c r="F145" s="42">
        <v>0.2</v>
      </c>
      <c r="H145" t="s">
        <v>167</v>
      </c>
    </row>
    <row r="146" spans="1:8" x14ac:dyDescent="0.2">
      <c r="A146" t="s">
        <v>156</v>
      </c>
      <c r="B146">
        <v>0</v>
      </c>
      <c r="C146">
        <v>1</v>
      </c>
      <c r="D146">
        <v>0</v>
      </c>
      <c r="F146" s="42">
        <v>0.05</v>
      </c>
      <c r="H146" t="s">
        <v>168</v>
      </c>
    </row>
    <row r="147" spans="1:8" x14ac:dyDescent="0.2">
      <c r="A147" t="s">
        <v>156</v>
      </c>
      <c r="B147">
        <v>0</v>
      </c>
      <c r="C147">
        <v>10</v>
      </c>
      <c r="D147">
        <v>0</v>
      </c>
      <c r="F147" s="42">
        <f>B147+C147/20+D147/240</f>
        <v>0.5</v>
      </c>
      <c r="H147" t="s">
        <v>657</v>
      </c>
    </row>
    <row r="148" spans="1:8" x14ac:dyDescent="0.2">
      <c r="A148" t="s">
        <v>156</v>
      </c>
      <c r="B148">
        <v>3</v>
      </c>
      <c r="C148">
        <v>14</v>
      </c>
      <c r="D148">
        <v>0</v>
      </c>
      <c r="F148" s="42">
        <f>B148+C148/20+D148/240</f>
        <v>3.7</v>
      </c>
      <c r="H148" t="s">
        <v>658</v>
      </c>
    </row>
    <row r="149" spans="1:8" x14ac:dyDescent="0.2">
      <c r="A149" t="s">
        <v>156</v>
      </c>
      <c r="F149" s="42">
        <f>SUM(F135:F147)</f>
        <v>3.6999999999999997</v>
      </c>
      <c r="G149" s="43">
        <f>F149-F148</f>
        <v>0</v>
      </c>
      <c r="H149" t="s">
        <v>444</v>
      </c>
    </row>
    <row r="151" spans="1:8" x14ac:dyDescent="0.2">
      <c r="A151" t="s">
        <v>170</v>
      </c>
      <c r="B151">
        <v>0</v>
      </c>
      <c r="C151">
        <v>2</v>
      </c>
      <c r="D151">
        <v>0</v>
      </c>
      <c r="F151" s="42">
        <v>0.1</v>
      </c>
      <c r="H151" t="s">
        <v>171</v>
      </c>
    </row>
    <row r="152" spans="1:8" x14ac:dyDescent="0.2">
      <c r="A152" t="s">
        <v>170</v>
      </c>
      <c r="B152">
        <v>0</v>
      </c>
      <c r="C152">
        <v>2</v>
      </c>
      <c r="D152">
        <v>0</v>
      </c>
      <c r="F152" s="42">
        <v>0.1</v>
      </c>
      <c r="H152" t="s">
        <v>172</v>
      </c>
    </row>
    <row r="153" spans="1:8" x14ac:dyDescent="0.2">
      <c r="A153" t="s">
        <v>170</v>
      </c>
      <c r="B153">
        <v>0</v>
      </c>
      <c r="C153">
        <v>6</v>
      </c>
      <c r="D153">
        <v>8</v>
      </c>
      <c r="F153" s="42">
        <v>0.33</v>
      </c>
      <c r="H153" t="s">
        <v>173</v>
      </c>
    </row>
    <row r="154" spans="1:8" x14ac:dyDescent="0.2">
      <c r="A154" t="s">
        <v>170</v>
      </c>
      <c r="B154">
        <v>3</v>
      </c>
      <c r="C154">
        <v>5</v>
      </c>
      <c r="D154">
        <v>9</v>
      </c>
      <c r="F154" s="42">
        <v>3.29</v>
      </c>
      <c r="H154" t="s">
        <v>174</v>
      </c>
    </row>
    <row r="155" spans="1:8" x14ac:dyDescent="0.2">
      <c r="A155" t="s">
        <v>170</v>
      </c>
      <c r="B155">
        <v>3</v>
      </c>
      <c r="C155">
        <v>16</v>
      </c>
      <c r="D155">
        <v>5</v>
      </c>
      <c r="F155" s="42">
        <f>B155+C155/20+D155/240</f>
        <v>3.8208333333333333</v>
      </c>
      <c r="H155" t="s">
        <v>659</v>
      </c>
    </row>
    <row r="156" spans="1:8" x14ac:dyDescent="0.2">
      <c r="A156" t="s">
        <v>170</v>
      </c>
      <c r="F156" s="42">
        <v>3.82</v>
      </c>
      <c r="G156" s="43">
        <f>F156-F155</f>
        <v>-8.333333333334636E-4</v>
      </c>
      <c r="H156" t="s">
        <v>444</v>
      </c>
    </row>
    <row r="158" spans="1:8" x14ac:dyDescent="0.2">
      <c r="A158" t="s">
        <v>661</v>
      </c>
      <c r="B158">
        <v>7</v>
      </c>
      <c r="C158">
        <v>10</v>
      </c>
      <c r="D158">
        <v>5</v>
      </c>
      <c r="F158" s="42">
        <f>B158+C158/20+D158/240</f>
        <v>7.520833333333333</v>
      </c>
      <c r="H158" t="s">
        <v>660</v>
      </c>
    </row>
    <row r="159" spans="1:8" x14ac:dyDescent="0.2">
      <c r="A159" t="s">
        <v>661</v>
      </c>
      <c r="F159" s="42">
        <f>F156+F149</f>
        <v>7.52</v>
      </c>
      <c r="G159" s="43">
        <f>F159-F158</f>
        <v>-8.333333333334636E-4</v>
      </c>
      <c r="H159" t="s">
        <v>444</v>
      </c>
    </row>
    <row r="161" spans="1:8" x14ac:dyDescent="0.2">
      <c r="A161" t="s">
        <v>176</v>
      </c>
      <c r="B161">
        <v>0</v>
      </c>
      <c r="C161">
        <v>0</v>
      </c>
      <c r="D161">
        <v>6</v>
      </c>
      <c r="F161" s="42">
        <v>0.03</v>
      </c>
      <c r="H161" t="s">
        <v>177</v>
      </c>
    </row>
    <row r="162" spans="1:8" x14ac:dyDescent="0.2">
      <c r="A162" t="s">
        <v>176</v>
      </c>
      <c r="B162">
        <v>0</v>
      </c>
      <c r="C162">
        <v>0</v>
      </c>
      <c r="D162">
        <v>6</v>
      </c>
      <c r="F162" s="42">
        <f t="shared" ref="F162:F163" si="0">B162+C162/20+D162/240</f>
        <v>2.5000000000000001E-2</v>
      </c>
      <c r="H162" t="s">
        <v>664</v>
      </c>
    </row>
    <row r="163" spans="1:8" x14ac:dyDescent="0.2">
      <c r="A163" t="s">
        <v>176</v>
      </c>
      <c r="B163">
        <v>0</v>
      </c>
      <c r="C163">
        <v>2</v>
      </c>
      <c r="D163">
        <v>2</v>
      </c>
      <c r="F163" s="42">
        <f t="shared" si="0"/>
        <v>0.10833333333333334</v>
      </c>
      <c r="H163" t="s">
        <v>663</v>
      </c>
    </row>
    <row r="164" spans="1:8" x14ac:dyDescent="0.2">
      <c r="A164" t="s">
        <v>176</v>
      </c>
      <c r="B164">
        <v>0</v>
      </c>
      <c r="C164">
        <v>3</v>
      </c>
      <c r="D164">
        <v>2</v>
      </c>
      <c r="F164" s="42">
        <f>B164+C164/20+D164/240</f>
        <v>0.15833333333333333</v>
      </c>
      <c r="H164" t="s">
        <v>662</v>
      </c>
    </row>
    <row r="165" spans="1:8" x14ac:dyDescent="0.2">
      <c r="A165" t="s">
        <v>176</v>
      </c>
      <c r="F165" s="42">
        <f>SUM(F161:F163)</f>
        <v>0.16333333333333333</v>
      </c>
      <c r="G165" s="43">
        <f>F165-F164</f>
        <v>5.0000000000000044E-3</v>
      </c>
      <c r="H165" t="s">
        <v>444</v>
      </c>
    </row>
    <row r="167" spans="1:8" x14ac:dyDescent="0.2">
      <c r="A167" s="61" t="s">
        <v>784</v>
      </c>
      <c r="B167">
        <v>107</v>
      </c>
      <c r="C167">
        <v>0</v>
      </c>
      <c r="D167">
        <v>6.25</v>
      </c>
      <c r="F167" s="42">
        <v>107.03</v>
      </c>
      <c r="H167" t="s">
        <v>181</v>
      </c>
    </row>
    <row r="168" spans="1:8" ht="16" x14ac:dyDescent="0.2">
      <c r="A168" s="72" t="s">
        <v>785</v>
      </c>
      <c r="F168" s="42">
        <f>F165+F159+F133+F122+F118+F68+F64+F57+F53+F39</f>
        <v>106.81333333333333</v>
      </c>
      <c r="G168" s="43">
        <f>F168-F167</f>
        <v>-0.21666666666666856</v>
      </c>
    </row>
    <row r="169" spans="1:8" ht="16" x14ac:dyDescent="0.2">
      <c r="A169" s="72" t="s">
        <v>786</v>
      </c>
      <c r="F169" s="42">
        <f>F168+F6</f>
        <v>175.44333333333333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5"/>
  <sheetViews>
    <sheetView workbookViewId="0">
      <pane xSplit="1" ySplit="2" topLeftCell="B101" activePane="bottomRight" state="frozen"/>
      <selection pane="topRight" activeCell="B1" sqref="B1"/>
      <selection pane="bottomLeft" activeCell="A3" sqref="A3"/>
      <selection pane="bottomRight" activeCell="F126" sqref="F126"/>
    </sheetView>
  </sheetViews>
  <sheetFormatPr baseColWidth="10" defaultColWidth="8.83203125" defaultRowHeight="15" x14ac:dyDescent="0.2"/>
  <cols>
    <col min="1" max="1" width="33.1640625" bestFit="1" customWidth="1"/>
    <col min="6" max="6" width="8.83203125" style="42"/>
    <col min="7" max="7" width="8.83203125" style="43"/>
    <col min="8" max="8" width="46.5" customWidth="1"/>
    <col min="11" max="11" width="17.1640625" style="73" customWidth="1"/>
    <col min="12" max="12" width="21.33203125" style="73" customWidth="1"/>
  </cols>
  <sheetData>
    <row r="1" spans="1:12" s="5" customFormat="1" ht="16" x14ac:dyDescent="0.2">
      <c r="A1" s="31" t="s">
        <v>643</v>
      </c>
      <c r="E1" s="30"/>
      <c r="F1" s="38"/>
      <c r="G1" s="39"/>
      <c r="K1" s="73"/>
      <c r="L1" s="73"/>
    </row>
    <row r="2" spans="1:12" s="5" customFormat="1" ht="32" x14ac:dyDescent="0.2">
      <c r="A2" s="33" t="s">
        <v>0</v>
      </c>
      <c r="B2" s="34" t="s">
        <v>644</v>
      </c>
      <c r="C2" s="35" t="s">
        <v>645</v>
      </c>
      <c r="D2" s="35" t="s">
        <v>646</v>
      </c>
      <c r="E2" s="35"/>
      <c r="F2" s="40" t="s">
        <v>640</v>
      </c>
      <c r="G2" s="41" t="s">
        <v>443</v>
      </c>
      <c r="H2" s="36" t="s">
        <v>647</v>
      </c>
      <c r="I2" s="37" t="s">
        <v>648</v>
      </c>
      <c r="K2" s="74" t="s">
        <v>787</v>
      </c>
      <c r="L2" s="74" t="s">
        <v>788</v>
      </c>
    </row>
    <row r="3" spans="1:12" s="5" customFormat="1" ht="16" x14ac:dyDescent="0.2">
      <c r="A3" t="s">
        <v>182</v>
      </c>
      <c r="B3">
        <v>0</v>
      </c>
      <c r="C3">
        <v>0</v>
      </c>
      <c r="D3">
        <v>0</v>
      </c>
      <c r="E3" s="35"/>
      <c r="F3" s="42">
        <v>0</v>
      </c>
      <c r="G3" s="41"/>
      <c r="H3" t="s">
        <v>183</v>
      </c>
      <c r="I3" s="37"/>
      <c r="K3" s="73"/>
      <c r="L3" s="73"/>
    </row>
    <row r="4" spans="1:12" s="5" customFormat="1" ht="16" x14ac:dyDescent="0.2">
      <c r="A4" t="s">
        <v>182</v>
      </c>
      <c r="B4">
        <v>0</v>
      </c>
      <c r="C4">
        <v>11</v>
      </c>
      <c r="D4">
        <v>0</v>
      </c>
      <c r="E4" s="35"/>
      <c r="F4" s="42">
        <v>0.55000000000000004</v>
      </c>
      <c r="G4" s="41"/>
      <c r="H4" t="s">
        <v>185</v>
      </c>
      <c r="I4" s="37"/>
      <c r="K4" s="75">
        <f>F4</f>
        <v>0.55000000000000004</v>
      </c>
      <c r="L4" s="75">
        <f>K4</f>
        <v>0.55000000000000004</v>
      </c>
    </row>
    <row r="5" spans="1:12" s="5" customFormat="1" ht="16" x14ac:dyDescent="0.2">
      <c r="A5" t="s">
        <v>182</v>
      </c>
      <c r="B5">
        <v>0</v>
      </c>
      <c r="C5">
        <v>1</v>
      </c>
      <c r="D5">
        <v>3</v>
      </c>
      <c r="E5" s="35"/>
      <c r="F5" s="42">
        <v>0.06</v>
      </c>
      <c r="G5" s="41"/>
      <c r="H5" t="s">
        <v>186</v>
      </c>
      <c r="I5" s="37"/>
      <c r="K5" s="75">
        <f t="shared" ref="K5:K11" si="0">F5</f>
        <v>0.06</v>
      </c>
      <c r="L5" s="75">
        <f t="shared" ref="L5:L11" si="1">K5</f>
        <v>0.06</v>
      </c>
    </row>
    <row r="6" spans="1:12" s="5" customFormat="1" ht="16" x14ac:dyDescent="0.2">
      <c r="A6" t="s">
        <v>182</v>
      </c>
      <c r="B6">
        <v>0</v>
      </c>
      <c r="C6">
        <v>1</v>
      </c>
      <c r="D6">
        <v>6</v>
      </c>
      <c r="E6" s="35"/>
      <c r="F6" s="42">
        <v>0.08</v>
      </c>
      <c r="G6" s="41"/>
      <c r="H6" t="s">
        <v>187</v>
      </c>
      <c r="I6" s="37"/>
      <c r="K6" s="75">
        <f t="shared" si="0"/>
        <v>0.08</v>
      </c>
      <c r="L6" s="75">
        <f t="shared" si="1"/>
        <v>0.08</v>
      </c>
    </row>
    <row r="7" spans="1:12" x14ac:dyDescent="0.2">
      <c r="A7" t="s">
        <v>182</v>
      </c>
      <c r="B7">
        <v>0</v>
      </c>
      <c r="C7">
        <v>2</v>
      </c>
      <c r="D7">
        <v>3</v>
      </c>
      <c r="F7" s="42">
        <v>0.11</v>
      </c>
      <c r="H7" t="s">
        <v>188</v>
      </c>
      <c r="K7" s="75">
        <f t="shared" si="0"/>
        <v>0.11</v>
      </c>
      <c r="L7" s="75">
        <f t="shared" si="1"/>
        <v>0.11</v>
      </c>
    </row>
    <row r="8" spans="1:12" x14ac:dyDescent="0.2">
      <c r="A8" t="s">
        <v>182</v>
      </c>
      <c r="B8">
        <v>0</v>
      </c>
      <c r="C8">
        <v>0</v>
      </c>
      <c r="D8">
        <v>6</v>
      </c>
      <c r="F8" s="42">
        <v>0.03</v>
      </c>
      <c r="H8" t="s">
        <v>189</v>
      </c>
      <c r="K8" s="75">
        <f t="shared" si="0"/>
        <v>0.03</v>
      </c>
      <c r="L8" s="75">
        <f t="shared" si="1"/>
        <v>0.03</v>
      </c>
    </row>
    <row r="9" spans="1:12" x14ac:dyDescent="0.2">
      <c r="A9" t="s">
        <v>182</v>
      </c>
      <c r="B9">
        <v>0</v>
      </c>
      <c r="C9">
        <v>0</v>
      </c>
      <c r="D9">
        <v>6</v>
      </c>
      <c r="F9" s="42">
        <v>0.03</v>
      </c>
      <c r="H9" t="s">
        <v>190</v>
      </c>
      <c r="K9" s="75">
        <f t="shared" si="0"/>
        <v>0.03</v>
      </c>
      <c r="L9" s="75">
        <f t="shared" si="1"/>
        <v>0.03</v>
      </c>
    </row>
    <row r="10" spans="1:12" x14ac:dyDescent="0.2">
      <c r="A10" t="s">
        <v>182</v>
      </c>
      <c r="B10">
        <v>0</v>
      </c>
      <c r="C10">
        <v>0</v>
      </c>
      <c r="D10">
        <v>1.5</v>
      </c>
      <c r="F10" s="42">
        <v>0.01</v>
      </c>
      <c r="H10" t="s">
        <v>191</v>
      </c>
      <c r="K10" s="75">
        <f t="shared" si="0"/>
        <v>0.01</v>
      </c>
      <c r="L10" s="75">
        <f t="shared" si="1"/>
        <v>0.01</v>
      </c>
    </row>
    <row r="11" spans="1:12" x14ac:dyDescent="0.2">
      <c r="A11" t="s">
        <v>182</v>
      </c>
      <c r="B11">
        <v>0</v>
      </c>
      <c r="C11">
        <v>5</v>
      </c>
      <c r="D11">
        <v>6</v>
      </c>
      <c r="F11" s="42">
        <v>0.28000000000000003</v>
      </c>
      <c r="H11" t="s">
        <v>192</v>
      </c>
      <c r="K11" s="75">
        <f t="shared" si="0"/>
        <v>0.28000000000000003</v>
      </c>
      <c r="L11" s="75">
        <f t="shared" si="1"/>
        <v>0.28000000000000003</v>
      </c>
    </row>
    <row r="12" spans="1:12" x14ac:dyDescent="0.2">
      <c r="A12" t="s">
        <v>182</v>
      </c>
      <c r="B12">
        <v>1</v>
      </c>
      <c r="C12">
        <v>0</v>
      </c>
      <c r="D12">
        <v>0</v>
      </c>
      <c r="F12" s="42">
        <v>1</v>
      </c>
      <c r="H12" t="s">
        <v>193</v>
      </c>
    </row>
    <row r="13" spans="1:12" x14ac:dyDescent="0.2">
      <c r="A13" t="s">
        <v>182</v>
      </c>
      <c r="B13">
        <v>0</v>
      </c>
      <c r="C13">
        <v>6</v>
      </c>
      <c r="D13">
        <v>9</v>
      </c>
      <c r="F13" s="42">
        <v>0.34</v>
      </c>
      <c r="H13" t="s">
        <v>194</v>
      </c>
    </row>
    <row r="14" spans="1:12" x14ac:dyDescent="0.2">
      <c r="A14" t="s">
        <v>182</v>
      </c>
      <c r="B14">
        <v>0</v>
      </c>
      <c r="C14">
        <v>12</v>
      </c>
      <c r="D14">
        <v>3</v>
      </c>
      <c r="F14" s="42">
        <f>B14+C14/20+D14/240</f>
        <v>0.61249999999999993</v>
      </c>
      <c r="H14" t="s">
        <v>665</v>
      </c>
    </row>
    <row r="15" spans="1:12" x14ac:dyDescent="0.2">
      <c r="A15" t="s">
        <v>182</v>
      </c>
      <c r="B15">
        <v>3</v>
      </c>
      <c r="C15">
        <v>1</v>
      </c>
      <c r="D15">
        <v>7.5</v>
      </c>
      <c r="F15" s="42">
        <v>3.08</v>
      </c>
      <c r="H15" t="s">
        <v>666</v>
      </c>
    </row>
    <row r="16" spans="1:12" x14ac:dyDescent="0.2">
      <c r="A16" t="s">
        <v>182</v>
      </c>
      <c r="F16" s="42">
        <f>SUM(F3:F14)</f>
        <v>3.1025</v>
      </c>
      <c r="G16" s="43">
        <f>F16-F15</f>
        <v>2.2499999999999964E-2</v>
      </c>
      <c r="H16" t="s">
        <v>444</v>
      </c>
    </row>
    <row r="18" spans="1:12" x14ac:dyDescent="0.2">
      <c r="A18" t="s">
        <v>196</v>
      </c>
      <c r="B18">
        <v>0</v>
      </c>
      <c r="C18">
        <v>17</v>
      </c>
      <c r="D18">
        <v>4</v>
      </c>
      <c r="F18" s="42">
        <v>0.87</v>
      </c>
      <c r="H18" t="s">
        <v>451</v>
      </c>
    </row>
    <row r="19" spans="1:12" x14ac:dyDescent="0.2">
      <c r="A19" t="s">
        <v>196</v>
      </c>
      <c r="B19">
        <v>0</v>
      </c>
      <c r="C19">
        <v>17</v>
      </c>
      <c r="D19">
        <v>4</v>
      </c>
      <c r="F19" s="42">
        <v>0.87</v>
      </c>
      <c r="H19" t="s">
        <v>198</v>
      </c>
    </row>
    <row r="20" spans="1:12" x14ac:dyDescent="0.2">
      <c r="A20" t="s">
        <v>196</v>
      </c>
      <c r="F20" s="42">
        <v>0.87</v>
      </c>
      <c r="G20" s="43">
        <v>0</v>
      </c>
      <c r="H20" t="s">
        <v>444</v>
      </c>
    </row>
    <row r="22" spans="1:12" x14ac:dyDescent="0.2">
      <c r="A22" t="s">
        <v>199</v>
      </c>
      <c r="B22">
        <v>0</v>
      </c>
      <c r="C22">
        <v>0</v>
      </c>
      <c r="D22">
        <v>9</v>
      </c>
      <c r="F22" s="42">
        <v>0.04</v>
      </c>
      <c r="H22" t="s">
        <v>200</v>
      </c>
      <c r="K22" s="75">
        <f>F22</f>
        <v>0.04</v>
      </c>
      <c r="L22" s="75">
        <f>K22</f>
        <v>0.04</v>
      </c>
    </row>
    <row r="23" spans="1:12" x14ac:dyDescent="0.2">
      <c r="A23" t="s">
        <v>199</v>
      </c>
      <c r="B23">
        <v>0</v>
      </c>
      <c r="C23">
        <v>2</v>
      </c>
      <c r="D23">
        <v>6</v>
      </c>
      <c r="F23" s="42">
        <v>0.12</v>
      </c>
      <c r="H23" t="s">
        <v>201</v>
      </c>
      <c r="K23" s="75">
        <f t="shared" ref="K23:K30" si="2">F23</f>
        <v>0.12</v>
      </c>
      <c r="L23" s="75">
        <f t="shared" ref="L23:L30" si="3">K23</f>
        <v>0.12</v>
      </c>
    </row>
    <row r="24" spans="1:12" x14ac:dyDescent="0.2">
      <c r="A24" t="s">
        <v>199</v>
      </c>
      <c r="B24">
        <v>0</v>
      </c>
      <c r="C24">
        <v>1</v>
      </c>
      <c r="D24">
        <v>9</v>
      </c>
      <c r="F24" s="42">
        <v>0.09</v>
      </c>
      <c r="H24" t="s">
        <v>202</v>
      </c>
      <c r="K24" s="75">
        <f t="shared" si="2"/>
        <v>0.09</v>
      </c>
      <c r="L24" s="75">
        <f t="shared" si="3"/>
        <v>0.09</v>
      </c>
    </row>
    <row r="25" spans="1:12" x14ac:dyDescent="0.2">
      <c r="A25" t="s">
        <v>199</v>
      </c>
      <c r="B25">
        <v>0</v>
      </c>
      <c r="C25">
        <v>0</v>
      </c>
      <c r="D25">
        <v>8</v>
      </c>
      <c r="F25" s="42">
        <v>0.03</v>
      </c>
      <c r="H25" t="s">
        <v>203</v>
      </c>
      <c r="K25" s="75">
        <f t="shared" si="2"/>
        <v>0.03</v>
      </c>
      <c r="L25" s="75">
        <f t="shared" si="3"/>
        <v>0.03</v>
      </c>
    </row>
    <row r="26" spans="1:12" x14ac:dyDescent="0.2">
      <c r="A26" t="s">
        <v>199</v>
      </c>
      <c r="B26">
        <v>0</v>
      </c>
      <c r="C26">
        <v>3</v>
      </c>
      <c r="D26">
        <v>6</v>
      </c>
      <c r="F26" s="42">
        <v>0.17</v>
      </c>
      <c r="H26" t="s">
        <v>204</v>
      </c>
      <c r="K26" s="75">
        <f t="shared" si="2"/>
        <v>0.17</v>
      </c>
      <c r="L26" s="75">
        <f t="shared" si="3"/>
        <v>0.17</v>
      </c>
    </row>
    <row r="27" spans="1:12" x14ac:dyDescent="0.2">
      <c r="A27" t="s">
        <v>199</v>
      </c>
      <c r="B27">
        <v>0</v>
      </c>
      <c r="C27">
        <v>0</v>
      </c>
      <c r="D27">
        <v>10</v>
      </c>
      <c r="F27" s="42">
        <v>0.04</v>
      </c>
      <c r="H27" t="s">
        <v>205</v>
      </c>
      <c r="K27" s="75">
        <f t="shared" si="2"/>
        <v>0.04</v>
      </c>
      <c r="L27" s="75">
        <f t="shared" si="3"/>
        <v>0.04</v>
      </c>
    </row>
    <row r="28" spans="1:12" x14ac:dyDescent="0.2">
      <c r="A28" t="s">
        <v>199</v>
      </c>
      <c r="B28">
        <v>0</v>
      </c>
      <c r="C28">
        <v>0</v>
      </c>
      <c r="D28">
        <v>9</v>
      </c>
      <c r="F28" s="42">
        <v>0.04</v>
      </c>
      <c r="H28" t="s">
        <v>206</v>
      </c>
      <c r="K28" s="75">
        <f t="shared" si="2"/>
        <v>0.04</v>
      </c>
      <c r="L28" s="75">
        <f t="shared" si="3"/>
        <v>0.04</v>
      </c>
    </row>
    <row r="29" spans="1:12" x14ac:dyDescent="0.2">
      <c r="A29" t="s">
        <v>199</v>
      </c>
      <c r="B29">
        <v>0</v>
      </c>
      <c r="C29">
        <v>1</v>
      </c>
      <c r="D29">
        <v>2</v>
      </c>
      <c r="F29" s="42">
        <v>0.06</v>
      </c>
      <c r="H29" t="s">
        <v>207</v>
      </c>
      <c r="K29" s="75">
        <f t="shared" si="2"/>
        <v>0.06</v>
      </c>
      <c r="L29" s="75">
        <f t="shared" si="3"/>
        <v>0.06</v>
      </c>
    </row>
    <row r="30" spans="1:12" x14ac:dyDescent="0.2">
      <c r="A30" t="s">
        <v>199</v>
      </c>
      <c r="B30">
        <v>0</v>
      </c>
      <c r="C30">
        <v>0</v>
      </c>
      <c r="D30">
        <v>1.5</v>
      </c>
      <c r="F30" s="42">
        <v>0.01</v>
      </c>
      <c r="H30" t="s">
        <v>208</v>
      </c>
      <c r="K30" s="75">
        <f t="shared" si="2"/>
        <v>0.01</v>
      </c>
      <c r="L30" s="75">
        <f t="shared" si="3"/>
        <v>0.01</v>
      </c>
    </row>
    <row r="31" spans="1:12" x14ac:dyDescent="0.2">
      <c r="A31" t="s">
        <v>199</v>
      </c>
      <c r="B31">
        <v>0</v>
      </c>
      <c r="C31">
        <v>2</v>
      </c>
      <c r="D31">
        <v>3</v>
      </c>
      <c r="F31" s="42">
        <v>0.11</v>
      </c>
      <c r="H31" t="s">
        <v>667</v>
      </c>
    </row>
    <row r="32" spans="1:12" x14ac:dyDescent="0.2">
      <c r="A32" t="s">
        <v>199</v>
      </c>
      <c r="B32">
        <v>0</v>
      </c>
      <c r="C32">
        <v>14</v>
      </c>
      <c r="D32">
        <v>3.5</v>
      </c>
      <c r="F32" s="42">
        <f>B32+C32/20+D32/240</f>
        <v>0.71458333333333324</v>
      </c>
      <c r="H32" t="s">
        <v>668</v>
      </c>
    </row>
    <row r="33" spans="1:12" x14ac:dyDescent="0.2">
      <c r="A33" t="s">
        <v>199</v>
      </c>
      <c r="F33" s="42">
        <v>0.71000000000000008</v>
      </c>
      <c r="G33" s="43">
        <f>F33-F32</f>
        <v>-4.5833333333331616E-3</v>
      </c>
      <c r="H33" t="s">
        <v>444</v>
      </c>
    </row>
    <row r="35" spans="1:12" x14ac:dyDescent="0.2">
      <c r="A35" t="s">
        <v>210</v>
      </c>
      <c r="B35">
        <v>0</v>
      </c>
      <c r="C35">
        <v>3</v>
      </c>
      <c r="D35">
        <v>4</v>
      </c>
      <c r="F35" s="42">
        <v>0.17</v>
      </c>
      <c r="H35" t="s">
        <v>211</v>
      </c>
      <c r="K35" s="75">
        <f>F35</f>
        <v>0.17</v>
      </c>
    </row>
    <row r="36" spans="1:12" x14ac:dyDescent="0.2">
      <c r="A36" t="s">
        <v>210</v>
      </c>
      <c r="B36">
        <v>0</v>
      </c>
      <c r="C36">
        <v>10</v>
      </c>
      <c r="D36">
        <v>6</v>
      </c>
      <c r="F36" s="42">
        <v>0.53</v>
      </c>
      <c r="H36" t="s">
        <v>212</v>
      </c>
      <c r="K36" s="75">
        <f t="shared" ref="K36:K46" si="4">F36</f>
        <v>0.53</v>
      </c>
    </row>
    <row r="37" spans="1:12" x14ac:dyDescent="0.2">
      <c r="A37" t="s">
        <v>210</v>
      </c>
      <c r="B37">
        <v>0</v>
      </c>
      <c r="C37">
        <v>0</v>
      </c>
      <c r="D37">
        <v>8</v>
      </c>
      <c r="F37" s="42">
        <v>0.03</v>
      </c>
      <c r="H37" t="s">
        <v>213</v>
      </c>
      <c r="K37" s="75">
        <f t="shared" si="4"/>
        <v>0.03</v>
      </c>
    </row>
    <row r="38" spans="1:12" x14ac:dyDescent="0.2">
      <c r="A38" t="s">
        <v>210</v>
      </c>
      <c r="B38">
        <v>0</v>
      </c>
      <c r="C38">
        <v>4</v>
      </c>
      <c r="D38">
        <v>4</v>
      </c>
      <c r="F38" s="42">
        <v>0.22</v>
      </c>
      <c r="H38" t="s">
        <v>214</v>
      </c>
      <c r="K38" s="75">
        <f t="shared" si="4"/>
        <v>0.22</v>
      </c>
      <c r="L38" s="75">
        <f>K38</f>
        <v>0.22</v>
      </c>
    </row>
    <row r="39" spans="1:12" x14ac:dyDescent="0.2">
      <c r="A39" t="s">
        <v>210</v>
      </c>
      <c r="B39">
        <v>0</v>
      </c>
      <c r="C39">
        <v>0</v>
      </c>
      <c r="D39">
        <v>5</v>
      </c>
      <c r="F39" s="42">
        <v>0.02</v>
      </c>
      <c r="H39" t="s">
        <v>215</v>
      </c>
      <c r="K39" s="75">
        <f t="shared" si="4"/>
        <v>0.02</v>
      </c>
      <c r="L39" s="75">
        <f>K39</f>
        <v>0.02</v>
      </c>
    </row>
    <row r="40" spans="1:12" x14ac:dyDescent="0.2">
      <c r="A40" t="s">
        <v>210</v>
      </c>
      <c r="B40">
        <v>0</v>
      </c>
      <c r="C40">
        <v>2</v>
      </c>
      <c r="D40">
        <v>8</v>
      </c>
      <c r="F40" s="42">
        <v>0.13</v>
      </c>
      <c r="H40" t="s">
        <v>216</v>
      </c>
      <c r="K40" s="75">
        <f t="shared" si="4"/>
        <v>0.13</v>
      </c>
    </row>
    <row r="41" spans="1:12" x14ac:dyDescent="0.2">
      <c r="A41" t="s">
        <v>210</v>
      </c>
      <c r="B41">
        <v>0</v>
      </c>
      <c r="C41">
        <v>2</v>
      </c>
      <c r="D41">
        <v>2</v>
      </c>
      <c r="F41" s="42">
        <v>0.11</v>
      </c>
      <c r="H41" t="s">
        <v>217</v>
      </c>
      <c r="K41" s="75">
        <f t="shared" si="4"/>
        <v>0.11</v>
      </c>
      <c r="L41" s="75">
        <f>K41</f>
        <v>0.11</v>
      </c>
    </row>
    <row r="42" spans="1:12" x14ac:dyDescent="0.2">
      <c r="A42" t="s">
        <v>210</v>
      </c>
      <c r="B42">
        <v>0</v>
      </c>
      <c r="C42">
        <v>0</v>
      </c>
      <c r="D42">
        <v>9</v>
      </c>
      <c r="F42" s="42">
        <v>0.04</v>
      </c>
      <c r="H42" t="s">
        <v>218</v>
      </c>
      <c r="K42" s="75">
        <f t="shared" si="4"/>
        <v>0.04</v>
      </c>
      <c r="L42" s="75">
        <f t="shared" ref="L42:L44" si="5">K42</f>
        <v>0.04</v>
      </c>
    </row>
    <row r="43" spans="1:12" x14ac:dyDescent="0.2">
      <c r="A43" t="s">
        <v>210</v>
      </c>
      <c r="B43">
        <v>0</v>
      </c>
      <c r="C43">
        <v>3</v>
      </c>
      <c r="D43">
        <v>6</v>
      </c>
      <c r="F43" s="42">
        <v>0.17</v>
      </c>
      <c r="H43" t="s">
        <v>219</v>
      </c>
      <c r="K43" s="75">
        <f t="shared" si="4"/>
        <v>0.17</v>
      </c>
      <c r="L43" s="75">
        <f t="shared" si="5"/>
        <v>0.17</v>
      </c>
    </row>
    <row r="44" spans="1:12" x14ac:dyDescent="0.2">
      <c r="A44" t="s">
        <v>210</v>
      </c>
      <c r="B44">
        <v>0</v>
      </c>
      <c r="C44">
        <v>0</v>
      </c>
      <c r="D44">
        <v>6</v>
      </c>
      <c r="F44" s="42">
        <v>0.03</v>
      </c>
      <c r="H44" t="s">
        <v>220</v>
      </c>
      <c r="K44" s="75">
        <f t="shared" si="4"/>
        <v>0.03</v>
      </c>
      <c r="L44" s="75">
        <f t="shared" si="5"/>
        <v>0.03</v>
      </c>
    </row>
    <row r="45" spans="1:12" x14ac:dyDescent="0.2">
      <c r="A45" t="s">
        <v>210</v>
      </c>
      <c r="B45">
        <v>0</v>
      </c>
      <c r="C45">
        <v>0</v>
      </c>
      <c r="D45">
        <v>5</v>
      </c>
      <c r="F45" s="42">
        <v>0.02</v>
      </c>
      <c r="H45" t="s">
        <v>221</v>
      </c>
      <c r="K45" s="75">
        <f t="shared" si="4"/>
        <v>0.02</v>
      </c>
    </row>
    <row r="46" spans="1:12" x14ac:dyDescent="0.2">
      <c r="A46" t="s">
        <v>210</v>
      </c>
      <c r="B46">
        <v>0</v>
      </c>
      <c r="C46">
        <v>0</v>
      </c>
      <c r="D46">
        <v>10</v>
      </c>
      <c r="F46" s="42">
        <f>B46+C46/20+D46/240</f>
        <v>4.1666666666666664E-2</v>
      </c>
      <c r="H46" t="s">
        <v>669</v>
      </c>
      <c r="K46" s="75">
        <f t="shared" si="4"/>
        <v>4.1666666666666664E-2</v>
      </c>
    </row>
    <row r="47" spans="1:12" x14ac:dyDescent="0.2">
      <c r="A47" t="s">
        <v>210</v>
      </c>
      <c r="B47">
        <v>1</v>
      </c>
      <c r="C47">
        <v>10</v>
      </c>
      <c r="D47">
        <v>1</v>
      </c>
      <c r="F47" s="42">
        <v>1.5</v>
      </c>
      <c r="H47" t="s">
        <v>670</v>
      </c>
    </row>
    <row r="48" spans="1:12" x14ac:dyDescent="0.2">
      <c r="A48" t="s">
        <v>210</v>
      </c>
      <c r="F48" s="42">
        <f>SUM(F35:F46)</f>
        <v>1.5116666666666669</v>
      </c>
      <c r="G48" s="43">
        <f>F48-F47</f>
        <v>1.1666666666666936E-2</v>
      </c>
      <c r="H48" t="s">
        <v>444</v>
      </c>
    </row>
    <row r="50" spans="1:12" x14ac:dyDescent="0.2">
      <c r="A50" t="s">
        <v>223</v>
      </c>
      <c r="B50">
        <v>0</v>
      </c>
      <c r="C50">
        <v>0</v>
      </c>
      <c r="D50">
        <v>2</v>
      </c>
      <c r="F50" s="42">
        <v>0.01</v>
      </c>
      <c r="H50" t="s">
        <v>224</v>
      </c>
      <c r="K50" s="75">
        <f>F50</f>
        <v>0.01</v>
      </c>
    </row>
    <row r="51" spans="1:12" x14ac:dyDescent="0.2">
      <c r="A51" t="s">
        <v>223</v>
      </c>
      <c r="B51">
        <v>0</v>
      </c>
      <c r="C51">
        <v>10</v>
      </c>
      <c r="D51">
        <v>3</v>
      </c>
      <c r="F51" s="42">
        <v>0.51</v>
      </c>
      <c r="H51" t="s">
        <v>225</v>
      </c>
      <c r="K51" s="75">
        <f t="shared" ref="K51:K53" si="6">F51</f>
        <v>0.51</v>
      </c>
    </row>
    <row r="52" spans="1:12" x14ac:dyDescent="0.2">
      <c r="A52" t="s">
        <v>223</v>
      </c>
      <c r="B52">
        <v>0</v>
      </c>
      <c r="C52">
        <v>5</v>
      </c>
      <c r="D52">
        <v>1.5</v>
      </c>
      <c r="F52" s="42">
        <v>0.26</v>
      </c>
      <c r="H52" t="s">
        <v>226</v>
      </c>
      <c r="K52" s="75">
        <f t="shared" si="6"/>
        <v>0.26</v>
      </c>
    </row>
    <row r="53" spans="1:12" x14ac:dyDescent="0.2">
      <c r="A53" t="s">
        <v>223</v>
      </c>
      <c r="B53">
        <v>1</v>
      </c>
      <c r="C53">
        <v>1</v>
      </c>
      <c r="D53">
        <v>10.5</v>
      </c>
      <c r="F53" s="42">
        <v>1.0900000000000001</v>
      </c>
      <c r="H53" t="s">
        <v>227</v>
      </c>
      <c r="K53" s="75">
        <f t="shared" si="6"/>
        <v>1.0900000000000001</v>
      </c>
    </row>
    <row r="54" spans="1:12" x14ac:dyDescent="0.2">
      <c r="A54" t="s">
        <v>223</v>
      </c>
      <c r="B54">
        <v>1</v>
      </c>
      <c r="C54">
        <v>17</v>
      </c>
      <c r="D54">
        <v>5</v>
      </c>
      <c r="F54" s="42">
        <v>1.87</v>
      </c>
      <c r="H54" t="s">
        <v>228</v>
      </c>
    </row>
    <row r="55" spans="1:12" x14ac:dyDescent="0.2">
      <c r="A55" t="s">
        <v>223</v>
      </c>
      <c r="F55" s="42">
        <v>1.87</v>
      </c>
      <c r="G55" s="43">
        <v>0</v>
      </c>
      <c r="H55" t="s">
        <v>444</v>
      </c>
    </row>
    <row r="57" spans="1:12" x14ac:dyDescent="0.2">
      <c r="A57" t="s">
        <v>229</v>
      </c>
      <c r="B57">
        <v>0</v>
      </c>
      <c r="C57">
        <v>2</v>
      </c>
      <c r="D57">
        <v>0</v>
      </c>
      <c r="F57" s="42">
        <v>0.1</v>
      </c>
      <c r="H57" t="s">
        <v>452</v>
      </c>
      <c r="K57" s="75">
        <f>F57</f>
        <v>0.1</v>
      </c>
      <c r="L57" s="75">
        <f>K57</f>
        <v>0.1</v>
      </c>
    </row>
    <row r="58" spans="1:12" x14ac:dyDescent="0.2">
      <c r="A58" t="s">
        <v>229</v>
      </c>
      <c r="B58">
        <v>0</v>
      </c>
      <c r="C58">
        <v>0</v>
      </c>
      <c r="D58">
        <v>4</v>
      </c>
      <c r="F58" s="42">
        <v>0.02</v>
      </c>
      <c r="H58" t="s">
        <v>231</v>
      </c>
      <c r="K58" s="75">
        <f t="shared" ref="K58:K64" si="7">F58</f>
        <v>0.02</v>
      </c>
      <c r="L58" s="75">
        <f t="shared" ref="L58:L64" si="8">K58</f>
        <v>0.02</v>
      </c>
    </row>
    <row r="59" spans="1:12" x14ac:dyDescent="0.2">
      <c r="A59" t="s">
        <v>229</v>
      </c>
      <c r="B59">
        <v>0</v>
      </c>
      <c r="C59">
        <v>0</v>
      </c>
      <c r="D59">
        <v>3</v>
      </c>
      <c r="F59" s="42">
        <v>0.01</v>
      </c>
      <c r="H59" t="s">
        <v>232</v>
      </c>
      <c r="K59" s="75">
        <f t="shared" si="7"/>
        <v>0.01</v>
      </c>
      <c r="L59" s="75">
        <f t="shared" si="8"/>
        <v>0.01</v>
      </c>
    </row>
    <row r="60" spans="1:12" x14ac:dyDescent="0.2">
      <c r="A60" t="s">
        <v>229</v>
      </c>
      <c r="B60">
        <v>0</v>
      </c>
      <c r="C60">
        <v>0</v>
      </c>
      <c r="D60">
        <v>4.5</v>
      </c>
      <c r="F60" s="42">
        <v>0.02</v>
      </c>
      <c r="H60" t="s">
        <v>233</v>
      </c>
      <c r="K60" s="75">
        <f t="shared" si="7"/>
        <v>0.02</v>
      </c>
      <c r="L60" s="75">
        <f t="shared" si="8"/>
        <v>0.02</v>
      </c>
    </row>
    <row r="61" spans="1:12" x14ac:dyDescent="0.2">
      <c r="A61" t="s">
        <v>229</v>
      </c>
      <c r="B61">
        <v>0</v>
      </c>
      <c r="C61">
        <v>0</v>
      </c>
      <c r="D61">
        <v>6</v>
      </c>
      <c r="F61" s="42">
        <v>0.03</v>
      </c>
      <c r="H61" t="s">
        <v>234</v>
      </c>
      <c r="K61" s="75">
        <f t="shared" si="7"/>
        <v>0.03</v>
      </c>
      <c r="L61" s="75">
        <f t="shared" si="8"/>
        <v>0.03</v>
      </c>
    </row>
    <row r="62" spans="1:12" x14ac:dyDescent="0.2">
      <c r="A62" t="s">
        <v>229</v>
      </c>
      <c r="B62">
        <v>0</v>
      </c>
      <c r="C62">
        <v>0</v>
      </c>
      <c r="D62">
        <v>4</v>
      </c>
      <c r="F62" s="42">
        <v>0.02</v>
      </c>
      <c r="H62" t="s">
        <v>235</v>
      </c>
      <c r="K62" s="75">
        <f t="shared" si="7"/>
        <v>0.02</v>
      </c>
      <c r="L62" s="75">
        <f t="shared" si="8"/>
        <v>0.02</v>
      </c>
    </row>
    <row r="63" spans="1:12" x14ac:dyDescent="0.2">
      <c r="A63" t="s">
        <v>229</v>
      </c>
      <c r="B63">
        <v>0</v>
      </c>
      <c r="C63">
        <v>3</v>
      </c>
      <c r="D63">
        <v>1.5</v>
      </c>
      <c r="F63" s="42">
        <v>0.16</v>
      </c>
      <c r="H63" t="s">
        <v>236</v>
      </c>
      <c r="K63" s="75">
        <f t="shared" si="7"/>
        <v>0.16</v>
      </c>
      <c r="L63" s="75">
        <f t="shared" si="8"/>
        <v>0.16</v>
      </c>
    </row>
    <row r="64" spans="1:12" x14ac:dyDescent="0.2">
      <c r="A64" t="s">
        <v>229</v>
      </c>
      <c r="B64">
        <v>0</v>
      </c>
      <c r="C64">
        <v>0</v>
      </c>
      <c r="D64">
        <v>4</v>
      </c>
      <c r="F64" s="42">
        <v>0.02</v>
      </c>
      <c r="H64" t="s">
        <v>237</v>
      </c>
      <c r="K64" s="75">
        <f t="shared" si="7"/>
        <v>0.02</v>
      </c>
      <c r="L64" s="75">
        <f t="shared" si="8"/>
        <v>0.02</v>
      </c>
    </row>
    <row r="65" spans="1:12" x14ac:dyDescent="0.2">
      <c r="A65" t="s">
        <v>229</v>
      </c>
      <c r="B65">
        <v>0</v>
      </c>
      <c r="C65">
        <v>1</v>
      </c>
      <c r="D65">
        <v>6</v>
      </c>
      <c r="F65" s="42">
        <f>B65+C65/20+D65/240</f>
        <v>7.5000000000000011E-2</v>
      </c>
      <c r="H65" t="s">
        <v>672</v>
      </c>
    </row>
    <row r="66" spans="1:12" x14ac:dyDescent="0.2">
      <c r="A66" t="s">
        <v>229</v>
      </c>
      <c r="B66">
        <v>2</v>
      </c>
      <c r="C66">
        <v>1</v>
      </c>
      <c r="D66">
        <v>0</v>
      </c>
      <c r="F66" s="42">
        <f>B66+C66/20+D66/240</f>
        <v>2.0499999999999998</v>
      </c>
      <c r="H66" t="s">
        <v>671</v>
      </c>
    </row>
    <row r="67" spans="1:12" x14ac:dyDescent="0.2">
      <c r="A67" t="s">
        <v>229</v>
      </c>
      <c r="B67">
        <v>0</v>
      </c>
      <c r="C67">
        <v>0</v>
      </c>
      <c r="D67">
        <v>4</v>
      </c>
      <c r="F67" s="42">
        <v>0.02</v>
      </c>
      <c r="H67" t="s">
        <v>240</v>
      </c>
    </row>
    <row r="68" spans="1:12" x14ac:dyDescent="0.2">
      <c r="A68" t="s">
        <v>229</v>
      </c>
      <c r="B68">
        <v>0</v>
      </c>
      <c r="C68">
        <v>16</v>
      </c>
      <c r="D68">
        <v>2</v>
      </c>
      <c r="F68" s="42">
        <v>0.81</v>
      </c>
      <c r="H68" t="s">
        <v>241</v>
      </c>
      <c r="K68" s="75">
        <f>F68</f>
        <v>0.81</v>
      </c>
      <c r="L68" s="75">
        <f>K68</f>
        <v>0.81</v>
      </c>
    </row>
    <row r="69" spans="1:12" x14ac:dyDescent="0.2">
      <c r="A69" t="s">
        <v>229</v>
      </c>
      <c r="B69">
        <v>0</v>
      </c>
      <c r="C69">
        <v>2</v>
      </c>
      <c r="D69">
        <v>0</v>
      </c>
      <c r="F69" s="42">
        <v>0.1</v>
      </c>
      <c r="H69" t="s">
        <v>242</v>
      </c>
    </row>
    <row r="70" spans="1:12" x14ac:dyDescent="0.2">
      <c r="A70" t="s">
        <v>229</v>
      </c>
      <c r="B70">
        <v>3</v>
      </c>
      <c r="C70">
        <v>8</v>
      </c>
      <c r="D70">
        <v>7</v>
      </c>
      <c r="F70" s="42">
        <v>3.43</v>
      </c>
      <c r="H70" t="s">
        <v>243</v>
      </c>
    </row>
    <row r="71" spans="1:12" x14ac:dyDescent="0.2">
      <c r="A71" t="s">
        <v>229</v>
      </c>
      <c r="F71" s="42">
        <f>SUM(F57:F69)</f>
        <v>3.4350000000000001</v>
      </c>
      <c r="G71" s="43">
        <f>F71-F70</f>
        <v>4.9999999999998934E-3</v>
      </c>
      <c r="H71" t="s">
        <v>444</v>
      </c>
    </row>
    <row r="73" spans="1:12" x14ac:dyDescent="0.2">
      <c r="A73" t="s">
        <v>244</v>
      </c>
      <c r="B73">
        <v>0</v>
      </c>
      <c r="C73">
        <v>1</v>
      </c>
      <c r="D73">
        <v>0</v>
      </c>
      <c r="F73" s="42">
        <v>0.05</v>
      </c>
      <c r="H73" t="s">
        <v>245</v>
      </c>
      <c r="K73" s="75">
        <f>F73</f>
        <v>0.05</v>
      </c>
      <c r="L73" s="75">
        <f>K73</f>
        <v>0.05</v>
      </c>
    </row>
    <row r="74" spans="1:12" x14ac:dyDescent="0.2">
      <c r="A74" t="s">
        <v>244</v>
      </c>
      <c r="B74">
        <v>0</v>
      </c>
      <c r="C74">
        <v>0</v>
      </c>
      <c r="D74">
        <v>9.25</v>
      </c>
      <c r="F74" s="42">
        <v>0.04</v>
      </c>
      <c r="H74" t="s">
        <v>246</v>
      </c>
      <c r="K74" s="75">
        <f t="shared" ref="K74:K75" si="9">F74</f>
        <v>0.04</v>
      </c>
      <c r="L74" s="75">
        <f t="shared" ref="L74:L75" si="10">K74</f>
        <v>0.04</v>
      </c>
    </row>
    <row r="75" spans="1:12" x14ac:dyDescent="0.2">
      <c r="A75" t="s">
        <v>244</v>
      </c>
      <c r="B75">
        <v>0</v>
      </c>
      <c r="C75">
        <v>0</v>
      </c>
      <c r="D75">
        <v>9</v>
      </c>
      <c r="F75" s="42">
        <f>B75+C75/20+D75/240</f>
        <v>3.7499999999999999E-2</v>
      </c>
      <c r="H75" t="s">
        <v>673</v>
      </c>
      <c r="K75" s="75">
        <f t="shared" si="9"/>
        <v>3.7499999999999999E-2</v>
      </c>
      <c r="L75" s="75">
        <f t="shared" si="10"/>
        <v>3.7499999999999999E-2</v>
      </c>
    </row>
    <row r="76" spans="1:12" x14ac:dyDescent="0.2">
      <c r="A76" t="s">
        <v>244</v>
      </c>
      <c r="B76">
        <v>0</v>
      </c>
      <c r="C76">
        <v>2</v>
      </c>
      <c r="D76">
        <v>6.25</v>
      </c>
      <c r="F76" s="42">
        <f>B76+C76/20+D76/240</f>
        <v>0.12604166666666666</v>
      </c>
      <c r="H76" t="s">
        <v>674</v>
      </c>
    </row>
    <row r="77" spans="1:12" x14ac:dyDescent="0.2">
      <c r="A77" t="s">
        <v>244</v>
      </c>
      <c r="F77" s="42">
        <f>SUM(F73:F75)</f>
        <v>0.1275</v>
      </c>
      <c r="G77" s="43">
        <f>F77-F76</f>
        <v>1.4583333333333393E-3</v>
      </c>
      <c r="H77" t="s">
        <v>444</v>
      </c>
    </row>
    <row r="79" spans="1:12" x14ac:dyDescent="0.2">
      <c r="A79" t="s">
        <v>248</v>
      </c>
      <c r="B79">
        <v>0</v>
      </c>
      <c r="C79">
        <v>3</v>
      </c>
      <c r="D79">
        <v>1.5</v>
      </c>
      <c r="F79" s="42">
        <v>0.16</v>
      </c>
      <c r="H79" t="s">
        <v>249</v>
      </c>
    </row>
    <row r="80" spans="1:12" x14ac:dyDescent="0.2">
      <c r="A80" t="s">
        <v>248</v>
      </c>
      <c r="B80">
        <v>0</v>
      </c>
      <c r="C80">
        <v>10</v>
      </c>
      <c r="D80">
        <v>0</v>
      </c>
      <c r="F80" s="42">
        <v>0.5</v>
      </c>
      <c r="H80" t="s">
        <v>676</v>
      </c>
    </row>
    <row r="81" spans="1:8" x14ac:dyDescent="0.2">
      <c r="A81" t="s">
        <v>248</v>
      </c>
      <c r="B81">
        <v>0</v>
      </c>
      <c r="C81">
        <v>2</v>
      </c>
      <c r="D81">
        <v>0</v>
      </c>
      <c r="F81" s="42">
        <f>B81+C81/20+D81/240</f>
        <v>0.1</v>
      </c>
      <c r="H81" t="s">
        <v>677</v>
      </c>
    </row>
    <row r="82" spans="1:8" x14ac:dyDescent="0.2">
      <c r="A82" t="s">
        <v>248</v>
      </c>
      <c r="B82">
        <v>0</v>
      </c>
      <c r="C82">
        <v>15</v>
      </c>
      <c r="D82">
        <v>1.5</v>
      </c>
      <c r="F82" s="42">
        <v>0.76</v>
      </c>
      <c r="H82" t="s">
        <v>675</v>
      </c>
    </row>
    <row r="83" spans="1:8" x14ac:dyDescent="0.2">
      <c r="A83" t="s">
        <v>248</v>
      </c>
      <c r="F83" s="42">
        <f>SUM(F79:F81)</f>
        <v>0.76</v>
      </c>
      <c r="G83" s="43">
        <f>F83-F82</f>
        <v>0</v>
      </c>
      <c r="H83" t="s">
        <v>444</v>
      </c>
    </row>
    <row r="85" spans="1:8" x14ac:dyDescent="0.2">
      <c r="A85" t="s">
        <v>252</v>
      </c>
      <c r="B85">
        <v>0</v>
      </c>
      <c r="C85">
        <v>15</v>
      </c>
      <c r="D85">
        <v>7</v>
      </c>
      <c r="F85" s="42">
        <v>0.78</v>
      </c>
      <c r="H85" t="s">
        <v>453</v>
      </c>
    </row>
    <row r="86" spans="1:8" x14ac:dyDescent="0.2">
      <c r="A86" t="s">
        <v>252</v>
      </c>
      <c r="B86">
        <v>0</v>
      </c>
      <c r="C86">
        <v>9</v>
      </c>
      <c r="D86">
        <v>7.5</v>
      </c>
      <c r="F86" s="42">
        <v>0.48</v>
      </c>
      <c r="H86" t="s">
        <v>454</v>
      </c>
    </row>
    <row r="87" spans="1:8" x14ac:dyDescent="0.2">
      <c r="A87" t="s">
        <v>252</v>
      </c>
      <c r="B87">
        <v>0</v>
      </c>
      <c r="C87">
        <v>3</v>
      </c>
      <c r="D87">
        <v>2.5</v>
      </c>
      <c r="F87" s="42">
        <v>0.16</v>
      </c>
      <c r="H87" t="s">
        <v>257</v>
      </c>
    </row>
    <row r="88" spans="1:8" x14ac:dyDescent="0.2">
      <c r="A88" t="s">
        <v>252</v>
      </c>
      <c r="B88">
        <v>0</v>
      </c>
      <c r="C88">
        <v>2</v>
      </c>
      <c r="D88">
        <v>6</v>
      </c>
      <c r="F88" s="42">
        <f>B88+C88/20+D88/240</f>
        <v>0.125</v>
      </c>
      <c r="H88" t="s">
        <v>678</v>
      </c>
    </row>
    <row r="89" spans="1:8" x14ac:dyDescent="0.2">
      <c r="A89" t="s">
        <v>252</v>
      </c>
      <c r="B89">
        <v>1</v>
      </c>
      <c r="C89">
        <v>10</v>
      </c>
      <c r="D89">
        <v>11</v>
      </c>
      <c r="F89" s="42">
        <v>1.55</v>
      </c>
      <c r="H89" t="s">
        <v>679</v>
      </c>
    </row>
    <row r="90" spans="1:8" x14ac:dyDescent="0.2">
      <c r="A90" t="s">
        <v>252</v>
      </c>
      <c r="F90" s="42">
        <f>SUM(F85:F88)</f>
        <v>1.5449999999999999</v>
      </c>
      <c r="G90" s="43">
        <f>F90-F89</f>
        <v>-5.0000000000001155E-3</v>
      </c>
      <c r="H90" t="s">
        <v>444</v>
      </c>
    </row>
    <row r="92" spans="1:8" x14ac:dyDescent="0.2">
      <c r="A92" t="s">
        <v>259</v>
      </c>
      <c r="B92">
        <v>1</v>
      </c>
      <c r="C92">
        <v>19</v>
      </c>
      <c r="D92">
        <v>8</v>
      </c>
      <c r="F92" s="42">
        <v>1.98</v>
      </c>
      <c r="H92" t="s">
        <v>260</v>
      </c>
    </row>
    <row r="93" spans="1:8" x14ac:dyDescent="0.2">
      <c r="A93" t="s">
        <v>259</v>
      </c>
      <c r="B93">
        <v>0</v>
      </c>
      <c r="C93">
        <v>12</v>
      </c>
      <c r="D93">
        <v>0</v>
      </c>
      <c r="F93" s="42">
        <v>0.6</v>
      </c>
      <c r="H93" t="s">
        <v>262</v>
      </c>
    </row>
    <row r="94" spans="1:8" x14ac:dyDescent="0.2">
      <c r="A94" t="s">
        <v>259</v>
      </c>
      <c r="B94">
        <v>0</v>
      </c>
      <c r="C94">
        <v>1</v>
      </c>
      <c r="D94">
        <v>8</v>
      </c>
      <c r="F94" s="42">
        <f>B94+C94/20+D94/240</f>
        <v>8.3333333333333343E-2</v>
      </c>
      <c r="H94" t="s">
        <v>680</v>
      </c>
    </row>
    <row r="95" spans="1:8" x14ac:dyDescent="0.2">
      <c r="A95" t="s">
        <v>259</v>
      </c>
      <c r="B95">
        <v>2</v>
      </c>
      <c r="C95">
        <v>13</v>
      </c>
      <c r="D95">
        <v>4</v>
      </c>
      <c r="F95" s="42">
        <v>2.67</v>
      </c>
      <c r="H95" t="s">
        <v>681</v>
      </c>
    </row>
    <row r="96" spans="1:8" x14ac:dyDescent="0.2">
      <c r="A96" t="s">
        <v>259</v>
      </c>
      <c r="F96" s="42">
        <f>SUM(F92:F94)</f>
        <v>2.6633333333333336</v>
      </c>
      <c r="G96" s="43">
        <f>F96-F95</f>
        <v>-6.6666666666663765E-3</v>
      </c>
      <c r="H96" t="s">
        <v>444</v>
      </c>
    </row>
    <row r="98" spans="1:8" x14ac:dyDescent="0.2">
      <c r="A98" t="s">
        <v>264</v>
      </c>
      <c r="B98">
        <v>0</v>
      </c>
      <c r="C98">
        <v>0</v>
      </c>
      <c r="D98">
        <v>8</v>
      </c>
      <c r="F98" s="42">
        <v>0.03</v>
      </c>
      <c r="H98" t="s">
        <v>682</v>
      </c>
    </row>
    <row r="99" spans="1:8" x14ac:dyDescent="0.2">
      <c r="A99" t="s">
        <v>264</v>
      </c>
      <c r="F99" s="42">
        <v>0.03</v>
      </c>
      <c r="H99" t="s">
        <v>683</v>
      </c>
    </row>
    <row r="100" spans="1:8" x14ac:dyDescent="0.2">
      <c r="A100" t="s">
        <v>264</v>
      </c>
      <c r="F100" s="42">
        <v>0.03</v>
      </c>
      <c r="G100" s="43">
        <f>F100-F99</f>
        <v>0</v>
      </c>
      <c r="H100" t="s">
        <v>444</v>
      </c>
    </row>
    <row r="102" spans="1:8" x14ac:dyDescent="0.2">
      <c r="A102" t="s">
        <v>266</v>
      </c>
      <c r="B102">
        <v>0</v>
      </c>
      <c r="C102">
        <v>9</v>
      </c>
      <c r="D102">
        <v>6</v>
      </c>
      <c r="F102" s="42">
        <v>0.48</v>
      </c>
      <c r="H102" t="s">
        <v>684</v>
      </c>
    </row>
    <row r="103" spans="1:8" x14ac:dyDescent="0.2">
      <c r="A103" t="s">
        <v>266</v>
      </c>
      <c r="B103">
        <v>0</v>
      </c>
      <c r="C103">
        <v>9</v>
      </c>
      <c r="D103">
        <v>6</v>
      </c>
      <c r="F103" s="42">
        <v>0.48</v>
      </c>
      <c r="H103" t="s">
        <v>685</v>
      </c>
    </row>
    <row r="104" spans="1:8" x14ac:dyDescent="0.2">
      <c r="A104" t="s">
        <v>266</v>
      </c>
      <c r="F104" s="42">
        <v>0.48</v>
      </c>
      <c r="G104" s="43">
        <v>0</v>
      </c>
      <c r="H104" t="s">
        <v>444</v>
      </c>
    </row>
    <row r="106" spans="1:8" x14ac:dyDescent="0.2">
      <c r="A106" t="s">
        <v>272</v>
      </c>
      <c r="B106">
        <v>13</v>
      </c>
      <c r="C106">
        <v>14</v>
      </c>
      <c r="D106">
        <v>7</v>
      </c>
      <c r="F106" s="42">
        <v>13.73</v>
      </c>
      <c r="H106" t="s">
        <v>686</v>
      </c>
    </row>
    <row r="107" spans="1:8" x14ac:dyDescent="0.2">
      <c r="A107" t="s">
        <v>272</v>
      </c>
      <c r="B107">
        <v>13</v>
      </c>
      <c r="C107">
        <v>14</v>
      </c>
      <c r="D107">
        <v>7</v>
      </c>
      <c r="F107" s="42">
        <v>13.73</v>
      </c>
      <c r="H107" t="s">
        <v>687</v>
      </c>
    </row>
    <row r="108" spans="1:8" x14ac:dyDescent="0.2">
      <c r="A108" t="s">
        <v>272</v>
      </c>
      <c r="F108" s="42">
        <v>13.73</v>
      </c>
      <c r="G108" s="43">
        <v>0</v>
      </c>
      <c r="H108" t="s">
        <v>444</v>
      </c>
    </row>
    <row r="111" spans="1:8" x14ac:dyDescent="0.2">
      <c r="A111" t="s">
        <v>274</v>
      </c>
      <c r="B111">
        <v>34</v>
      </c>
      <c r="C111">
        <v>19</v>
      </c>
      <c r="D111">
        <v>7.25</v>
      </c>
      <c r="F111" s="42">
        <v>34.979999999999997</v>
      </c>
      <c r="H111" t="s">
        <v>275</v>
      </c>
    </row>
    <row r="112" spans="1:8" x14ac:dyDescent="0.2">
      <c r="A112" t="s">
        <v>274</v>
      </c>
      <c r="F112" s="42">
        <v>34.979999999999997</v>
      </c>
      <c r="G112" s="43">
        <f>F112-F111</f>
        <v>0</v>
      </c>
      <c r="H112" t="s">
        <v>444</v>
      </c>
    </row>
    <row r="114" spans="1:8" x14ac:dyDescent="0.2">
      <c r="A114" t="s">
        <v>276</v>
      </c>
      <c r="B114">
        <v>72</v>
      </c>
      <c r="C114">
        <v>0</v>
      </c>
      <c r="D114">
        <v>0</v>
      </c>
      <c r="F114" s="42">
        <v>72</v>
      </c>
      <c r="H114" t="s">
        <v>277</v>
      </c>
    </row>
    <row r="115" spans="1:8" x14ac:dyDescent="0.2">
      <c r="A115" t="s">
        <v>276</v>
      </c>
      <c r="F115" s="42">
        <v>72</v>
      </c>
      <c r="G115" s="43">
        <v>0</v>
      </c>
      <c r="H115" t="s">
        <v>444</v>
      </c>
    </row>
    <row r="117" spans="1:8" x14ac:dyDescent="0.2">
      <c r="A117" t="s">
        <v>278</v>
      </c>
      <c r="B117">
        <v>72</v>
      </c>
      <c r="C117">
        <v>0</v>
      </c>
      <c r="D117">
        <v>0</v>
      </c>
      <c r="F117" s="42">
        <v>72</v>
      </c>
      <c r="H117" t="s">
        <v>279</v>
      </c>
    </row>
    <row r="118" spans="1:8" x14ac:dyDescent="0.2">
      <c r="A118" t="s">
        <v>278</v>
      </c>
      <c r="F118" s="42">
        <v>72</v>
      </c>
      <c r="G118" s="43">
        <v>0</v>
      </c>
      <c r="H118" t="s">
        <v>444</v>
      </c>
    </row>
    <row r="120" spans="1:8" x14ac:dyDescent="0.2">
      <c r="A120" t="s">
        <v>280</v>
      </c>
      <c r="B120">
        <v>0</v>
      </c>
      <c r="C120">
        <v>0</v>
      </c>
      <c r="D120">
        <v>0</v>
      </c>
      <c r="F120" s="42">
        <v>0</v>
      </c>
      <c r="H120" t="s">
        <v>281</v>
      </c>
    </row>
    <row r="122" spans="1:8" ht="16" x14ac:dyDescent="0.2">
      <c r="A122" s="10" t="s">
        <v>564</v>
      </c>
      <c r="F122" s="42">
        <f>F112</f>
        <v>34.979999999999997</v>
      </c>
    </row>
    <row r="123" spans="1:8" ht="16" x14ac:dyDescent="0.2">
      <c r="A123" s="10" t="s">
        <v>565</v>
      </c>
      <c r="F123" s="42">
        <f>F108+F104+F100+F96+F90+F83+F77+F71+F55+F48+F33+F20+F16</f>
        <v>30.835000000000001</v>
      </c>
      <c r="G123" s="43">
        <f>F123-F122</f>
        <v>-4.144999999999996</v>
      </c>
    </row>
    <row r="124" spans="1:8" ht="16" x14ac:dyDescent="0.2">
      <c r="A124" s="10" t="s">
        <v>566</v>
      </c>
      <c r="F124" s="42">
        <f>SUM(K3:K77)</f>
        <v>6.4491666666666632</v>
      </c>
    </row>
    <row r="125" spans="1:8" ht="16" x14ac:dyDescent="0.2">
      <c r="A125" s="10" t="s">
        <v>567</v>
      </c>
      <c r="F125" s="42">
        <f>SUM(L3:L77)</f>
        <v>3.6574999999999998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1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A2" sqref="A2:A7"/>
    </sheetView>
  </sheetViews>
  <sheetFormatPr baseColWidth="10" defaultColWidth="8.83203125" defaultRowHeight="15" x14ac:dyDescent="0.2"/>
  <cols>
    <col min="1" max="1" width="30" style="45" bestFit="1" customWidth="1"/>
    <col min="2" max="2" width="12.1640625" style="45" bestFit="1" customWidth="1"/>
    <col min="3" max="3" width="19.1640625" style="45" bestFit="1" customWidth="1"/>
    <col min="4" max="4" width="20" style="45" bestFit="1" customWidth="1"/>
    <col min="5" max="6" width="15.83203125" style="45" bestFit="1" customWidth="1"/>
    <col min="7" max="7" width="20.6640625" style="45" customWidth="1"/>
    <col min="8" max="8" width="20" style="45" bestFit="1" customWidth="1"/>
    <col min="9" max="9" width="17.6640625" style="45" bestFit="1" customWidth="1"/>
    <col min="10" max="12" width="24" customWidth="1"/>
    <col min="13" max="13" width="17.83203125" bestFit="1" customWidth="1"/>
    <col min="14" max="14" width="8.1640625" bestFit="1" customWidth="1"/>
    <col min="15" max="15" width="19.5" bestFit="1" customWidth="1"/>
    <col min="16" max="16" width="20.1640625" bestFit="1" customWidth="1"/>
  </cols>
  <sheetData>
    <row r="1" spans="1:16" s="61" customFormat="1" ht="32" x14ac:dyDescent="0.2">
      <c r="A1" s="59" t="s">
        <v>508</v>
      </c>
      <c r="B1" s="59" t="s">
        <v>756</v>
      </c>
      <c r="C1" s="59" t="s">
        <v>500</v>
      </c>
      <c r="D1" s="59" t="s">
        <v>488</v>
      </c>
      <c r="E1" s="59" t="s">
        <v>757</v>
      </c>
      <c r="F1" s="59" t="s">
        <v>497</v>
      </c>
      <c r="G1" s="59" t="s">
        <v>509</v>
      </c>
      <c r="H1" s="59" t="s">
        <v>510</v>
      </c>
      <c r="I1" s="60" t="s">
        <v>512</v>
      </c>
    </row>
    <row r="2" spans="1:16" x14ac:dyDescent="0.2">
      <c r="A2" t="s">
        <v>142</v>
      </c>
      <c r="B2" s="42">
        <v>73.25</v>
      </c>
      <c r="C2" s="42">
        <v>73.25</v>
      </c>
      <c r="D2" s="42">
        <v>0</v>
      </c>
      <c r="E2" s="55"/>
      <c r="F2" s="42">
        <v>46.3125</v>
      </c>
      <c r="G2" s="55">
        <f>B2-F2</f>
        <v>26.9375</v>
      </c>
      <c r="H2" s="42">
        <v>0.27813765182186229</v>
      </c>
      <c r="I2" s="55">
        <f>H2*B2</f>
        <v>20.373582995951413</v>
      </c>
    </row>
    <row r="3" spans="1:16" x14ac:dyDescent="0.2">
      <c r="A3" t="s">
        <v>144</v>
      </c>
      <c r="B3" s="42">
        <v>13.125</v>
      </c>
      <c r="C3" s="42">
        <v>13.125</v>
      </c>
      <c r="D3" s="42">
        <v>0</v>
      </c>
      <c r="E3" s="55"/>
      <c r="F3" s="42">
        <v>13.125</v>
      </c>
      <c r="G3" s="55">
        <f t="shared" ref="G3:G7" si="0">B3-F3</f>
        <v>0</v>
      </c>
      <c r="H3" s="42">
        <v>0.1333333333333333</v>
      </c>
      <c r="I3" s="55">
        <f t="shared" ref="I3:I7" si="1">H3*B3</f>
        <v>1.7499999999999996</v>
      </c>
    </row>
    <row r="4" spans="1:16" x14ac:dyDescent="0.2">
      <c r="A4" t="s">
        <v>146</v>
      </c>
      <c r="B4" s="42">
        <v>76.5</v>
      </c>
      <c r="C4" s="42">
        <v>69.25</v>
      </c>
      <c r="D4" s="42">
        <v>6.625</v>
      </c>
      <c r="E4" s="55"/>
      <c r="F4" s="42">
        <v>23.9375</v>
      </c>
      <c r="G4" s="55">
        <f t="shared" si="0"/>
        <v>52.5625</v>
      </c>
      <c r="H4" s="42">
        <v>0.2</v>
      </c>
      <c r="I4" s="55">
        <f t="shared" si="1"/>
        <v>15.3</v>
      </c>
    </row>
    <row r="5" spans="1:16" x14ac:dyDescent="0.2">
      <c r="A5" t="s">
        <v>148</v>
      </c>
      <c r="B5">
        <v>178.875</v>
      </c>
      <c r="C5">
        <v>178.875</v>
      </c>
      <c r="D5" s="42">
        <v>0</v>
      </c>
      <c r="E5" s="55"/>
      <c r="F5" s="42">
        <v>31.5</v>
      </c>
      <c r="G5" s="55">
        <f t="shared" si="0"/>
        <v>147.375</v>
      </c>
      <c r="H5" s="42">
        <v>0.1044312169312169</v>
      </c>
      <c r="I5" s="55">
        <f>H5*B5</f>
        <v>18.680133928571422</v>
      </c>
    </row>
    <row r="6" spans="1:16" x14ac:dyDescent="0.2">
      <c r="A6" t="s">
        <v>150</v>
      </c>
      <c r="B6" s="42">
        <v>6.75</v>
      </c>
      <c r="C6" s="42">
        <v>6.75</v>
      </c>
      <c r="D6" s="42">
        <v>0</v>
      </c>
      <c r="E6" s="55"/>
      <c r="F6" s="42">
        <v>5</v>
      </c>
      <c r="G6" s="55">
        <f t="shared" si="0"/>
        <v>1.75</v>
      </c>
      <c r="H6" s="42">
        <v>0.125</v>
      </c>
      <c r="I6" s="55">
        <f t="shared" si="1"/>
        <v>0.84375</v>
      </c>
    </row>
    <row r="7" spans="1:16" x14ac:dyDescent="0.2">
      <c r="A7" t="s">
        <v>152</v>
      </c>
      <c r="B7" s="42">
        <v>8.25</v>
      </c>
      <c r="C7" s="42">
        <v>8.25</v>
      </c>
      <c r="D7" s="42">
        <v>0</v>
      </c>
      <c r="E7" s="55"/>
      <c r="F7" s="42">
        <v>8</v>
      </c>
      <c r="G7" s="55">
        <f t="shared" si="0"/>
        <v>0.25</v>
      </c>
      <c r="H7" s="42">
        <v>0.1</v>
      </c>
      <c r="I7" s="55">
        <f t="shared" si="1"/>
        <v>0.82500000000000007</v>
      </c>
    </row>
    <row r="9" spans="1:16" ht="16" x14ac:dyDescent="0.2">
      <c r="A9" s="66" t="s">
        <v>758</v>
      </c>
    </row>
    <row r="10" spans="1:16" ht="16" x14ac:dyDescent="0.2">
      <c r="A10" s="66" t="s">
        <v>759</v>
      </c>
    </row>
    <row r="13" spans="1:16" ht="32" x14ac:dyDescent="0.2">
      <c r="A13" s="63" t="s">
        <v>760</v>
      </c>
      <c r="B13" s="62" t="s">
        <v>761</v>
      </c>
      <c r="C13" s="63" t="s">
        <v>762</v>
      </c>
      <c r="D13" s="63" t="s">
        <v>763</v>
      </c>
      <c r="E13" s="63" t="s">
        <v>764</v>
      </c>
      <c r="F13" s="63" t="s">
        <v>765</v>
      </c>
      <c r="G13" s="63" t="s">
        <v>766</v>
      </c>
      <c r="H13" s="63" t="s">
        <v>767</v>
      </c>
      <c r="I13" s="63" t="s">
        <v>768</v>
      </c>
      <c r="J13" s="63" t="s">
        <v>769</v>
      </c>
      <c r="K13" s="64" t="s">
        <v>770</v>
      </c>
      <c r="L13" s="63" t="s">
        <v>771</v>
      </c>
      <c r="M13" s="63" t="s">
        <v>772</v>
      </c>
      <c r="N13" s="65" t="s">
        <v>773</v>
      </c>
      <c r="O13" s="65" t="s">
        <v>774</v>
      </c>
      <c r="P13" s="62" t="s">
        <v>775</v>
      </c>
    </row>
    <row r="14" spans="1:16" x14ac:dyDescent="0.2">
      <c r="A14" t="s">
        <v>142</v>
      </c>
      <c r="B14" s="55">
        <f>B2</f>
        <v>73.25</v>
      </c>
      <c r="C14" s="45">
        <v>23</v>
      </c>
      <c r="D14" s="45">
        <v>3.5</v>
      </c>
      <c r="E14" s="55">
        <f>C14+D14/8</f>
        <v>23.4375</v>
      </c>
      <c r="J14">
        <f>6+6</f>
        <v>12</v>
      </c>
      <c r="K14">
        <f>I14+J14/8</f>
        <v>1.5</v>
      </c>
      <c r="L14" s="42">
        <f>B14-E14-K14</f>
        <v>48.3125</v>
      </c>
      <c r="N14" s="42">
        <f>H2</f>
        <v>0.27813765182186229</v>
      </c>
      <c r="O14" s="42">
        <f>N14*L14</f>
        <v>13.437525303643723</v>
      </c>
    </row>
    <row r="15" spans="1:16" x14ac:dyDescent="0.2">
      <c r="A15" t="s">
        <v>144</v>
      </c>
      <c r="B15" s="55">
        <f t="shared" ref="B15:B19" si="2">B3</f>
        <v>13.125</v>
      </c>
      <c r="E15" s="55">
        <f t="shared" ref="E15:E19" si="3">C15+D15/8</f>
        <v>0</v>
      </c>
      <c r="K15">
        <f t="shared" ref="K15:K19" si="4">I15+J15/8</f>
        <v>0</v>
      </c>
      <c r="L15" s="42">
        <f t="shared" ref="L15:L19" si="5">B15-E15-K15</f>
        <v>13.125</v>
      </c>
      <c r="N15" s="42">
        <f t="shared" ref="N15:N19" si="6">H3</f>
        <v>0.1333333333333333</v>
      </c>
      <c r="O15" s="42">
        <f t="shared" ref="O15:O19" si="7">N15*L15</f>
        <v>1.7499999999999996</v>
      </c>
    </row>
    <row r="16" spans="1:16" x14ac:dyDescent="0.2">
      <c r="A16" t="s">
        <v>146</v>
      </c>
      <c r="B16" s="55">
        <f t="shared" si="2"/>
        <v>76.5</v>
      </c>
      <c r="C16" s="45">
        <v>20.5</v>
      </c>
      <c r="E16" s="55">
        <f t="shared" si="3"/>
        <v>20.5</v>
      </c>
      <c r="I16" s="45">
        <f>1+6.5+19.5+2+1</f>
        <v>30</v>
      </c>
      <c r="J16">
        <f>4+6.5+1</f>
        <v>11.5</v>
      </c>
      <c r="K16">
        <f t="shared" si="4"/>
        <v>31.4375</v>
      </c>
      <c r="L16" s="42">
        <f t="shared" si="5"/>
        <v>24.5625</v>
      </c>
      <c r="N16" s="42">
        <f t="shared" si="6"/>
        <v>0.2</v>
      </c>
      <c r="O16" s="42">
        <f t="shared" si="7"/>
        <v>4.9125000000000005</v>
      </c>
    </row>
    <row r="17" spans="1:15" x14ac:dyDescent="0.2">
      <c r="A17" t="s">
        <v>148</v>
      </c>
      <c r="B17" s="55">
        <f t="shared" si="2"/>
        <v>178.875</v>
      </c>
      <c r="C17" s="45">
        <v>82</v>
      </c>
      <c r="E17" s="55">
        <f t="shared" si="3"/>
        <v>82</v>
      </c>
      <c r="I17" s="45">
        <f>19.5+16+6+18+3+2</f>
        <v>64.5</v>
      </c>
      <c r="J17">
        <f>1+2+3</f>
        <v>6</v>
      </c>
      <c r="K17">
        <f t="shared" si="4"/>
        <v>65.25</v>
      </c>
      <c r="L17" s="42">
        <f t="shared" si="5"/>
        <v>31.625</v>
      </c>
      <c r="N17" s="42">
        <f t="shared" si="6"/>
        <v>0.1044312169312169</v>
      </c>
      <c r="O17" s="42">
        <f t="shared" si="7"/>
        <v>3.3026372354497346</v>
      </c>
    </row>
    <row r="18" spans="1:15" x14ac:dyDescent="0.2">
      <c r="A18" t="s">
        <v>150</v>
      </c>
      <c r="B18" s="55">
        <f t="shared" si="2"/>
        <v>6.75</v>
      </c>
      <c r="D18" s="45">
        <v>2</v>
      </c>
      <c r="E18" s="55">
        <f t="shared" si="3"/>
        <v>0.25</v>
      </c>
      <c r="I18" s="45">
        <v>1.5</v>
      </c>
      <c r="K18">
        <f t="shared" si="4"/>
        <v>1.5</v>
      </c>
      <c r="L18" s="42">
        <f t="shared" si="5"/>
        <v>5</v>
      </c>
      <c r="N18" s="42">
        <f t="shared" si="6"/>
        <v>0.125</v>
      </c>
      <c r="O18" s="42">
        <f t="shared" si="7"/>
        <v>0.625</v>
      </c>
    </row>
    <row r="19" spans="1:15" x14ac:dyDescent="0.2">
      <c r="A19" t="s">
        <v>152</v>
      </c>
      <c r="B19" s="55">
        <f t="shared" si="2"/>
        <v>8.25</v>
      </c>
      <c r="E19" s="55">
        <f t="shared" si="3"/>
        <v>0</v>
      </c>
      <c r="K19">
        <f t="shared" si="4"/>
        <v>0</v>
      </c>
      <c r="L19" s="42">
        <f t="shared" si="5"/>
        <v>8.25</v>
      </c>
      <c r="N19" s="42">
        <f t="shared" si="6"/>
        <v>0.1</v>
      </c>
      <c r="O19" s="42">
        <f t="shared" si="7"/>
        <v>0.82500000000000007</v>
      </c>
    </row>
    <row r="21" spans="1:15" x14ac:dyDescent="0.2">
      <c r="A21" s="67" t="s">
        <v>444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30"/>
  <sheetViews>
    <sheetView zoomScale="90" workbookViewId="0">
      <pane xSplit="1" ySplit="4" topLeftCell="L63" activePane="bottomRight" state="frozen"/>
      <selection pane="topRight" activeCell="B1" sqref="B1"/>
      <selection pane="bottomLeft" activeCell="A5" sqref="A5"/>
      <selection pane="bottomRight" activeCell="A35" sqref="A35:A38"/>
    </sheetView>
  </sheetViews>
  <sheetFormatPr baseColWidth="10" defaultColWidth="8.83203125" defaultRowHeight="15" x14ac:dyDescent="0.2"/>
  <cols>
    <col min="1" max="1" width="44.33203125" bestFit="1" customWidth="1"/>
    <col min="2" max="2" width="11.5" customWidth="1"/>
    <col min="6" max="6" width="14" customWidth="1"/>
    <col min="10" max="10" width="18.5" customWidth="1"/>
    <col min="11" max="11" width="13.1640625" customWidth="1"/>
    <col min="14" max="14" width="12.6640625" customWidth="1"/>
    <col min="16" max="16" width="17.1640625" customWidth="1"/>
    <col min="17" max="17" width="15.6640625" customWidth="1"/>
    <col min="19" max="19" width="12.6640625" customWidth="1"/>
    <col min="20" max="20" width="17.33203125" customWidth="1"/>
  </cols>
  <sheetData>
    <row r="1" spans="1:21" ht="16" x14ac:dyDescent="0.2">
      <c r="A1" s="10" t="s">
        <v>736</v>
      </c>
      <c r="B1" s="44"/>
      <c r="C1" s="44"/>
      <c r="D1" s="44"/>
      <c r="E1" s="44"/>
      <c r="F1" s="44"/>
      <c r="G1" s="44"/>
      <c r="H1" s="44"/>
      <c r="I1" s="44"/>
    </row>
    <row r="2" spans="1:21" ht="16" x14ac:dyDescent="0.2">
      <c r="A2" s="10"/>
    </row>
    <row r="3" spans="1:21" x14ac:dyDescent="0.2">
      <c r="A3" s="45"/>
      <c r="B3" s="45"/>
      <c r="C3" s="69" t="s">
        <v>455</v>
      </c>
      <c r="D3" s="69"/>
      <c r="E3" s="69"/>
      <c r="F3" s="69"/>
      <c r="G3" s="70" t="s">
        <v>737</v>
      </c>
      <c r="H3" s="69"/>
      <c r="I3" s="69"/>
      <c r="J3" s="69"/>
      <c r="K3" s="45"/>
      <c r="L3" s="45"/>
      <c r="M3" s="45"/>
      <c r="N3" s="45"/>
      <c r="O3" s="45"/>
      <c r="P3" s="55"/>
      <c r="Q3" s="45"/>
      <c r="R3" s="45"/>
      <c r="S3" s="45"/>
      <c r="T3" s="45"/>
    </row>
    <row r="4" spans="1:21" ht="51" x14ac:dyDescent="0.2">
      <c r="A4" s="46" t="s">
        <v>586</v>
      </c>
      <c r="B4" s="56" t="s">
        <v>738</v>
      </c>
      <c r="C4" s="56" t="s">
        <v>455</v>
      </c>
      <c r="D4" s="10" t="s">
        <v>739</v>
      </c>
      <c r="E4" s="10" t="s">
        <v>740</v>
      </c>
      <c r="F4" s="10" t="s">
        <v>741</v>
      </c>
      <c r="G4" s="10" t="s">
        <v>742</v>
      </c>
      <c r="H4" s="56" t="s">
        <v>456</v>
      </c>
      <c r="I4" s="56" t="s">
        <v>743</v>
      </c>
      <c r="J4" s="56" t="s">
        <v>744</v>
      </c>
      <c r="K4" s="56" t="s">
        <v>745</v>
      </c>
      <c r="L4" s="56" t="s">
        <v>746</v>
      </c>
      <c r="M4" s="56" t="s">
        <v>747</v>
      </c>
      <c r="N4" s="56" t="s">
        <v>748</v>
      </c>
      <c r="O4" s="56" t="s">
        <v>749</v>
      </c>
      <c r="P4" s="57" t="s">
        <v>750</v>
      </c>
      <c r="Q4" s="46" t="s">
        <v>751</v>
      </c>
      <c r="R4" s="46" t="s">
        <v>752</v>
      </c>
      <c r="S4" s="46" t="s">
        <v>753</v>
      </c>
      <c r="T4" s="58" t="s">
        <v>754</v>
      </c>
      <c r="U4" s="56" t="s">
        <v>755</v>
      </c>
    </row>
    <row r="5" spans="1:21" ht="16" x14ac:dyDescent="0.2">
      <c r="A5" s="45" t="s">
        <v>457</v>
      </c>
      <c r="B5">
        <v>2</v>
      </c>
      <c r="K5">
        <v>2</v>
      </c>
    </row>
    <row r="6" spans="1:21" ht="16" x14ac:dyDescent="0.2">
      <c r="A6" s="45" t="s">
        <v>587</v>
      </c>
    </row>
    <row r="7" spans="1:21" x14ac:dyDescent="0.2">
      <c r="A7" t="s">
        <v>588</v>
      </c>
      <c r="B7">
        <v>8</v>
      </c>
      <c r="C7">
        <v>1</v>
      </c>
      <c r="H7">
        <v>1</v>
      </c>
      <c r="I7">
        <v>1</v>
      </c>
      <c r="K7">
        <v>7</v>
      </c>
      <c r="O7">
        <f>R7/H7</f>
        <v>0.04</v>
      </c>
      <c r="R7">
        <f>Receipts!F98</f>
        <v>0.04</v>
      </c>
      <c r="T7">
        <f>O7*C7</f>
        <v>0.04</v>
      </c>
    </row>
    <row r="8" spans="1:21" x14ac:dyDescent="0.2">
      <c r="A8" t="s">
        <v>688</v>
      </c>
    </row>
    <row r="9" spans="1:21" x14ac:dyDescent="0.2">
      <c r="A9" t="s">
        <v>589</v>
      </c>
    </row>
    <row r="10" spans="1:21" x14ac:dyDescent="0.2">
      <c r="A10" t="s">
        <v>590</v>
      </c>
    </row>
    <row r="11" spans="1:21" x14ac:dyDescent="0.2">
      <c r="A11" t="s">
        <v>591</v>
      </c>
    </row>
    <row r="12" spans="1:21" x14ac:dyDescent="0.2">
      <c r="A12" t="s">
        <v>458</v>
      </c>
      <c r="B12">
        <v>26</v>
      </c>
      <c r="C12">
        <f>1+5</f>
        <v>6</v>
      </c>
      <c r="H12">
        <v>4</v>
      </c>
      <c r="K12">
        <v>28</v>
      </c>
      <c r="O12">
        <f t="shared" ref="O8:O28" si="0">R12/H12</f>
        <v>0.53749999999999998</v>
      </c>
      <c r="R12">
        <f>Receipts!F85</f>
        <v>2.15</v>
      </c>
      <c r="T12">
        <f t="shared" ref="T8:T26" si="1">O12*C12</f>
        <v>3.2249999999999996</v>
      </c>
    </row>
    <row r="13" spans="1:21" x14ac:dyDescent="0.2">
      <c r="A13" t="s">
        <v>459</v>
      </c>
      <c r="B13">
        <v>2</v>
      </c>
      <c r="K13">
        <v>2</v>
      </c>
    </row>
    <row r="14" spans="1:21" x14ac:dyDescent="0.2">
      <c r="A14" t="s">
        <v>460</v>
      </c>
      <c r="B14">
        <v>21</v>
      </c>
      <c r="C14">
        <f>1</f>
        <v>1</v>
      </c>
      <c r="H14">
        <v>3</v>
      </c>
      <c r="K14">
        <v>19</v>
      </c>
      <c r="O14">
        <f t="shared" si="0"/>
        <v>0.37333333333333335</v>
      </c>
      <c r="R14">
        <f>Receipts!F86</f>
        <v>1.1200000000000001</v>
      </c>
      <c r="T14">
        <f t="shared" si="1"/>
        <v>0.37333333333333335</v>
      </c>
    </row>
    <row r="15" spans="1:21" x14ac:dyDescent="0.2">
      <c r="A15" t="s">
        <v>461</v>
      </c>
      <c r="B15">
        <v>5</v>
      </c>
      <c r="C15">
        <v>39</v>
      </c>
      <c r="H15">
        <v>39</v>
      </c>
      <c r="J15">
        <f>5</f>
        <v>5</v>
      </c>
      <c r="K15">
        <v>0</v>
      </c>
      <c r="O15">
        <f t="shared" si="0"/>
        <v>0.43897435897435899</v>
      </c>
      <c r="R15">
        <f>Receipts!F116</f>
        <v>17.12</v>
      </c>
      <c r="T15">
        <f t="shared" si="1"/>
        <v>17.12</v>
      </c>
    </row>
    <row r="16" spans="1:21" x14ac:dyDescent="0.2">
      <c r="A16" t="s">
        <v>462</v>
      </c>
      <c r="B16">
        <v>5</v>
      </c>
      <c r="K16">
        <v>5</v>
      </c>
    </row>
    <row r="17" spans="1:21" x14ac:dyDescent="0.2">
      <c r="A17" t="s">
        <v>592</v>
      </c>
      <c r="B17">
        <v>7</v>
      </c>
      <c r="I17">
        <v>1</v>
      </c>
      <c r="K17">
        <v>6</v>
      </c>
    </row>
    <row r="18" spans="1:21" x14ac:dyDescent="0.2">
      <c r="A18" t="s">
        <v>463</v>
      </c>
      <c r="B18">
        <v>15</v>
      </c>
      <c r="H18">
        <v>6</v>
      </c>
      <c r="I18">
        <v>2</v>
      </c>
      <c r="J18">
        <f>1</f>
        <v>1</v>
      </c>
      <c r="K18">
        <v>6</v>
      </c>
      <c r="O18">
        <f t="shared" si="0"/>
        <v>4.9999999999999996E-2</v>
      </c>
      <c r="R18">
        <f>Receipts!F93</f>
        <v>0.3</v>
      </c>
      <c r="T18">
        <f t="shared" si="1"/>
        <v>0</v>
      </c>
    </row>
    <row r="19" spans="1:21" x14ac:dyDescent="0.2">
      <c r="A19" t="s">
        <v>464</v>
      </c>
      <c r="B19">
        <v>354</v>
      </c>
      <c r="C19">
        <f>77+3</f>
        <v>80</v>
      </c>
      <c r="H19">
        <v>16</v>
      </c>
      <c r="I19">
        <f>24+12</f>
        <v>36</v>
      </c>
      <c r="K19">
        <v>382</v>
      </c>
      <c r="O19">
        <f t="shared" si="0"/>
        <v>6.25E-2</v>
      </c>
      <c r="R19">
        <f>Receipts!F94</f>
        <v>1</v>
      </c>
      <c r="T19">
        <f t="shared" si="1"/>
        <v>5</v>
      </c>
    </row>
    <row r="20" spans="1:21" x14ac:dyDescent="0.2">
      <c r="A20" t="s">
        <v>465</v>
      </c>
      <c r="B20">
        <v>13</v>
      </c>
      <c r="C20">
        <v>3</v>
      </c>
      <c r="I20">
        <f>1</f>
        <v>1</v>
      </c>
      <c r="K20">
        <v>15</v>
      </c>
    </row>
    <row r="21" spans="1:21" x14ac:dyDescent="0.2">
      <c r="A21" t="s">
        <v>466</v>
      </c>
      <c r="B21">
        <v>339</v>
      </c>
      <c r="C21">
        <f>94+2</f>
        <v>96</v>
      </c>
      <c r="H21">
        <v>14</v>
      </c>
      <c r="I21">
        <f>24+8+7</f>
        <v>39</v>
      </c>
      <c r="K21">
        <v>381</v>
      </c>
      <c r="O21">
        <f t="shared" si="0"/>
        <v>4.642857142857143E-2</v>
      </c>
      <c r="R21">
        <f>Receipts!F95</f>
        <v>0.65</v>
      </c>
      <c r="T21">
        <f t="shared" si="1"/>
        <v>4.4571428571428573</v>
      </c>
    </row>
    <row r="22" spans="1:21" x14ac:dyDescent="0.2">
      <c r="A22" t="s">
        <v>467</v>
      </c>
      <c r="B22">
        <v>188</v>
      </c>
      <c r="I22">
        <f>14</f>
        <v>14</v>
      </c>
      <c r="J22">
        <f>77+3+94</f>
        <v>174</v>
      </c>
      <c r="K22">
        <v>0</v>
      </c>
      <c r="T22">
        <f t="shared" si="1"/>
        <v>0</v>
      </c>
    </row>
    <row r="23" spans="1:21" x14ac:dyDescent="0.2">
      <c r="A23" t="s">
        <v>468</v>
      </c>
      <c r="C23">
        <f>255+80</f>
        <v>335</v>
      </c>
      <c r="H23">
        <v>38</v>
      </c>
      <c r="I23">
        <f>57+19</f>
        <v>76</v>
      </c>
      <c r="J23">
        <f>25+3</f>
        <v>28</v>
      </c>
      <c r="K23">
        <v>193</v>
      </c>
      <c r="O23">
        <f t="shared" si="0"/>
        <v>1.2631578947368421E-2</v>
      </c>
      <c r="R23">
        <f>Receipts!F96</f>
        <v>0.48</v>
      </c>
      <c r="T23">
        <f t="shared" si="1"/>
        <v>4.2315789473684209</v>
      </c>
    </row>
    <row r="24" spans="1:21" x14ac:dyDescent="0.2">
      <c r="A24" t="s">
        <v>469</v>
      </c>
      <c r="B24">
        <v>1</v>
      </c>
      <c r="K24">
        <v>1</v>
      </c>
      <c r="T24">
        <f t="shared" si="1"/>
        <v>0</v>
      </c>
    </row>
    <row r="25" spans="1:21" x14ac:dyDescent="0.2">
      <c r="A25" t="s">
        <v>593</v>
      </c>
      <c r="B25">
        <v>2</v>
      </c>
      <c r="K25">
        <v>2</v>
      </c>
      <c r="T25">
        <f t="shared" si="1"/>
        <v>0</v>
      </c>
    </row>
    <row r="26" spans="1:21" x14ac:dyDescent="0.2">
      <c r="A26" t="s">
        <v>470</v>
      </c>
      <c r="B26">
        <v>43</v>
      </c>
      <c r="C26">
        <f>24</f>
        <v>24</v>
      </c>
      <c r="H26">
        <v>19</v>
      </c>
      <c r="I26">
        <v>3</v>
      </c>
      <c r="K26">
        <v>45</v>
      </c>
      <c r="O26">
        <f t="shared" si="0"/>
        <v>0.15789473684210525</v>
      </c>
      <c r="R26">
        <f>Receipts!F97</f>
        <v>3</v>
      </c>
      <c r="T26">
        <f t="shared" si="1"/>
        <v>3.7894736842105261</v>
      </c>
    </row>
    <row r="27" spans="1:21" x14ac:dyDescent="0.2">
      <c r="A27" t="s">
        <v>471</v>
      </c>
      <c r="B27">
        <v>27</v>
      </c>
      <c r="H27">
        <v>19</v>
      </c>
      <c r="I27">
        <v>3</v>
      </c>
      <c r="J27">
        <v>24</v>
      </c>
      <c r="K27">
        <v>0</v>
      </c>
      <c r="O27">
        <f t="shared" si="0"/>
        <v>0</v>
      </c>
      <c r="U27" t="s">
        <v>780</v>
      </c>
    </row>
    <row r="28" spans="1:21" x14ac:dyDescent="0.2">
      <c r="A28" t="s">
        <v>472</v>
      </c>
      <c r="C28">
        <v>51</v>
      </c>
      <c r="J28">
        <f>5+3</f>
        <v>8</v>
      </c>
      <c r="K28">
        <v>43</v>
      </c>
    </row>
    <row r="29" spans="1:21" x14ac:dyDescent="0.2">
      <c r="A29" t="s">
        <v>594</v>
      </c>
    </row>
    <row r="30" spans="1:21" x14ac:dyDescent="0.2">
      <c r="A30" t="s">
        <v>477</v>
      </c>
    </row>
    <row r="31" spans="1:21" s="68" customFormat="1" ht="16" x14ac:dyDescent="0.2">
      <c r="A31" s="47" t="s">
        <v>689</v>
      </c>
      <c r="R31" s="71">
        <f>SUM(R7:R29)</f>
        <v>25.86</v>
      </c>
      <c r="S31" s="71"/>
      <c r="T31" s="71">
        <f>SUM(T5:T26)</f>
        <v>38.236528822055135</v>
      </c>
    </row>
    <row r="34" spans="1:21" ht="17" x14ac:dyDescent="0.2">
      <c r="A34" s="46" t="s">
        <v>597</v>
      </c>
    </row>
    <row r="35" spans="1:21" x14ac:dyDescent="0.2">
      <c r="A35" t="s">
        <v>473</v>
      </c>
      <c r="C35">
        <v>812</v>
      </c>
      <c r="J35">
        <f>81+2+729</f>
        <v>812</v>
      </c>
      <c r="K35">
        <v>0</v>
      </c>
      <c r="O35" s="42">
        <v>0.02</v>
      </c>
      <c r="T35">
        <f>O35*J35</f>
        <v>16.240000000000002</v>
      </c>
      <c r="U35" t="s">
        <v>783</v>
      </c>
    </row>
    <row r="36" spans="1:21" x14ac:dyDescent="0.2">
      <c r="A36" t="s">
        <v>598</v>
      </c>
      <c r="C36">
        <v>193</v>
      </c>
      <c r="J36">
        <v>193</v>
      </c>
      <c r="O36" s="42">
        <v>0.01</v>
      </c>
      <c r="T36">
        <f>O36*J36</f>
        <v>1.93</v>
      </c>
      <c r="U36" t="s">
        <v>783</v>
      </c>
    </row>
    <row r="37" spans="1:21" x14ac:dyDescent="0.2">
      <c r="A37" t="s">
        <v>599</v>
      </c>
      <c r="H37">
        <v>7</v>
      </c>
      <c r="R37">
        <f>Receipts!F105</f>
        <v>0.31</v>
      </c>
      <c r="U37" t="s">
        <v>782</v>
      </c>
    </row>
    <row r="38" spans="1:21" x14ac:dyDescent="0.2">
      <c r="A38" t="s">
        <v>600</v>
      </c>
    </row>
    <row r="39" spans="1:21" s="68" customFormat="1" ht="16" x14ac:dyDescent="0.2">
      <c r="A39" s="47" t="s">
        <v>690</v>
      </c>
      <c r="R39" s="68">
        <f>SUM(R35:R38)</f>
        <v>0.31</v>
      </c>
      <c r="T39" s="68">
        <f>SUM(T35:T36)+R37</f>
        <v>18.48</v>
      </c>
    </row>
    <row r="42" spans="1:21" ht="17" x14ac:dyDescent="0.2">
      <c r="A42" s="46" t="s">
        <v>601</v>
      </c>
    </row>
    <row r="43" spans="1:21" x14ac:dyDescent="0.2">
      <c r="A43" t="s">
        <v>602</v>
      </c>
    </row>
    <row r="44" spans="1:21" x14ac:dyDescent="0.2">
      <c r="A44" t="s">
        <v>777</v>
      </c>
      <c r="C44">
        <v>1</v>
      </c>
      <c r="H44">
        <v>1</v>
      </c>
      <c r="O44">
        <f>R44/H44</f>
        <v>0.04</v>
      </c>
      <c r="R44">
        <f>Receipts!F98</f>
        <v>0.04</v>
      </c>
      <c r="T44">
        <f>O44*C44</f>
        <v>0.04</v>
      </c>
    </row>
    <row r="45" spans="1:21" x14ac:dyDescent="0.2">
      <c r="A45" t="s">
        <v>778</v>
      </c>
      <c r="C45">
        <v>1</v>
      </c>
      <c r="H45">
        <v>1</v>
      </c>
      <c r="O45">
        <f t="shared" ref="O45:O62" si="2">R45/H45</f>
        <v>0.01</v>
      </c>
      <c r="R45">
        <f>Receipts!F99</f>
        <v>0.01</v>
      </c>
      <c r="T45">
        <f t="shared" ref="T45:T62" si="3">O45*C45</f>
        <v>0.01</v>
      </c>
    </row>
    <row r="46" spans="1:21" x14ac:dyDescent="0.2">
      <c r="A46" t="s">
        <v>691</v>
      </c>
      <c r="T46">
        <f t="shared" si="3"/>
        <v>0</v>
      </c>
    </row>
    <row r="47" spans="1:21" x14ac:dyDescent="0.2">
      <c r="A47" t="s">
        <v>692</v>
      </c>
      <c r="T47">
        <f t="shared" si="3"/>
        <v>0</v>
      </c>
    </row>
    <row r="48" spans="1:21" x14ac:dyDescent="0.2">
      <c r="A48" t="s">
        <v>693</v>
      </c>
      <c r="C48">
        <v>3</v>
      </c>
      <c r="H48">
        <v>3</v>
      </c>
      <c r="O48">
        <f t="shared" si="2"/>
        <v>3.3333333333333335E-3</v>
      </c>
      <c r="R48">
        <f>Receipts!F100</f>
        <v>0.01</v>
      </c>
      <c r="T48">
        <f t="shared" si="3"/>
        <v>0.01</v>
      </c>
      <c r="U48" t="s">
        <v>781</v>
      </c>
    </row>
    <row r="49" spans="1:20" x14ac:dyDescent="0.2">
      <c r="A49" s="48" t="s">
        <v>694</v>
      </c>
      <c r="T49">
        <f t="shared" si="3"/>
        <v>0</v>
      </c>
    </row>
    <row r="50" spans="1:20" x14ac:dyDescent="0.2">
      <c r="A50" t="s">
        <v>779</v>
      </c>
      <c r="T50">
        <f t="shared" si="3"/>
        <v>0</v>
      </c>
    </row>
    <row r="51" spans="1:20" x14ac:dyDescent="0.2">
      <c r="A51" s="49" t="s">
        <v>695</v>
      </c>
      <c r="C51">
        <v>24</v>
      </c>
      <c r="H51">
        <v>24</v>
      </c>
      <c r="O51">
        <f t="shared" si="2"/>
        <v>0</v>
      </c>
      <c r="T51">
        <f t="shared" si="3"/>
        <v>0</v>
      </c>
    </row>
    <row r="52" spans="1:20" x14ac:dyDescent="0.2">
      <c r="A52" s="49" t="s">
        <v>696</v>
      </c>
      <c r="C52">
        <v>1</v>
      </c>
      <c r="H52">
        <v>1</v>
      </c>
      <c r="O52">
        <f t="shared" si="2"/>
        <v>0</v>
      </c>
      <c r="T52">
        <f t="shared" si="3"/>
        <v>0</v>
      </c>
    </row>
    <row r="53" spans="1:20" x14ac:dyDescent="0.2">
      <c r="A53" s="49" t="s">
        <v>697</v>
      </c>
      <c r="C53">
        <v>32</v>
      </c>
      <c r="H53">
        <v>32</v>
      </c>
      <c r="O53">
        <f t="shared" si="2"/>
        <v>0</v>
      </c>
      <c r="T53">
        <f t="shared" si="3"/>
        <v>0</v>
      </c>
    </row>
    <row r="54" spans="1:20" x14ac:dyDescent="0.2">
      <c r="A54" s="49" t="s">
        <v>698</v>
      </c>
      <c r="T54">
        <f t="shared" si="3"/>
        <v>0</v>
      </c>
    </row>
    <row r="55" spans="1:20" x14ac:dyDescent="0.2">
      <c r="A55" s="50" t="s">
        <v>779</v>
      </c>
      <c r="C55">
        <f>SUM(C51:C54)</f>
        <v>57</v>
      </c>
      <c r="H55">
        <f>SUM(H51:H54)</f>
        <v>57</v>
      </c>
      <c r="O55">
        <f t="shared" si="2"/>
        <v>4.9122807017543861E-3</v>
      </c>
      <c r="R55">
        <f>Receipts!F103</f>
        <v>0.28000000000000003</v>
      </c>
      <c r="T55">
        <f t="shared" si="3"/>
        <v>0.28000000000000003</v>
      </c>
    </row>
    <row r="56" spans="1:20" x14ac:dyDescent="0.2">
      <c r="A56" s="51" t="s">
        <v>699</v>
      </c>
      <c r="T56">
        <f t="shared" si="3"/>
        <v>0</v>
      </c>
    </row>
    <row r="57" spans="1:20" x14ac:dyDescent="0.2">
      <c r="A57" s="49" t="s">
        <v>695</v>
      </c>
      <c r="C57">
        <v>12</v>
      </c>
      <c r="H57">
        <v>12</v>
      </c>
      <c r="O57">
        <f t="shared" si="2"/>
        <v>0</v>
      </c>
      <c r="T57">
        <f t="shared" si="3"/>
        <v>0</v>
      </c>
    </row>
    <row r="58" spans="1:20" x14ac:dyDescent="0.2">
      <c r="A58" s="49" t="s">
        <v>696</v>
      </c>
      <c r="T58">
        <f t="shared" si="3"/>
        <v>0</v>
      </c>
    </row>
    <row r="59" spans="1:20" x14ac:dyDescent="0.2">
      <c r="A59" s="49" t="s">
        <v>697</v>
      </c>
      <c r="C59">
        <v>7</v>
      </c>
      <c r="H59">
        <v>7</v>
      </c>
      <c r="O59">
        <f t="shared" si="2"/>
        <v>0</v>
      </c>
      <c r="T59">
        <f t="shared" si="3"/>
        <v>0</v>
      </c>
    </row>
    <row r="60" spans="1:20" x14ac:dyDescent="0.2">
      <c r="A60" s="49" t="s">
        <v>698</v>
      </c>
      <c r="C60">
        <v>14</v>
      </c>
      <c r="H60">
        <v>14</v>
      </c>
      <c r="O60">
        <f t="shared" si="2"/>
        <v>0</v>
      </c>
      <c r="T60">
        <f t="shared" si="3"/>
        <v>0</v>
      </c>
    </row>
    <row r="61" spans="1:20" x14ac:dyDescent="0.2">
      <c r="A61" s="50" t="s">
        <v>618</v>
      </c>
      <c r="C61">
        <f>SUM(C57:C60)</f>
        <v>33</v>
      </c>
      <c r="H61">
        <f>SUM(H57:H60)</f>
        <v>33</v>
      </c>
      <c r="O61">
        <f t="shared" si="2"/>
        <v>2.4242424242424242E-3</v>
      </c>
      <c r="R61">
        <f>Receipts!F102</f>
        <v>0.08</v>
      </c>
      <c r="T61">
        <f t="shared" si="3"/>
        <v>0.08</v>
      </c>
    </row>
    <row r="62" spans="1:20" x14ac:dyDescent="0.2">
      <c r="A62" t="s">
        <v>478</v>
      </c>
      <c r="C62">
        <v>57</v>
      </c>
      <c r="H62">
        <v>57</v>
      </c>
      <c r="O62">
        <f t="shared" si="2"/>
        <v>4.9122807017543861E-3</v>
      </c>
      <c r="R62">
        <f>Receipts!F103</f>
        <v>0.28000000000000003</v>
      </c>
      <c r="T62">
        <f t="shared" si="3"/>
        <v>0.28000000000000003</v>
      </c>
    </row>
    <row r="63" spans="1:20" x14ac:dyDescent="0.2">
      <c r="A63" t="s">
        <v>619</v>
      </c>
      <c r="C63">
        <v>19</v>
      </c>
      <c r="H63">
        <v>19</v>
      </c>
    </row>
    <row r="64" spans="1:20" x14ac:dyDescent="0.2">
      <c r="A64" t="s">
        <v>620</v>
      </c>
    </row>
    <row r="65" spans="1:20" s="68" customFormat="1" x14ac:dyDescent="0.2">
      <c r="A65" s="68" t="s">
        <v>700</v>
      </c>
      <c r="R65" s="68">
        <f>SUM(R41:R63)</f>
        <v>0.70000000000000007</v>
      </c>
      <c r="T65" s="68">
        <f>SUM(T44:T62)</f>
        <v>0.70000000000000007</v>
      </c>
    </row>
    <row r="68" spans="1:20" ht="17" x14ac:dyDescent="0.2">
      <c r="A68" s="46" t="s">
        <v>476</v>
      </c>
    </row>
    <row r="69" spans="1:20" ht="16" x14ac:dyDescent="0.2">
      <c r="A69" s="45" t="s">
        <v>621</v>
      </c>
    </row>
    <row r="70" spans="1:20" x14ac:dyDescent="0.2">
      <c r="A70" t="s">
        <v>622</v>
      </c>
    </row>
    <row r="71" spans="1:20" x14ac:dyDescent="0.2">
      <c r="A71" t="s">
        <v>623</v>
      </c>
    </row>
    <row r="72" spans="1:20" x14ac:dyDescent="0.2">
      <c r="A72" t="s">
        <v>624</v>
      </c>
    </row>
    <row r="73" spans="1:20" x14ac:dyDescent="0.2">
      <c r="A73" s="52" t="s">
        <v>701</v>
      </c>
    </row>
    <row r="74" spans="1:20" x14ac:dyDescent="0.2">
      <c r="A74" s="53" t="s">
        <v>702</v>
      </c>
    </row>
    <row r="76" spans="1:20" ht="16" x14ac:dyDescent="0.2">
      <c r="A76" s="10" t="s">
        <v>625</v>
      </c>
    </row>
    <row r="77" spans="1:20" x14ac:dyDescent="0.2">
      <c r="A77" t="s">
        <v>626</v>
      </c>
    </row>
    <row r="78" spans="1:20" x14ac:dyDescent="0.2">
      <c r="A78" t="s">
        <v>627</v>
      </c>
      <c r="F78">
        <v>51</v>
      </c>
      <c r="G78">
        <v>16</v>
      </c>
      <c r="H78">
        <v>38</v>
      </c>
      <c r="O78">
        <f>R78/H78</f>
        <v>4.2105263157894736E-3</v>
      </c>
      <c r="R78">
        <f>Receipts!F109</f>
        <v>0.16</v>
      </c>
      <c r="T78">
        <f>O78*H78</f>
        <v>0.16</v>
      </c>
    </row>
    <row r="79" spans="1:20" x14ac:dyDescent="0.2">
      <c r="A79" t="s">
        <v>628</v>
      </c>
    </row>
    <row r="80" spans="1:20" s="68" customFormat="1" x14ac:dyDescent="0.2">
      <c r="A80" s="68" t="s">
        <v>444</v>
      </c>
      <c r="R80" s="68">
        <f>SUM(R76:R78)</f>
        <v>0.16</v>
      </c>
      <c r="T80" s="68">
        <f>T78</f>
        <v>0.16</v>
      </c>
    </row>
    <row r="83" spans="1:20" ht="16" x14ac:dyDescent="0.2">
      <c r="A83" s="10" t="s">
        <v>703</v>
      </c>
    </row>
    <row r="84" spans="1:20" x14ac:dyDescent="0.2">
      <c r="A84" t="s">
        <v>704</v>
      </c>
    </row>
    <row r="85" spans="1:20" x14ac:dyDescent="0.2">
      <c r="A85" t="s">
        <v>705</v>
      </c>
    </row>
    <row r="86" spans="1:20" x14ac:dyDescent="0.2">
      <c r="A86" t="s">
        <v>706</v>
      </c>
    </row>
    <row r="87" spans="1:20" s="68" customFormat="1" ht="16" x14ac:dyDescent="0.2">
      <c r="A87" s="47" t="s">
        <v>700</v>
      </c>
    </row>
    <row r="89" spans="1:20" ht="16" x14ac:dyDescent="0.2">
      <c r="A89" s="10" t="s">
        <v>474</v>
      </c>
    </row>
    <row r="90" spans="1:20" x14ac:dyDescent="0.2">
      <c r="A90" t="s">
        <v>707</v>
      </c>
      <c r="C90">
        <v>30</v>
      </c>
      <c r="H90">
        <v>30</v>
      </c>
      <c r="O90">
        <f>R90/H90</f>
        <v>8.3333333333333332E-3</v>
      </c>
      <c r="R90">
        <f>Receipts!F106</f>
        <v>0.25</v>
      </c>
      <c r="T90">
        <f>O90*C90</f>
        <v>0.25</v>
      </c>
    </row>
    <row r="91" spans="1:20" x14ac:dyDescent="0.2">
      <c r="A91" t="s">
        <v>708</v>
      </c>
      <c r="C91">
        <v>167</v>
      </c>
      <c r="H91">
        <v>150</v>
      </c>
      <c r="O91">
        <f>R91/H91</f>
        <v>2.2666666666666665E-2</v>
      </c>
      <c r="R91">
        <f>Receipts!F107</f>
        <v>3.4</v>
      </c>
      <c r="T91">
        <f>O91*C91</f>
        <v>3.785333333333333</v>
      </c>
    </row>
    <row r="92" spans="1:20" s="68" customFormat="1" ht="16" x14ac:dyDescent="0.2">
      <c r="A92" s="47" t="s">
        <v>444</v>
      </c>
      <c r="R92" s="68">
        <f>SUM(R90:R91)</f>
        <v>3.65</v>
      </c>
      <c r="T92" s="68">
        <f>SUM(T90:T91)</f>
        <v>4.035333333333333</v>
      </c>
    </row>
    <row r="94" spans="1:20" ht="16" x14ac:dyDescent="0.2">
      <c r="A94" s="10" t="s">
        <v>475</v>
      </c>
    </row>
    <row r="95" spans="1:20" x14ac:dyDescent="0.2">
      <c r="A95" t="s">
        <v>475</v>
      </c>
      <c r="C95" t="s">
        <v>776</v>
      </c>
      <c r="H95" t="s">
        <v>776</v>
      </c>
      <c r="R95">
        <f>Receipts!F108</f>
        <v>0.39</v>
      </c>
      <c r="T95">
        <f>R95</f>
        <v>0.39</v>
      </c>
    </row>
    <row r="96" spans="1:20" s="68" customFormat="1" ht="16" x14ac:dyDescent="0.2">
      <c r="A96" s="47" t="s">
        <v>444</v>
      </c>
      <c r="R96" s="68">
        <f>SUM(R95)</f>
        <v>0.39</v>
      </c>
      <c r="T96" s="68">
        <f>T95</f>
        <v>0.39</v>
      </c>
    </row>
    <row r="97" spans="1:1" ht="16" x14ac:dyDescent="0.2">
      <c r="A97" s="32"/>
    </row>
    <row r="98" spans="1:1" ht="16" x14ac:dyDescent="0.2">
      <c r="A98" s="54" t="s">
        <v>709</v>
      </c>
    </row>
    <row r="101" spans="1:1" ht="16" x14ac:dyDescent="0.2">
      <c r="A101" s="10" t="s">
        <v>480</v>
      </c>
    </row>
    <row r="104" spans="1:1" ht="16" x14ac:dyDescent="0.2">
      <c r="A104" s="32" t="s">
        <v>710</v>
      </c>
    </row>
    <row r="105" spans="1:1" ht="16" x14ac:dyDescent="0.2">
      <c r="A105" s="10" t="s">
        <v>479</v>
      </c>
    </row>
    <row r="106" spans="1:1" x14ac:dyDescent="0.2">
      <c r="A106" t="s">
        <v>711</v>
      </c>
    </row>
    <row r="107" spans="1:1" x14ac:dyDescent="0.2">
      <c r="A107" t="s">
        <v>712</v>
      </c>
    </row>
    <row r="108" spans="1:1" x14ac:dyDescent="0.2">
      <c r="A108" t="s">
        <v>713</v>
      </c>
    </row>
    <row r="109" spans="1:1" x14ac:dyDescent="0.2">
      <c r="A109" t="s">
        <v>714</v>
      </c>
    </row>
    <row r="110" spans="1:1" x14ac:dyDescent="0.2">
      <c r="A110" t="s">
        <v>715</v>
      </c>
    </row>
    <row r="111" spans="1:1" x14ac:dyDescent="0.2">
      <c r="A111" t="s">
        <v>716</v>
      </c>
    </row>
    <row r="112" spans="1:1" x14ac:dyDescent="0.2">
      <c r="A112" t="s">
        <v>717</v>
      </c>
    </row>
    <row r="113" spans="1:1" x14ac:dyDescent="0.2">
      <c r="A113" t="s">
        <v>718</v>
      </c>
    </row>
    <row r="114" spans="1:1" x14ac:dyDescent="0.2">
      <c r="A114" t="s">
        <v>719</v>
      </c>
    </row>
    <row r="115" spans="1:1" x14ac:dyDescent="0.2">
      <c r="A115" t="s">
        <v>720</v>
      </c>
    </row>
    <row r="116" spans="1:1" x14ac:dyDescent="0.2">
      <c r="A116" t="s">
        <v>721</v>
      </c>
    </row>
    <row r="117" spans="1:1" x14ac:dyDescent="0.2">
      <c r="A117" t="s">
        <v>722</v>
      </c>
    </row>
    <row r="118" spans="1:1" x14ac:dyDescent="0.2">
      <c r="A118" t="s">
        <v>723</v>
      </c>
    </row>
    <row r="119" spans="1:1" x14ac:dyDescent="0.2">
      <c r="A119" t="s">
        <v>724</v>
      </c>
    </row>
    <row r="120" spans="1:1" x14ac:dyDescent="0.2">
      <c r="A120" t="s">
        <v>725</v>
      </c>
    </row>
    <row r="121" spans="1:1" x14ac:dyDescent="0.2">
      <c r="A121" t="s">
        <v>726</v>
      </c>
    </row>
    <row r="122" spans="1:1" x14ac:dyDescent="0.2">
      <c r="A122" t="s">
        <v>727</v>
      </c>
    </row>
    <row r="123" spans="1:1" x14ac:dyDescent="0.2">
      <c r="A123" t="s">
        <v>728</v>
      </c>
    </row>
    <row r="124" spans="1:1" x14ac:dyDescent="0.2">
      <c r="A124" t="s">
        <v>729</v>
      </c>
    </row>
    <row r="125" spans="1:1" x14ac:dyDescent="0.2">
      <c r="A125" t="s">
        <v>730</v>
      </c>
    </row>
    <row r="126" spans="1:1" x14ac:dyDescent="0.2">
      <c r="A126" t="s">
        <v>731</v>
      </c>
    </row>
    <row r="127" spans="1:1" x14ac:dyDescent="0.2">
      <c r="A127" t="s">
        <v>732</v>
      </c>
    </row>
    <row r="128" spans="1:1" x14ac:dyDescent="0.2">
      <c r="A128" t="s">
        <v>733</v>
      </c>
    </row>
    <row r="129" spans="1:1" x14ac:dyDescent="0.2">
      <c r="A129" t="s">
        <v>734</v>
      </c>
    </row>
    <row r="130" spans="1:1" x14ac:dyDescent="0.2">
      <c r="A130" t="s">
        <v>735</v>
      </c>
    </row>
  </sheetData>
  <mergeCells count="2">
    <mergeCell ref="C3:F3"/>
    <mergeCell ref="G3:J3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82"/>
  <sheetViews>
    <sheetView topLeftCell="A174" workbookViewId="0">
      <selection activeCell="A127" sqref="A127"/>
    </sheetView>
  </sheetViews>
  <sheetFormatPr baseColWidth="10" defaultColWidth="8.83203125" defaultRowHeight="15" x14ac:dyDescent="0.2"/>
  <cols>
    <col min="1" max="1" width="33.83203125" bestFit="1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t="s">
        <v>34</v>
      </c>
      <c r="B2" t="s">
        <v>35</v>
      </c>
      <c r="C2">
        <v>68.63</v>
      </c>
      <c r="D2">
        <v>68</v>
      </c>
      <c r="E2">
        <v>12</v>
      </c>
      <c r="F2">
        <v>7.25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34" x14ac:dyDescent="0.2">
      <c r="A3" t="s">
        <v>34</v>
      </c>
      <c r="B3" t="s">
        <v>36</v>
      </c>
      <c r="C3">
        <v>0</v>
      </c>
      <c r="D3">
        <v>0</v>
      </c>
      <c r="E3">
        <v>0</v>
      </c>
      <c r="F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34" x14ac:dyDescent="0.2">
      <c r="A4" t="s">
        <v>34</v>
      </c>
      <c r="B4" t="s">
        <v>37</v>
      </c>
      <c r="C4">
        <v>0</v>
      </c>
      <c r="D4">
        <v>0</v>
      </c>
      <c r="E4">
        <v>0</v>
      </c>
      <c r="F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34" x14ac:dyDescent="0.2">
      <c r="A5" t="s">
        <v>38</v>
      </c>
      <c r="B5" t="s">
        <v>39</v>
      </c>
      <c r="C5">
        <v>6.7</v>
      </c>
      <c r="D5">
        <v>6</v>
      </c>
      <c r="E5">
        <v>13</v>
      </c>
      <c r="F5">
        <v>11.25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34" x14ac:dyDescent="0.2">
      <c r="A6" t="s">
        <v>38</v>
      </c>
      <c r="B6" t="s">
        <v>40</v>
      </c>
      <c r="C6">
        <v>7.45</v>
      </c>
      <c r="D6">
        <v>7</v>
      </c>
      <c r="E6">
        <v>9</v>
      </c>
      <c r="F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34" x14ac:dyDescent="0.2">
      <c r="A7" t="s">
        <v>38</v>
      </c>
      <c r="B7" t="s">
        <v>41</v>
      </c>
      <c r="C7">
        <v>6.7</v>
      </c>
      <c r="D7">
        <v>6</v>
      </c>
      <c r="E7">
        <v>13</v>
      </c>
      <c r="F7">
        <v>11.25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34" x14ac:dyDescent="0.2">
      <c r="A8" t="s">
        <v>38</v>
      </c>
      <c r="B8" t="s">
        <v>42</v>
      </c>
      <c r="C8">
        <v>11.96</v>
      </c>
      <c r="D8">
        <v>11</v>
      </c>
      <c r="E8">
        <v>10</v>
      </c>
      <c r="F8">
        <v>110.75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34" x14ac:dyDescent="0.2">
      <c r="A9" t="s">
        <v>38</v>
      </c>
      <c r="B9" t="s">
        <v>43</v>
      </c>
      <c r="C9">
        <v>32.39</v>
      </c>
      <c r="D9">
        <v>32</v>
      </c>
      <c r="E9">
        <v>7</v>
      </c>
      <c r="F9">
        <v>10.25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34" x14ac:dyDescent="0.2">
      <c r="A10" t="s">
        <v>44</v>
      </c>
      <c r="B10" t="s">
        <v>45</v>
      </c>
      <c r="C10">
        <v>0</v>
      </c>
      <c r="D10">
        <v>0</v>
      </c>
      <c r="E10">
        <v>0</v>
      </c>
      <c r="F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34" x14ac:dyDescent="0.2">
      <c r="A11" t="s">
        <v>44</v>
      </c>
      <c r="B11" t="s">
        <v>46</v>
      </c>
      <c r="C11">
        <v>32.4</v>
      </c>
      <c r="D11">
        <v>32</v>
      </c>
      <c r="E11">
        <v>7</v>
      </c>
      <c r="F11">
        <v>11.25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34" x14ac:dyDescent="0.2">
      <c r="A12" t="s">
        <v>47</v>
      </c>
      <c r="B12" t="s">
        <v>48</v>
      </c>
      <c r="C12">
        <v>0.12</v>
      </c>
      <c r="D12">
        <v>0</v>
      </c>
      <c r="E12">
        <v>2</v>
      </c>
      <c r="F12">
        <v>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34" x14ac:dyDescent="0.2">
      <c r="A13" t="s">
        <v>47</v>
      </c>
      <c r="B13" t="s">
        <v>49</v>
      </c>
      <c r="C13">
        <v>0.12</v>
      </c>
      <c r="D13">
        <v>0</v>
      </c>
      <c r="E13">
        <v>2</v>
      </c>
      <c r="F13">
        <v>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34" x14ac:dyDescent="0.2">
      <c r="A14" t="s">
        <v>47</v>
      </c>
      <c r="B14" t="s">
        <v>50</v>
      </c>
      <c r="C14">
        <v>0.25</v>
      </c>
      <c r="D14">
        <v>0</v>
      </c>
      <c r="E14">
        <v>5</v>
      </c>
      <c r="F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34" x14ac:dyDescent="0.2">
      <c r="A15" t="s">
        <v>47</v>
      </c>
      <c r="B15" t="s">
        <v>51</v>
      </c>
      <c r="C15">
        <v>0.25</v>
      </c>
      <c r="D15">
        <v>0</v>
      </c>
      <c r="E15">
        <v>5</v>
      </c>
      <c r="F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34" x14ac:dyDescent="0.2">
      <c r="A16" t="s">
        <v>47</v>
      </c>
      <c r="B16" t="s">
        <v>52</v>
      </c>
      <c r="C16">
        <v>0.08</v>
      </c>
      <c r="D16">
        <v>0</v>
      </c>
      <c r="E16">
        <v>1</v>
      </c>
      <c r="F16">
        <v>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47</v>
      </c>
      <c r="B17" t="s">
        <v>53</v>
      </c>
      <c r="C17">
        <v>0.08</v>
      </c>
      <c r="D17">
        <v>0</v>
      </c>
      <c r="E17">
        <v>1</v>
      </c>
      <c r="F17">
        <v>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54</v>
      </c>
      <c r="B18" t="s">
        <v>55</v>
      </c>
      <c r="C18">
        <v>0.08</v>
      </c>
      <c r="D18">
        <v>0</v>
      </c>
      <c r="E18">
        <v>1</v>
      </c>
      <c r="F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54</v>
      </c>
      <c r="B19" t="s">
        <v>56</v>
      </c>
      <c r="C19">
        <v>0.03</v>
      </c>
      <c r="D19">
        <v>0</v>
      </c>
      <c r="E19">
        <v>0</v>
      </c>
      <c r="F19">
        <v>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54</v>
      </c>
      <c r="B20" t="s">
        <v>57</v>
      </c>
      <c r="C20">
        <v>0.03</v>
      </c>
      <c r="D20">
        <v>0</v>
      </c>
      <c r="E20">
        <v>0</v>
      </c>
      <c r="F20">
        <v>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54</v>
      </c>
      <c r="B21" t="s">
        <v>58</v>
      </c>
      <c r="C21">
        <v>0.33</v>
      </c>
      <c r="D21">
        <v>0</v>
      </c>
      <c r="E21">
        <v>6</v>
      </c>
      <c r="F21">
        <v>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59</v>
      </c>
      <c r="B22" t="s">
        <v>60</v>
      </c>
      <c r="C22">
        <v>1.34</v>
      </c>
      <c r="D22">
        <v>1</v>
      </c>
      <c r="E22">
        <v>6</v>
      </c>
      <c r="F22">
        <v>10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61</v>
      </c>
      <c r="B23" t="s">
        <v>62</v>
      </c>
      <c r="C23">
        <v>31.06</v>
      </c>
      <c r="D23">
        <v>31</v>
      </c>
      <c r="E23">
        <v>1</v>
      </c>
      <c r="F23">
        <v>1.25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63</v>
      </c>
      <c r="B24" t="s">
        <v>64</v>
      </c>
      <c r="C24">
        <v>0.01</v>
      </c>
      <c r="D24">
        <v>0</v>
      </c>
      <c r="E24">
        <v>0</v>
      </c>
      <c r="F24">
        <v>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63</v>
      </c>
      <c r="B25" t="s">
        <v>65</v>
      </c>
      <c r="C25">
        <v>0.01</v>
      </c>
      <c r="D25">
        <v>0</v>
      </c>
      <c r="E25">
        <v>0</v>
      </c>
      <c r="F25">
        <v>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63</v>
      </c>
      <c r="B26" t="s">
        <v>66</v>
      </c>
      <c r="C26">
        <v>0.01</v>
      </c>
      <c r="D26">
        <v>0</v>
      </c>
      <c r="E26">
        <v>0</v>
      </c>
      <c r="F26">
        <v>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63</v>
      </c>
      <c r="B27" t="s">
        <v>67</v>
      </c>
      <c r="C27">
        <v>0.01</v>
      </c>
      <c r="D27">
        <v>0</v>
      </c>
      <c r="E27">
        <v>0</v>
      </c>
      <c r="F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63</v>
      </c>
      <c r="B28" t="s">
        <v>68</v>
      </c>
      <c r="C28">
        <v>0.02</v>
      </c>
      <c r="D28">
        <v>0</v>
      </c>
      <c r="E28">
        <v>0</v>
      </c>
      <c r="F28">
        <v>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63</v>
      </c>
      <c r="B29" t="s">
        <v>69</v>
      </c>
      <c r="C29">
        <v>0.01</v>
      </c>
      <c r="D29">
        <v>0</v>
      </c>
      <c r="E29">
        <v>0</v>
      </c>
      <c r="F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63</v>
      </c>
      <c r="B30" t="s">
        <v>70</v>
      </c>
      <c r="C30">
        <v>0.01</v>
      </c>
      <c r="D30">
        <v>0</v>
      </c>
      <c r="E30">
        <v>0</v>
      </c>
      <c r="F30">
        <v>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63</v>
      </c>
      <c r="B31" t="s">
        <v>71</v>
      </c>
      <c r="C31">
        <v>0.03</v>
      </c>
      <c r="D31">
        <v>0</v>
      </c>
      <c r="E31">
        <v>0</v>
      </c>
      <c r="F31">
        <v>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63</v>
      </c>
      <c r="B32" t="s">
        <v>72</v>
      </c>
      <c r="C32">
        <v>0.01</v>
      </c>
      <c r="D32">
        <v>0</v>
      </c>
      <c r="E32">
        <v>0</v>
      </c>
      <c r="F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t="s">
        <v>63</v>
      </c>
      <c r="B33" t="s">
        <v>73</v>
      </c>
      <c r="C33">
        <v>0.03</v>
      </c>
      <c r="D33">
        <v>0</v>
      </c>
      <c r="E33">
        <v>0</v>
      </c>
      <c r="F33">
        <v>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63</v>
      </c>
      <c r="B34" t="s">
        <v>74</v>
      </c>
      <c r="C34">
        <v>0.01</v>
      </c>
      <c r="D34">
        <v>0</v>
      </c>
      <c r="E34">
        <v>0</v>
      </c>
      <c r="F34">
        <v>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t="s">
        <v>63</v>
      </c>
      <c r="B35" t="s">
        <v>75</v>
      </c>
      <c r="C35">
        <v>0.17</v>
      </c>
      <c r="D35">
        <v>0</v>
      </c>
      <c r="E35">
        <v>3</v>
      </c>
      <c r="F35">
        <v>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t="s">
        <v>76</v>
      </c>
      <c r="B36" t="s">
        <v>77</v>
      </c>
      <c r="C36">
        <v>0</v>
      </c>
      <c r="D36">
        <v>0</v>
      </c>
      <c r="E36">
        <v>0</v>
      </c>
      <c r="F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76</v>
      </c>
      <c r="B37" t="s">
        <v>78</v>
      </c>
      <c r="C37">
        <v>0</v>
      </c>
      <c r="D37">
        <v>0</v>
      </c>
      <c r="E37">
        <v>0</v>
      </c>
      <c r="F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79</v>
      </c>
      <c r="B38" t="s">
        <v>80</v>
      </c>
      <c r="C38">
        <v>0</v>
      </c>
      <c r="D38">
        <v>0</v>
      </c>
      <c r="E38">
        <v>0</v>
      </c>
      <c r="F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79</v>
      </c>
      <c r="B39" t="s">
        <v>81</v>
      </c>
      <c r="C39">
        <v>0</v>
      </c>
      <c r="D39">
        <v>0</v>
      </c>
      <c r="E39">
        <v>0</v>
      </c>
      <c r="F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79</v>
      </c>
      <c r="B40" t="s">
        <v>82</v>
      </c>
      <c r="C40">
        <v>0</v>
      </c>
      <c r="D40">
        <v>0</v>
      </c>
      <c r="E40">
        <v>0</v>
      </c>
      <c r="F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79</v>
      </c>
      <c r="B41" t="s">
        <v>83</v>
      </c>
      <c r="C41">
        <v>0</v>
      </c>
      <c r="D41">
        <v>0</v>
      </c>
      <c r="E41">
        <v>0</v>
      </c>
      <c r="F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79</v>
      </c>
      <c r="B42" t="s">
        <v>84</v>
      </c>
      <c r="C42">
        <v>0</v>
      </c>
      <c r="D42">
        <v>0</v>
      </c>
      <c r="E42">
        <v>0</v>
      </c>
      <c r="F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85</v>
      </c>
      <c r="B43" t="s">
        <v>86</v>
      </c>
      <c r="C43">
        <v>0</v>
      </c>
      <c r="D43">
        <v>0</v>
      </c>
      <c r="E43">
        <v>0</v>
      </c>
      <c r="F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85</v>
      </c>
      <c r="B44" t="s">
        <v>78</v>
      </c>
      <c r="C44">
        <v>0</v>
      </c>
      <c r="D44">
        <v>0</v>
      </c>
      <c r="E44">
        <v>0</v>
      </c>
      <c r="F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87</v>
      </c>
      <c r="B45" t="s">
        <v>88</v>
      </c>
      <c r="C45">
        <v>1.92</v>
      </c>
      <c r="D45">
        <v>1</v>
      </c>
      <c r="E45">
        <v>18</v>
      </c>
      <c r="F45">
        <v>4.5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87</v>
      </c>
      <c r="B46" t="s">
        <v>89</v>
      </c>
      <c r="C46">
        <v>1.05</v>
      </c>
      <c r="D46">
        <v>1</v>
      </c>
      <c r="E46">
        <v>1</v>
      </c>
      <c r="F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87</v>
      </c>
      <c r="B47" t="s">
        <v>90</v>
      </c>
      <c r="C47">
        <v>1.42</v>
      </c>
      <c r="D47">
        <v>1</v>
      </c>
      <c r="E47">
        <v>8</v>
      </c>
      <c r="F47">
        <v>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87</v>
      </c>
      <c r="B48" t="s">
        <v>91</v>
      </c>
      <c r="C48">
        <v>0</v>
      </c>
      <c r="D48">
        <v>0</v>
      </c>
      <c r="E48">
        <v>0</v>
      </c>
      <c r="F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87</v>
      </c>
      <c r="B49" t="s">
        <v>92</v>
      </c>
      <c r="C49">
        <v>0.12</v>
      </c>
      <c r="D49">
        <v>0</v>
      </c>
      <c r="E49">
        <v>2</v>
      </c>
      <c r="F49">
        <v>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87</v>
      </c>
      <c r="B50" t="s">
        <v>93</v>
      </c>
      <c r="C50">
        <v>0.08</v>
      </c>
      <c r="D50">
        <v>0</v>
      </c>
      <c r="E50">
        <v>1</v>
      </c>
      <c r="F50">
        <v>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87</v>
      </c>
      <c r="B51" t="s">
        <v>94</v>
      </c>
      <c r="C51">
        <v>0.03</v>
      </c>
      <c r="D51">
        <v>0</v>
      </c>
      <c r="E51">
        <v>0</v>
      </c>
      <c r="F51">
        <v>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87</v>
      </c>
      <c r="B52" t="s">
        <v>95</v>
      </c>
      <c r="C52">
        <v>0.1</v>
      </c>
      <c r="D52">
        <v>0</v>
      </c>
      <c r="E52">
        <v>2</v>
      </c>
      <c r="F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 t="s">
        <v>87</v>
      </c>
      <c r="B53" t="s">
        <v>96</v>
      </c>
      <c r="C53">
        <v>0</v>
      </c>
      <c r="D53">
        <v>0</v>
      </c>
      <c r="E53">
        <v>0</v>
      </c>
      <c r="F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87</v>
      </c>
      <c r="B54" t="s">
        <v>97</v>
      </c>
      <c r="C54">
        <v>0.15</v>
      </c>
      <c r="D54">
        <v>0</v>
      </c>
      <c r="E54">
        <v>3</v>
      </c>
      <c r="F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">
      <c r="A55" t="s">
        <v>87</v>
      </c>
      <c r="B55" t="s">
        <v>98</v>
      </c>
      <c r="C55">
        <v>0.16</v>
      </c>
      <c r="D55">
        <v>0</v>
      </c>
      <c r="E55">
        <v>3</v>
      </c>
      <c r="F55">
        <v>3.5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">
      <c r="A56" t="s">
        <v>87</v>
      </c>
      <c r="B56" t="s">
        <v>99</v>
      </c>
      <c r="C56">
        <v>0.15</v>
      </c>
      <c r="D56">
        <v>0</v>
      </c>
      <c r="E56">
        <v>3</v>
      </c>
      <c r="F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">
      <c r="A57" t="s">
        <v>87</v>
      </c>
      <c r="B57" t="s">
        <v>100</v>
      </c>
      <c r="C57">
        <v>0.24</v>
      </c>
      <c r="D57">
        <v>0</v>
      </c>
      <c r="E57">
        <v>4</v>
      </c>
      <c r="F57">
        <v>9.5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">
      <c r="A58" t="s">
        <v>87</v>
      </c>
      <c r="B58" t="s">
        <v>101</v>
      </c>
      <c r="C58">
        <v>0.33</v>
      </c>
      <c r="D58">
        <v>0</v>
      </c>
      <c r="E58">
        <v>6</v>
      </c>
      <c r="F58">
        <v>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">
      <c r="A59" t="s">
        <v>87</v>
      </c>
      <c r="B59" t="s">
        <v>102</v>
      </c>
      <c r="C59">
        <v>2.35</v>
      </c>
      <c r="D59">
        <v>2</v>
      </c>
      <c r="E59">
        <v>7</v>
      </c>
      <c r="F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">
      <c r="A60" t="s">
        <v>87</v>
      </c>
      <c r="B60" t="s">
        <v>103</v>
      </c>
      <c r="C60">
        <v>2.15</v>
      </c>
      <c r="D60">
        <v>2</v>
      </c>
      <c r="E60">
        <v>3</v>
      </c>
      <c r="F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">
      <c r="A61" t="s">
        <v>87</v>
      </c>
      <c r="B61" t="s">
        <v>104</v>
      </c>
      <c r="C61">
        <v>1.1200000000000001</v>
      </c>
      <c r="D61">
        <v>1</v>
      </c>
      <c r="E61">
        <v>2</v>
      </c>
      <c r="F61">
        <v>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">
      <c r="A62" t="s">
        <v>87</v>
      </c>
      <c r="B62" t="s">
        <v>105</v>
      </c>
      <c r="C62">
        <v>0.05</v>
      </c>
      <c r="D62">
        <v>0</v>
      </c>
      <c r="E62">
        <v>1</v>
      </c>
      <c r="F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">
      <c r="A63" t="s">
        <v>87</v>
      </c>
      <c r="B63" t="s">
        <v>106</v>
      </c>
      <c r="C63">
        <v>0</v>
      </c>
      <c r="D63">
        <v>0</v>
      </c>
      <c r="E63">
        <v>0</v>
      </c>
      <c r="F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">
      <c r="A64" t="s">
        <v>87</v>
      </c>
      <c r="B64" t="s">
        <v>107</v>
      </c>
      <c r="C64">
        <v>0.08</v>
      </c>
      <c r="D64">
        <v>0</v>
      </c>
      <c r="E64">
        <v>1</v>
      </c>
      <c r="F64">
        <v>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">
      <c r="A65" t="s">
        <v>87</v>
      </c>
      <c r="B65" t="s">
        <v>108</v>
      </c>
      <c r="C65">
        <v>0.05</v>
      </c>
      <c r="D65">
        <v>0</v>
      </c>
      <c r="E65">
        <v>1</v>
      </c>
      <c r="F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 t="s">
        <v>87</v>
      </c>
      <c r="B66" t="s">
        <v>109</v>
      </c>
      <c r="C66">
        <v>0.25</v>
      </c>
      <c r="D66">
        <v>0</v>
      </c>
      <c r="E66">
        <v>5</v>
      </c>
      <c r="F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">
      <c r="A67" t="s">
        <v>87</v>
      </c>
      <c r="B67" t="s">
        <v>110</v>
      </c>
      <c r="C67">
        <v>1.2</v>
      </c>
      <c r="D67">
        <v>1</v>
      </c>
      <c r="E67">
        <v>4</v>
      </c>
      <c r="F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">
      <c r="A68" t="s">
        <v>87</v>
      </c>
      <c r="B68" t="s">
        <v>111</v>
      </c>
      <c r="C68">
        <v>0.3</v>
      </c>
      <c r="D68">
        <v>0</v>
      </c>
      <c r="E68">
        <v>6</v>
      </c>
      <c r="F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87</v>
      </c>
      <c r="B69" t="s">
        <v>112</v>
      </c>
      <c r="C69">
        <v>1</v>
      </c>
      <c r="D69">
        <v>1</v>
      </c>
      <c r="E69">
        <v>0</v>
      </c>
      <c r="F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87</v>
      </c>
      <c r="B70" t="s">
        <v>113</v>
      </c>
      <c r="C70">
        <v>0.65</v>
      </c>
      <c r="D70">
        <v>0</v>
      </c>
      <c r="E70">
        <v>13</v>
      </c>
      <c r="F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87</v>
      </c>
      <c r="B71" t="s">
        <v>114</v>
      </c>
      <c r="C71">
        <v>0.48</v>
      </c>
      <c r="D71">
        <v>0</v>
      </c>
      <c r="E71">
        <v>9</v>
      </c>
      <c r="F71">
        <v>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">
      <c r="A72" t="s">
        <v>87</v>
      </c>
      <c r="B72" t="s">
        <v>115</v>
      </c>
      <c r="C72">
        <v>3</v>
      </c>
      <c r="D72">
        <v>3</v>
      </c>
      <c r="E72">
        <v>0</v>
      </c>
      <c r="F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 t="s">
        <v>87</v>
      </c>
      <c r="B73" t="s">
        <v>116</v>
      </c>
      <c r="C73">
        <v>0.04</v>
      </c>
      <c r="D73">
        <v>0</v>
      </c>
      <c r="E73">
        <v>0</v>
      </c>
      <c r="F73">
        <v>10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">
      <c r="A74" t="s">
        <v>87</v>
      </c>
      <c r="B74" t="s">
        <v>117</v>
      </c>
      <c r="C74">
        <v>0.01</v>
      </c>
      <c r="D74">
        <v>0</v>
      </c>
      <c r="E74">
        <v>0</v>
      </c>
      <c r="F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">
      <c r="A75" t="s">
        <v>87</v>
      </c>
      <c r="B75" t="s">
        <v>118</v>
      </c>
      <c r="C75">
        <v>0.01</v>
      </c>
      <c r="D75">
        <v>0</v>
      </c>
      <c r="E75">
        <v>0</v>
      </c>
      <c r="F75">
        <v>3.5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">
      <c r="A76" t="s">
        <v>87</v>
      </c>
      <c r="B76" t="s">
        <v>119</v>
      </c>
      <c r="C76">
        <v>0.72</v>
      </c>
      <c r="D76">
        <v>0</v>
      </c>
      <c r="E76">
        <v>14</v>
      </c>
      <c r="F76">
        <v>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">
      <c r="A77" t="s">
        <v>87</v>
      </c>
      <c r="B77" t="s">
        <v>120</v>
      </c>
      <c r="C77">
        <v>0.08</v>
      </c>
      <c r="D77">
        <v>0</v>
      </c>
      <c r="E77">
        <v>1</v>
      </c>
      <c r="F77">
        <v>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">
      <c r="A78" t="s">
        <v>87</v>
      </c>
      <c r="B78" t="s">
        <v>121</v>
      </c>
      <c r="C78">
        <v>0.28000000000000003</v>
      </c>
      <c r="D78">
        <v>0</v>
      </c>
      <c r="E78">
        <v>5</v>
      </c>
      <c r="F78">
        <v>6.5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">
      <c r="A79" t="s">
        <v>87</v>
      </c>
      <c r="B79" t="s">
        <v>122</v>
      </c>
      <c r="C79">
        <v>0</v>
      </c>
      <c r="D79">
        <v>0</v>
      </c>
      <c r="E79">
        <v>0</v>
      </c>
      <c r="F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 t="s">
        <v>87</v>
      </c>
      <c r="B80" t="s">
        <v>123</v>
      </c>
      <c r="C80">
        <v>0.31</v>
      </c>
      <c r="D80">
        <v>0</v>
      </c>
      <c r="E80">
        <v>6</v>
      </c>
      <c r="F80">
        <v>1.5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22" x14ac:dyDescent="0.2">
      <c r="A81" t="s">
        <v>87</v>
      </c>
      <c r="B81" t="s">
        <v>124</v>
      </c>
      <c r="C81">
        <v>0.25</v>
      </c>
      <c r="D81">
        <v>0</v>
      </c>
      <c r="E81">
        <v>5</v>
      </c>
      <c r="F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22" x14ac:dyDescent="0.2">
      <c r="A82" t="s">
        <v>87</v>
      </c>
      <c r="B82" t="s">
        <v>125</v>
      </c>
      <c r="C82">
        <v>3.4</v>
      </c>
      <c r="D82">
        <v>3</v>
      </c>
      <c r="E82">
        <v>8</v>
      </c>
      <c r="F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22" x14ac:dyDescent="0.2">
      <c r="A83" t="s">
        <v>87</v>
      </c>
      <c r="B83" t="s">
        <v>126</v>
      </c>
      <c r="C83">
        <v>0.39</v>
      </c>
      <c r="D83">
        <v>0</v>
      </c>
      <c r="E83">
        <v>7</v>
      </c>
      <c r="F83">
        <v>10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22" x14ac:dyDescent="0.2">
      <c r="A84" t="s">
        <v>87</v>
      </c>
      <c r="B84" t="s">
        <v>127</v>
      </c>
      <c r="C84">
        <v>0.16</v>
      </c>
      <c r="D84">
        <v>0</v>
      </c>
      <c r="E84">
        <v>3</v>
      </c>
      <c r="F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22" x14ac:dyDescent="0.2">
      <c r="A85" t="s">
        <v>87</v>
      </c>
      <c r="B85" t="s">
        <v>128</v>
      </c>
      <c r="C85">
        <v>0.5</v>
      </c>
      <c r="D85">
        <v>0</v>
      </c>
      <c r="E85">
        <v>10</v>
      </c>
      <c r="F85">
        <v>0</v>
      </c>
      <c r="H85">
        <v>5</v>
      </c>
      <c r="I85">
        <v>0</v>
      </c>
      <c r="J85">
        <v>5</v>
      </c>
      <c r="K85">
        <v>5</v>
      </c>
      <c r="L85">
        <v>0</v>
      </c>
      <c r="M85">
        <v>5</v>
      </c>
      <c r="N85">
        <v>0</v>
      </c>
    </row>
    <row r="86" spans="1:22" x14ac:dyDescent="0.2">
      <c r="A86" t="s">
        <v>87</v>
      </c>
      <c r="B86" t="s">
        <v>129</v>
      </c>
      <c r="C86">
        <v>0.06</v>
      </c>
      <c r="D86">
        <v>0</v>
      </c>
      <c r="E86">
        <v>1</v>
      </c>
      <c r="F86">
        <v>3</v>
      </c>
      <c r="G86" t="s">
        <v>130</v>
      </c>
      <c r="H86">
        <v>0</v>
      </c>
      <c r="I86">
        <v>4</v>
      </c>
      <c r="J86">
        <v>0.5</v>
      </c>
      <c r="K86">
        <v>0.25</v>
      </c>
      <c r="L86">
        <v>0.25</v>
      </c>
      <c r="M86">
        <v>0</v>
      </c>
      <c r="N86">
        <v>2</v>
      </c>
      <c r="O86">
        <v>0</v>
      </c>
      <c r="P86">
        <v>4</v>
      </c>
    </row>
    <row r="87" spans="1:22" x14ac:dyDescent="0.2">
      <c r="A87" t="s">
        <v>87</v>
      </c>
      <c r="B87" t="s">
        <v>131</v>
      </c>
      <c r="C87">
        <v>0</v>
      </c>
      <c r="D87">
        <v>0</v>
      </c>
      <c r="E87">
        <v>0</v>
      </c>
      <c r="F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22" x14ac:dyDescent="0.2">
      <c r="A88" t="s">
        <v>87</v>
      </c>
      <c r="B88" t="s">
        <v>132</v>
      </c>
      <c r="C88">
        <v>0</v>
      </c>
      <c r="D88">
        <v>0</v>
      </c>
      <c r="E88">
        <v>0</v>
      </c>
      <c r="F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22" x14ac:dyDescent="0.2">
      <c r="A89" t="s">
        <v>87</v>
      </c>
      <c r="B89" t="s">
        <v>133</v>
      </c>
      <c r="C89">
        <v>0</v>
      </c>
      <c r="D89">
        <v>0</v>
      </c>
      <c r="E89">
        <v>0</v>
      </c>
      <c r="F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22" x14ac:dyDescent="0.2">
      <c r="A90" t="s">
        <v>87</v>
      </c>
      <c r="B90" t="s">
        <v>134</v>
      </c>
      <c r="C90">
        <v>0.19</v>
      </c>
      <c r="D90">
        <v>0</v>
      </c>
      <c r="E90">
        <v>3</v>
      </c>
      <c r="F90">
        <v>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22" x14ac:dyDescent="0.2">
      <c r="A91" t="s">
        <v>87</v>
      </c>
      <c r="B91" t="s">
        <v>135</v>
      </c>
      <c r="C91">
        <v>17.12</v>
      </c>
      <c r="D91">
        <v>17</v>
      </c>
      <c r="E91">
        <v>2</v>
      </c>
      <c r="F91">
        <v>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22" x14ac:dyDescent="0.2">
      <c r="A92" t="s">
        <v>87</v>
      </c>
      <c r="B92" t="s">
        <v>136</v>
      </c>
      <c r="C92">
        <v>42.17</v>
      </c>
      <c r="D92">
        <v>42</v>
      </c>
      <c r="E92">
        <v>3</v>
      </c>
      <c r="F92">
        <v>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22" x14ac:dyDescent="0.2">
      <c r="A93" t="s">
        <v>137</v>
      </c>
      <c r="B93" t="s">
        <v>138</v>
      </c>
      <c r="C93">
        <v>1.8</v>
      </c>
      <c r="D93">
        <v>1</v>
      </c>
      <c r="E93">
        <v>16</v>
      </c>
      <c r="F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22" x14ac:dyDescent="0.2">
      <c r="A94" t="s">
        <v>137</v>
      </c>
      <c r="B94" t="s">
        <v>139</v>
      </c>
      <c r="C94">
        <v>1.8</v>
      </c>
      <c r="D94">
        <v>1</v>
      </c>
      <c r="E94">
        <v>16</v>
      </c>
      <c r="F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22" x14ac:dyDescent="0.2">
      <c r="A95" t="s">
        <v>140</v>
      </c>
      <c r="B95" t="s">
        <v>141</v>
      </c>
      <c r="C95">
        <v>12.71</v>
      </c>
      <c r="D95">
        <v>12</v>
      </c>
      <c r="E95">
        <v>14</v>
      </c>
      <c r="F95">
        <v>3</v>
      </c>
      <c r="G95" t="s">
        <v>142</v>
      </c>
      <c r="H95">
        <v>45.5</v>
      </c>
      <c r="I95">
        <v>2</v>
      </c>
      <c r="J95">
        <v>45.75</v>
      </c>
      <c r="K95">
        <v>45.75</v>
      </c>
      <c r="L95">
        <v>0</v>
      </c>
      <c r="M95">
        <v>45</v>
      </c>
      <c r="N95">
        <v>6</v>
      </c>
      <c r="O95">
        <v>20</v>
      </c>
      <c r="P95">
        <v>2</v>
      </c>
      <c r="Q95">
        <v>25.5</v>
      </c>
      <c r="R95">
        <v>0</v>
      </c>
      <c r="S95">
        <v>5</v>
      </c>
      <c r="T95">
        <v>0</v>
      </c>
      <c r="U95">
        <v>6</v>
      </c>
      <c r="V95">
        <v>0</v>
      </c>
    </row>
    <row r="96" spans="1:22" x14ac:dyDescent="0.2">
      <c r="A96" t="s">
        <v>140</v>
      </c>
      <c r="B96" t="s">
        <v>143</v>
      </c>
      <c r="C96">
        <v>1.75</v>
      </c>
      <c r="D96">
        <v>1</v>
      </c>
      <c r="E96">
        <v>15</v>
      </c>
      <c r="F96">
        <v>0</v>
      </c>
      <c r="G96" t="s">
        <v>144</v>
      </c>
      <c r="H96">
        <v>13</v>
      </c>
      <c r="I96">
        <v>1</v>
      </c>
      <c r="J96">
        <v>13.125</v>
      </c>
      <c r="K96">
        <v>13.125</v>
      </c>
      <c r="L96">
        <v>0</v>
      </c>
      <c r="M96">
        <v>13</v>
      </c>
      <c r="N96">
        <v>1</v>
      </c>
      <c r="S96">
        <v>2</v>
      </c>
      <c r="T96">
        <v>8</v>
      </c>
    </row>
    <row r="97" spans="1:22" x14ac:dyDescent="0.2">
      <c r="A97" t="s">
        <v>140</v>
      </c>
      <c r="B97" t="s">
        <v>145</v>
      </c>
      <c r="C97">
        <v>4.6500000000000004</v>
      </c>
      <c r="D97">
        <v>4</v>
      </c>
      <c r="E97">
        <v>13</v>
      </c>
      <c r="F97">
        <v>0</v>
      </c>
      <c r="G97" t="s">
        <v>146</v>
      </c>
      <c r="H97">
        <v>23</v>
      </c>
      <c r="I97">
        <v>2</v>
      </c>
      <c r="J97">
        <v>23.25</v>
      </c>
      <c r="K97">
        <v>23.25</v>
      </c>
      <c r="L97">
        <v>0</v>
      </c>
      <c r="M97">
        <v>23</v>
      </c>
      <c r="N97">
        <v>2</v>
      </c>
      <c r="S97">
        <v>4</v>
      </c>
      <c r="T97">
        <v>0</v>
      </c>
    </row>
    <row r="98" spans="1:22" x14ac:dyDescent="0.2">
      <c r="A98" t="s">
        <v>140</v>
      </c>
      <c r="B98" t="s">
        <v>147</v>
      </c>
      <c r="C98">
        <v>3.29</v>
      </c>
      <c r="D98">
        <v>3</v>
      </c>
      <c r="E98">
        <v>5</v>
      </c>
      <c r="F98">
        <v>9.5</v>
      </c>
      <c r="G98" t="s">
        <v>148</v>
      </c>
      <c r="H98">
        <v>30</v>
      </c>
      <c r="I98">
        <v>12</v>
      </c>
      <c r="J98">
        <v>31.5</v>
      </c>
      <c r="K98">
        <v>31.5</v>
      </c>
      <c r="L98">
        <v>0</v>
      </c>
      <c r="M98">
        <v>31.5</v>
      </c>
      <c r="N98">
        <v>0</v>
      </c>
      <c r="O98">
        <v>14</v>
      </c>
      <c r="P98">
        <v>6</v>
      </c>
      <c r="Q98">
        <v>16</v>
      </c>
      <c r="R98">
        <v>6</v>
      </c>
      <c r="S98">
        <v>2</v>
      </c>
      <c r="T98">
        <v>0</v>
      </c>
      <c r="U98">
        <v>2</v>
      </c>
      <c r="V98">
        <v>2</v>
      </c>
    </row>
    <row r="99" spans="1:22" x14ac:dyDescent="0.2">
      <c r="A99" t="s">
        <v>140</v>
      </c>
      <c r="B99" t="s">
        <v>149</v>
      </c>
      <c r="C99">
        <v>0.62</v>
      </c>
      <c r="D99">
        <v>0</v>
      </c>
      <c r="E99">
        <v>12</v>
      </c>
      <c r="F99">
        <v>6</v>
      </c>
      <c r="G99" t="s">
        <v>150</v>
      </c>
      <c r="H99">
        <v>5</v>
      </c>
      <c r="I99">
        <v>0</v>
      </c>
      <c r="J99">
        <v>5</v>
      </c>
      <c r="K99">
        <v>5</v>
      </c>
      <c r="L99">
        <v>0</v>
      </c>
      <c r="M99">
        <v>5</v>
      </c>
      <c r="N99">
        <v>0</v>
      </c>
      <c r="S99">
        <v>2</v>
      </c>
      <c r="T99">
        <v>6</v>
      </c>
    </row>
    <row r="100" spans="1:22" x14ac:dyDescent="0.2">
      <c r="A100" t="s">
        <v>140</v>
      </c>
      <c r="B100" t="s">
        <v>151</v>
      </c>
      <c r="C100">
        <v>0.83</v>
      </c>
      <c r="D100">
        <v>0</v>
      </c>
      <c r="E100">
        <v>16</v>
      </c>
      <c r="F100">
        <v>6</v>
      </c>
      <c r="G100" t="s">
        <v>152</v>
      </c>
      <c r="H100">
        <v>8</v>
      </c>
      <c r="I100">
        <v>0</v>
      </c>
      <c r="J100">
        <v>8</v>
      </c>
      <c r="K100">
        <v>8</v>
      </c>
      <c r="L100">
        <v>0</v>
      </c>
      <c r="M100">
        <v>8</v>
      </c>
      <c r="N100">
        <v>0</v>
      </c>
      <c r="S100">
        <v>2</v>
      </c>
      <c r="T100">
        <v>0</v>
      </c>
    </row>
    <row r="101" spans="1:22" x14ac:dyDescent="0.2">
      <c r="A101" t="s">
        <v>140</v>
      </c>
      <c r="B101" t="s">
        <v>153</v>
      </c>
      <c r="C101">
        <v>0.17</v>
      </c>
      <c r="D101">
        <v>0</v>
      </c>
      <c r="E101">
        <v>3</v>
      </c>
      <c r="F101">
        <v>4.5</v>
      </c>
      <c r="G101" t="s">
        <v>142</v>
      </c>
      <c r="H101">
        <v>0</v>
      </c>
      <c r="I101">
        <v>4.5</v>
      </c>
      <c r="J101">
        <v>0.5625</v>
      </c>
      <c r="K101">
        <v>0.5625</v>
      </c>
      <c r="L101">
        <v>0</v>
      </c>
      <c r="M101">
        <v>0</v>
      </c>
      <c r="N101">
        <v>4.5</v>
      </c>
    </row>
    <row r="102" spans="1:22" x14ac:dyDescent="0.2">
      <c r="A102" t="s">
        <v>140</v>
      </c>
      <c r="B102" t="s">
        <v>154</v>
      </c>
      <c r="C102">
        <v>0.14000000000000001</v>
      </c>
      <c r="D102">
        <v>0</v>
      </c>
      <c r="E102">
        <v>2</v>
      </c>
      <c r="F102">
        <v>9</v>
      </c>
      <c r="G102" t="s">
        <v>146</v>
      </c>
      <c r="H102">
        <v>0</v>
      </c>
      <c r="I102">
        <v>5.5</v>
      </c>
      <c r="J102">
        <v>0.6875</v>
      </c>
      <c r="K102">
        <v>0.6875</v>
      </c>
      <c r="L102">
        <v>0</v>
      </c>
      <c r="M102">
        <v>0</v>
      </c>
      <c r="N102">
        <v>5.5</v>
      </c>
    </row>
    <row r="103" spans="1:22" x14ac:dyDescent="0.2">
      <c r="A103" t="s">
        <v>140</v>
      </c>
      <c r="B103" t="s">
        <v>155</v>
      </c>
      <c r="C103">
        <v>24.16</v>
      </c>
      <c r="D103">
        <v>24</v>
      </c>
      <c r="E103">
        <v>3</v>
      </c>
      <c r="F103">
        <v>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22" x14ac:dyDescent="0.2">
      <c r="A104" t="s">
        <v>156</v>
      </c>
      <c r="B104" t="s">
        <v>157</v>
      </c>
      <c r="C104">
        <v>0.25</v>
      </c>
      <c r="D104">
        <v>0</v>
      </c>
      <c r="E104">
        <v>5</v>
      </c>
      <c r="F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22" x14ac:dyDescent="0.2">
      <c r="A105" t="s">
        <v>156</v>
      </c>
      <c r="B105" t="s">
        <v>158</v>
      </c>
      <c r="C105">
        <v>0.25</v>
      </c>
      <c r="D105">
        <v>0</v>
      </c>
      <c r="E105">
        <v>5</v>
      </c>
      <c r="F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22" x14ac:dyDescent="0.2">
      <c r="A106" t="s">
        <v>156</v>
      </c>
      <c r="B106" t="s">
        <v>159</v>
      </c>
      <c r="C106">
        <v>0.25</v>
      </c>
      <c r="D106">
        <v>0</v>
      </c>
      <c r="E106">
        <v>5</v>
      </c>
      <c r="F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22" x14ac:dyDescent="0.2">
      <c r="A107" t="s">
        <v>156</v>
      </c>
      <c r="B107" t="s">
        <v>160</v>
      </c>
      <c r="C107">
        <v>0.25</v>
      </c>
      <c r="D107">
        <v>0</v>
      </c>
      <c r="E107">
        <v>5</v>
      </c>
      <c r="F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22" x14ac:dyDescent="0.2">
      <c r="A108" t="s">
        <v>156</v>
      </c>
      <c r="B108" t="s">
        <v>161</v>
      </c>
      <c r="C108">
        <v>1</v>
      </c>
      <c r="D108">
        <v>1</v>
      </c>
      <c r="E108">
        <v>0</v>
      </c>
      <c r="F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22" x14ac:dyDescent="0.2">
      <c r="A109" t="s">
        <v>156</v>
      </c>
      <c r="B109" t="s">
        <v>162</v>
      </c>
      <c r="C109">
        <v>0.25</v>
      </c>
      <c r="D109">
        <v>0</v>
      </c>
      <c r="E109">
        <v>5</v>
      </c>
      <c r="F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22" x14ac:dyDescent="0.2">
      <c r="A110" t="s">
        <v>156</v>
      </c>
      <c r="B110" t="s">
        <v>163</v>
      </c>
      <c r="C110">
        <v>0.5</v>
      </c>
      <c r="D110">
        <v>0</v>
      </c>
      <c r="E110">
        <v>10</v>
      </c>
      <c r="F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22" x14ac:dyDescent="0.2">
      <c r="A111" t="s">
        <v>156</v>
      </c>
      <c r="B111" t="s">
        <v>164</v>
      </c>
      <c r="C111">
        <v>0.1</v>
      </c>
      <c r="D111">
        <v>0</v>
      </c>
      <c r="E111">
        <v>2</v>
      </c>
      <c r="F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22" x14ac:dyDescent="0.2">
      <c r="A112" t="s">
        <v>156</v>
      </c>
      <c r="B112" t="s">
        <v>165</v>
      </c>
      <c r="C112">
        <v>0.05</v>
      </c>
      <c r="D112">
        <v>0</v>
      </c>
      <c r="E112">
        <v>1</v>
      </c>
      <c r="F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">
      <c r="A113" t="s">
        <v>156</v>
      </c>
      <c r="B113" t="s">
        <v>166</v>
      </c>
      <c r="C113">
        <v>0.05</v>
      </c>
      <c r="D113">
        <v>0</v>
      </c>
      <c r="E113">
        <v>1</v>
      </c>
      <c r="F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 t="s">
        <v>156</v>
      </c>
      <c r="B114" t="s">
        <v>167</v>
      </c>
      <c r="C114">
        <v>0.2</v>
      </c>
      <c r="D114">
        <v>0</v>
      </c>
      <c r="E114">
        <v>4</v>
      </c>
      <c r="F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">
      <c r="A115" t="s">
        <v>156</v>
      </c>
      <c r="B115" t="s">
        <v>168</v>
      </c>
      <c r="C115">
        <v>0.05</v>
      </c>
      <c r="D115">
        <v>0</v>
      </c>
      <c r="E115">
        <v>1</v>
      </c>
      <c r="F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">
      <c r="A116" t="s">
        <v>156</v>
      </c>
      <c r="B116" t="s">
        <v>169</v>
      </c>
      <c r="C116">
        <v>3.7</v>
      </c>
      <c r="D116">
        <v>3</v>
      </c>
      <c r="E116">
        <v>14</v>
      </c>
      <c r="F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 t="s">
        <v>170</v>
      </c>
      <c r="B117" t="s">
        <v>171</v>
      </c>
      <c r="C117">
        <v>0.1</v>
      </c>
      <c r="D117">
        <v>0</v>
      </c>
      <c r="E117">
        <v>2</v>
      </c>
      <c r="F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 t="s">
        <v>170</v>
      </c>
      <c r="B118" t="s">
        <v>172</v>
      </c>
      <c r="C118">
        <v>0.1</v>
      </c>
      <c r="D118">
        <v>0</v>
      </c>
      <c r="E118">
        <v>2</v>
      </c>
      <c r="F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">
      <c r="A119" t="s">
        <v>170</v>
      </c>
      <c r="B119" t="s">
        <v>173</v>
      </c>
      <c r="C119">
        <v>0.33</v>
      </c>
      <c r="D119">
        <v>0</v>
      </c>
      <c r="E119">
        <v>6</v>
      </c>
      <c r="F119">
        <v>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">
      <c r="A120" t="s">
        <v>170</v>
      </c>
      <c r="B120" t="s">
        <v>174</v>
      </c>
      <c r="C120">
        <v>3.29</v>
      </c>
      <c r="D120">
        <v>3</v>
      </c>
      <c r="E120">
        <v>5</v>
      </c>
      <c r="F120">
        <v>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">
      <c r="A121" t="s">
        <v>170</v>
      </c>
      <c r="B121" t="s">
        <v>175</v>
      </c>
      <c r="C121">
        <v>3.82</v>
      </c>
      <c r="D121">
        <v>3</v>
      </c>
      <c r="E121">
        <v>16</v>
      </c>
      <c r="F121">
        <v>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">
      <c r="A122" t="s">
        <v>176</v>
      </c>
      <c r="B122" t="s">
        <v>177</v>
      </c>
      <c r="C122">
        <v>0.03</v>
      </c>
      <c r="D122">
        <v>0</v>
      </c>
      <c r="E122">
        <v>0</v>
      </c>
      <c r="F122">
        <v>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">
      <c r="A123" t="s">
        <v>176</v>
      </c>
      <c r="B123" t="s">
        <v>178</v>
      </c>
      <c r="C123">
        <v>0.3</v>
      </c>
      <c r="D123">
        <v>0</v>
      </c>
      <c r="E123">
        <v>6</v>
      </c>
      <c r="F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">
      <c r="A124" t="s">
        <v>176</v>
      </c>
      <c r="B124" t="s">
        <v>179</v>
      </c>
      <c r="C124">
        <v>0.11</v>
      </c>
      <c r="D124">
        <v>0</v>
      </c>
      <c r="E124">
        <v>2</v>
      </c>
      <c r="F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180</v>
      </c>
      <c r="B125" t="s">
        <v>181</v>
      </c>
      <c r="C125">
        <v>107.03</v>
      </c>
      <c r="D125">
        <v>107</v>
      </c>
      <c r="E125">
        <v>0</v>
      </c>
      <c r="F125">
        <v>6.25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182</v>
      </c>
      <c r="B126" t="s">
        <v>183</v>
      </c>
      <c r="C126">
        <v>0</v>
      </c>
      <c r="D126">
        <v>0</v>
      </c>
      <c r="E126">
        <v>0</v>
      </c>
      <c r="F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">
      <c r="A127" t="s">
        <v>182</v>
      </c>
      <c r="B127" t="s">
        <v>184</v>
      </c>
      <c r="C127">
        <v>0</v>
      </c>
      <c r="D127">
        <v>0</v>
      </c>
      <c r="E127">
        <v>0</v>
      </c>
      <c r="F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">
      <c r="A128" t="s">
        <v>182</v>
      </c>
      <c r="B128" t="s">
        <v>185</v>
      </c>
      <c r="C128">
        <v>0.55000000000000004</v>
      </c>
      <c r="D128">
        <v>0</v>
      </c>
      <c r="E128">
        <v>11</v>
      </c>
      <c r="F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20" x14ac:dyDescent="0.2">
      <c r="A129" t="s">
        <v>182</v>
      </c>
      <c r="B129" t="s">
        <v>186</v>
      </c>
      <c r="C129">
        <v>0.06</v>
      </c>
      <c r="D129">
        <v>0</v>
      </c>
      <c r="E129">
        <v>1</v>
      </c>
      <c r="F129">
        <v>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20" x14ac:dyDescent="0.2">
      <c r="A130" t="s">
        <v>182</v>
      </c>
      <c r="B130" t="s">
        <v>187</v>
      </c>
      <c r="C130">
        <v>0.08</v>
      </c>
      <c r="D130">
        <v>0</v>
      </c>
      <c r="E130">
        <v>1</v>
      </c>
      <c r="F130">
        <v>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20" x14ac:dyDescent="0.2">
      <c r="A131" t="s">
        <v>182</v>
      </c>
      <c r="B131" t="s">
        <v>188</v>
      </c>
      <c r="C131">
        <v>0.11</v>
      </c>
      <c r="D131">
        <v>0</v>
      </c>
      <c r="E131">
        <v>2</v>
      </c>
      <c r="F131">
        <v>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20" x14ac:dyDescent="0.2">
      <c r="A132" t="s">
        <v>182</v>
      </c>
      <c r="B132" t="s">
        <v>189</v>
      </c>
      <c r="C132">
        <v>0.03</v>
      </c>
      <c r="D132">
        <v>0</v>
      </c>
      <c r="E132">
        <v>0</v>
      </c>
      <c r="F132">
        <v>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20" x14ac:dyDescent="0.2">
      <c r="A133" t="s">
        <v>182</v>
      </c>
      <c r="B133" t="s">
        <v>190</v>
      </c>
      <c r="C133">
        <v>0.03</v>
      </c>
      <c r="D133">
        <v>0</v>
      </c>
      <c r="E133">
        <v>0</v>
      </c>
      <c r="F133">
        <v>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20" x14ac:dyDescent="0.2">
      <c r="A134" t="s">
        <v>182</v>
      </c>
      <c r="B134" t="s">
        <v>191</v>
      </c>
      <c r="C134">
        <v>0.01</v>
      </c>
      <c r="D134">
        <v>0</v>
      </c>
      <c r="E134">
        <v>0</v>
      </c>
      <c r="F134">
        <v>1.5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20" x14ac:dyDescent="0.2">
      <c r="A135" t="s">
        <v>182</v>
      </c>
      <c r="B135" t="s">
        <v>192</v>
      </c>
      <c r="C135">
        <v>0.28000000000000003</v>
      </c>
      <c r="D135">
        <v>0</v>
      </c>
      <c r="E135">
        <v>5</v>
      </c>
      <c r="F135">
        <v>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20" x14ac:dyDescent="0.2">
      <c r="A136" t="s">
        <v>182</v>
      </c>
      <c r="B136" t="s">
        <v>193</v>
      </c>
      <c r="C136">
        <v>1</v>
      </c>
      <c r="D136">
        <v>1</v>
      </c>
      <c r="E136">
        <v>0</v>
      </c>
      <c r="F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20" x14ac:dyDescent="0.2">
      <c r="A137" t="s">
        <v>182</v>
      </c>
      <c r="B137" t="s">
        <v>184</v>
      </c>
      <c r="C137">
        <v>0</v>
      </c>
      <c r="D137">
        <v>0</v>
      </c>
      <c r="E137">
        <v>0</v>
      </c>
      <c r="F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20" x14ac:dyDescent="0.2">
      <c r="A138" t="s">
        <v>182</v>
      </c>
      <c r="B138" t="s">
        <v>194</v>
      </c>
      <c r="C138">
        <v>0.34</v>
      </c>
      <c r="D138">
        <v>0</v>
      </c>
      <c r="E138">
        <v>6</v>
      </c>
      <c r="F138">
        <v>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20" x14ac:dyDescent="0.2">
      <c r="A139" t="s">
        <v>182</v>
      </c>
      <c r="B139" t="s">
        <v>195</v>
      </c>
      <c r="C139">
        <v>3.08</v>
      </c>
      <c r="D139">
        <v>3</v>
      </c>
      <c r="E139">
        <v>1</v>
      </c>
      <c r="F139">
        <v>7.5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20" x14ac:dyDescent="0.2">
      <c r="A140" t="s">
        <v>196</v>
      </c>
      <c r="B140" t="s">
        <v>197</v>
      </c>
      <c r="C140">
        <v>0.87</v>
      </c>
      <c r="D140">
        <v>0</v>
      </c>
      <c r="E140">
        <v>17</v>
      </c>
      <c r="F140">
        <v>4</v>
      </c>
      <c r="G140" t="s">
        <v>146</v>
      </c>
      <c r="H140">
        <v>6.5</v>
      </c>
      <c r="I140">
        <v>0</v>
      </c>
      <c r="J140">
        <v>6.5</v>
      </c>
      <c r="K140">
        <v>6.5</v>
      </c>
      <c r="L140">
        <v>0</v>
      </c>
      <c r="M140">
        <v>6.5</v>
      </c>
      <c r="N140">
        <v>0</v>
      </c>
      <c r="S140">
        <v>2</v>
      </c>
      <c r="T140">
        <v>8</v>
      </c>
    </row>
    <row r="141" spans="1:20" x14ac:dyDescent="0.2">
      <c r="A141" t="s">
        <v>196</v>
      </c>
      <c r="B141" t="s">
        <v>198</v>
      </c>
      <c r="C141">
        <v>0.87</v>
      </c>
      <c r="D141">
        <v>0</v>
      </c>
      <c r="E141">
        <v>17</v>
      </c>
      <c r="F141">
        <v>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20" x14ac:dyDescent="0.2">
      <c r="A142" t="s">
        <v>199</v>
      </c>
      <c r="B142" t="s">
        <v>200</v>
      </c>
      <c r="C142">
        <v>0.04</v>
      </c>
      <c r="D142">
        <v>0</v>
      </c>
      <c r="E142">
        <v>0</v>
      </c>
      <c r="F142">
        <v>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20" x14ac:dyDescent="0.2">
      <c r="A143" t="s">
        <v>199</v>
      </c>
      <c r="B143" t="s">
        <v>201</v>
      </c>
      <c r="C143">
        <v>0.12</v>
      </c>
      <c r="D143">
        <v>0</v>
      </c>
      <c r="E143">
        <v>2</v>
      </c>
      <c r="F143">
        <v>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20" x14ac:dyDescent="0.2">
      <c r="A144" t="s">
        <v>199</v>
      </c>
      <c r="B144" t="s">
        <v>202</v>
      </c>
      <c r="C144">
        <v>0.09</v>
      </c>
      <c r="D144">
        <v>0</v>
      </c>
      <c r="E144">
        <v>1</v>
      </c>
      <c r="F144">
        <v>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">
      <c r="A145" t="s">
        <v>199</v>
      </c>
      <c r="B145" t="s">
        <v>203</v>
      </c>
      <c r="C145">
        <v>0.03</v>
      </c>
      <c r="D145">
        <v>0</v>
      </c>
      <c r="E145">
        <v>0</v>
      </c>
      <c r="F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">
      <c r="A146" t="s">
        <v>199</v>
      </c>
      <c r="B146" t="s">
        <v>184</v>
      </c>
      <c r="C146">
        <v>0</v>
      </c>
      <c r="D146">
        <v>0</v>
      </c>
      <c r="E146">
        <v>0</v>
      </c>
      <c r="F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">
      <c r="A147" t="s">
        <v>199</v>
      </c>
      <c r="B147" t="s">
        <v>204</v>
      </c>
      <c r="C147">
        <v>0.17</v>
      </c>
      <c r="D147">
        <v>0</v>
      </c>
      <c r="E147">
        <v>3</v>
      </c>
      <c r="F147">
        <v>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">
      <c r="A148" t="s">
        <v>199</v>
      </c>
      <c r="B148" t="s">
        <v>205</v>
      </c>
      <c r="C148">
        <v>0.04</v>
      </c>
      <c r="D148">
        <v>0</v>
      </c>
      <c r="E148">
        <v>0</v>
      </c>
      <c r="F148">
        <v>10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">
      <c r="A149" t="s">
        <v>199</v>
      </c>
      <c r="B149" t="s">
        <v>206</v>
      </c>
      <c r="C149">
        <v>0.04</v>
      </c>
      <c r="D149">
        <v>0</v>
      </c>
      <c r="E149">
        <v>0</v>
      </c>
      <c r="F149">
        <v>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">
      <c r="A150" t="s">
        <v>199</v>
      </c>
      <c r="B150" t="s">
        <v>207</v>
      </c>
      <c r="C150">
        <v>0.06</v>
      </c>
      <c r="D150">
        <v>0</v>
      </c>
      <c r="E150">
        <v>1</v>
      </c>
      <c r="F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">
      <c r="A151" t="s">
        <v>199</v>
      </c>
      <c r="B151" t="s">
        <v>208</v>
      </c>
      <c r="C151">
        <v>0.01</v>
      </c>
      <c r="D151">
        <v>0</v>
      </c>
      <c r="E151">
        <v>0</v>
      </c>
      <c r="F151">
        <v>1.5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">
      <c r="A152" t="s">
        <v>199</v>
      </c>
      <c r="B152" t="s">
        <v>209</v>
      </c>
      <c r="C152">
        <v>0.11</v>
      </c>
      <c r="D152">
        <v>0</v>
      </c>
      <c r="E152">
        <v>2</v>
      </c>
      <c r="F152">
        <v>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">
      <c r="A153" t="s">
        <v>210</v>
      </c>
      <c r="B153" t="s">
        <v>211</v>
      </c>
      <c r="C153">
        <v>0.17</v>
      </c>
      <c r="D153">
        <v>0</v>
      </c>
      <c r="E153">
        <v>3</v>
      </c>
      <c r="F153">
        <v>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">
      <c r="A154" t="s">
        <v>210</v>
      </c>
      <c r="B154" t="s">
        <v>212</v>
      </c>
      <c r="C154">
        <v>0.53</v>
      </c>
      <c r="D154">
        <v>0</v>
      </c>
      <c r="E154">
        <v>10</v>
      </c>
      <c r="F154">
        <v>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">
      <c r="A155" t="s">
        <v>210</v>
      </c>
      <c r="B155" t="s">
        <v>213</v>
      </c>
      <c r="C155">
        <v>0.03</v>
      </c>
      <c r="D155">
        <v>0</v>
      </c>
      <c r="E155">
        <v>0</v>
      </c>
      <c r="F155">
        <v>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">
      <c r="A156" t="s">
        <v>210</v>
      </c>
      <c r="B156" t="s">
        <v>214</v>
      </c>
      <c r="C156">
        <v>0.22</v>
      </c>
      <c r="D156">
        <v>0</v>
      </c>
      <c r="E156">
        <v>4</v>
      </c>
      <c r="F156">
        <v>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">
      <c r="A157" t="s">
        <v>210</v>
      </c>
      <c r="B157" t="s">
        <v>215</v>
      </c>
      <c r="C157">
        <v>0.02</v>
      </c>
      <c r="D157">
        <v>0</v>
      </c>
      <c r="E157">
        <v>0</v>
      </c>
      <c r="F157">
        <v>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">
      <c r="A158" t="s">
        <v>210</v>
      </c>
      <c r="B158" t="s">
        <v>216</v>
      </c>
      <c r="C158">
        <v>0.13</v>
      </c>
      <c r="D158">
        <v>0</v>
      </c>
      <c r="E158">
        <v>2</v>
      </c>
      <c r="F158">
        <v>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">
      <c r="A159" t="s">
        <v>210</v>
      </c>
      <c r="B159" t="s">
        <v>217</v>
      </c>
      <c r="C159">
        <v>0.11</v>
      </c>
      <c r="D159">
        <v>0</v>
      </c>
      <c r="E159">
        <v>2</v>
      </c>
      <c r="F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">
      <c r="A160" t="s">
        <v>210</v>
      </c>
      <c r="B160" t="s">
        <v>218</v>
      </c>
      <c r="C160">
        <v>0.04</v>
      </c>
      <c r="D160">
        <v>0</v>
      </c>
      <c r="E160">
        <v>0</v>
      </c>
      <c r="F160">
        <v>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">
      <c r="A161" t="s">
        <v>210</v>
      </c>
      <c r="B161" t="s">
        <v>219</v>
      </c>
      <c r="C161">
        <v>0.17</v>
      </c>
      <c r="D161">
        <v>0</v>
      </c>
      <c r="E161">
        <v>3</v>
      </c>
      <c r="F161">
        <v>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">
      <c r="A162" t="s">
        <v>210</v>
      </c>
      <c r="B162" t="s">
        <v>220</v>
      </c>
      <c r="C162">
        <v>0.03</v>
      </c>
      <c r="D162">
        <v>0</v>
      </c>
      <c r="E162">
        <v>0</v>
      </c>
      <c r="F162">
        <v>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">
      <c r="A163" t="s">
        <v>210</v>
      </c>
      <c r="B163" t="s">
        <v>221</v>
      </c>
      <c r="C163">
        <v>0.02</v>
      </c>
      <c r="D163">
        <v>0</v>
      </c>
      <c r="E163">
        <v>0</v>
      </c>
      <c r="F163">
        <v>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">
      <c r="A164" t="s">
        <v>210</v>
      </c>
      <c r="B164" t="s">
        <v>222</v>
      </c>
      <c r="C164">
        <v>1.5</v>
      </c>
      <c r="D164">
        <v>1</v>
      </c>
      <c r="E164">
        <v>10</v>
      </c>
      <c r="F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">
      <c r="A165" t="s">
        <v>223</v>
      </c>
      <c r="B165" t="s">
        <v>224</v>
      </c>
      <c r="C165">
        <v>0.01</v>
      </c>
      <c r="D165">
        <v>0</v>
      </c>
      <c r="E165">
        <v>0</v>
      </c>
      <c r="F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">
      <c r="A166" t="s">
        <v>223</v>
      </c>
      <c r="B166" t="s">
        <v>225</v>
      </c>
      <c r="C166">
        <v>0.51</v>
      </c>
      <c r="D166">
        <v>0</v>
      </c>
      <c r="E166">
        <v>10</v>
      </c>
      <c r="F166">
        <v>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">
      <c r="A167" t="s">
        <v>223</v>
      </c>
      <c r="B167" t="s">
        <v>184</v>
      </c>
      <c r="C167">
        <v>0</v>
      </c>
      <c r="D167">
        <v>0</v>
      </c>
      <c r="E167">
        <v>0</v>
      </c>
      <c r="F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">
      <c r="A168" t="s">
        <v>223</v>
      </c>
      <c r="B168" t="s">
        <v>226</v>
      </c>
      <c r="C168">
        <v>0.26</v>
      </c>
      <c r="D168">
        <v>0</v>
      </c>
      <c r="E168">
        <v>5</v>
      </c>
      <c r="F168">
        <v>1.5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">
      <c r="A169" t="s">
        <v>223</v>
      </c>
      <c r="B169" t="s">
        <v>184</v>
      </c>
      <c r="C169">
        <v>0</v>
      </c>
      <c r="D169">
        <v>0</v>
      </c>
      <c r="E169">
        <v>0</v>
      </c>
      <c r="F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">
      <c r="A170" t="s">
        <v>223</v>
      </c>
      <c r="B170" t="s">
        <v>227</v>
      </c>
      <c r="C170">
        <v>1.0900000000000001</v>
      </c>
      <c r="D170">
        <v>1</v>
      </c>
      <c r="E170">
        <v>1</v>
      </c>
      <c r="F170">
        <v>10.5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">
      <c r="A171" t="s">
        <v>223</v>
      </c>
      <c r="B171" t="s">
        <v>228</v>
      </c>
      <c r="C171">
        <v>1.87</v>
      </c>
      <c r="D171">
        <v>1</v>
      </c>
      <c r="E171">
        <v>17</v>
      </c>
      <c r="F171">
        <v>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">
      <c r="A172" t="s">
        <v>229</v>
      </c>
      <c r="B172" t="s">
        <v>230</v>
      </c>
      <c r="C172">
        <v>0.1</v>
      </c>
      <c r="D172">
        <v>0</v>
      </c>
      <c r="E172">
        <v>2</v>
      </c>
      <c r="F172">
        <v>0</v>
      </c>
      <c r="H172">
        <v>1</v>
      </c>
      <c r="I172">
        <v>0</v>
      </c>
      <c r="J172">
        <v>1</v>
      </c>
      <c r="K172">
        <v>1</v>
      </c>
      <c r="L172">
        <v>0</v>
      </c>
      <c r="M172">
        <v>1</v>
      </c>
      <c r="N172">
        <v>0</v>
      </c>
    </row>
    <row r="173" spans="1:14" x14ac:dyDescent="0.2">
      <c r="A173" t="s">
        <v>229</v>
      </c>
      <c r="B173" t="s">
        <v>231</v>
      </c>
      <c r="C173">
        <v>0.02</v>
      </c>
      <c r="D173">
        <v>0</v>
      </c>
      <c r="E173">
        <v>0</v>
      </c>
      <c r="F173">
        <v>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">
      <c r="A174" t="s">
        <v>229</v>
      </c>
      <c r="B174" t="s">
        <v>232</v>
      </c>
      <c r="C174">
        <v>0.01</v>
      </c>
      <c r="D174">
        <v>0</v>
      </c>
      <c r="E174">
        <v>0</v>
      </c>
      <c r="F174">
        <v>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">
      <c r="A175" t="s">
        <v>229</v>
      </c>
      <c r="B175" t="s">
        <v>233</v>
      </c>
      <c r="C175">
        <v>0.02</v>
      </c>
      <c r="D175">
        <v>0</v>
      </c>
      <c r="E175">
        <v>0</v>
      </c>
      <c r="F175">
        <v>4.5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">
      <c r="A176" t="s">
        <v>229</v>
      </c>
      <c r="B176" t="s">
        <v>234</v>
      </c>
      <c r="C176">
        <v>0.03</v>
      </c>
      <c r="D176">
        <v>0</v>
      </c>
      <c r="E176">
        <v>0</v>
      </c>
      <c r="F176">
        <v>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 t="s">
        <v>229</v>
      </c>
      <c r="B177" t="s">
        <v>235</v>
      </c>
      <c r="C177">
        <v>0.02</v>
      </c>
      <c r="D177">
        <v>0</v>
      </c>
      <c r="E177">
        <v>0</v>
      </c>
      <c r="F177">
        <v>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">
      <c r="A178" t="s">
        <v>229</v>
      </c>
      <c r="B178" t="s">
        <v>236</v>
      </c>
      <c r="C178">
        <v>0.16</v>
      </c>
      <c r="D178">
        <v>0</v>
      </c>
      <c r="E178">
        <v>3</v>
      </c>
      <c r="F178">
        <v>1.5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">
      <c r="A179" t="s">
        <v>229</v>
      </c>
      <c r="B179" t="s">
        <v>237</v>
      </c>
      <c r="C179">
        <v>0.02</v>
      </c>
      <c r="D179">
        <v>0</v>
      </c>
      <c r="E179">
        <v>0</v>
      </c>
      <c r="F179">
        <v>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">
      <c r="A180" t="s">
        <v>229</v>
      </c>
      <c r="B180" t="s">
        <v>238</v>
      </c>
      <c r="C180">
        <v>0.03</v>
      </c>
      <c r="D180">
        <v>0</v>
      </c>
      <c r="E180">
        <v>0</v>
      </c>
      <c r="F180">
        <v>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">
      <c r="A181" t="s">
        <v>229</v>
      </c>
      <c r="B181" t="s">
        <v>239</v>
      </c>
      <c r="C181">
        <v>21</v>
      </c>
      <c r="D181">
        <v>21</v>
      </c>
      <c r="E181">
        <v>0</v>
      </c>
      <c r="F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">
      <c r="A182" t="s">
        <v>229</v>
      </c>
      <c r="B182" t="s">
        <v>240</v>
      </c>
      <c r="C182">
        <v>0.02</v>
      </c>
      <c r="D182">
        <v>0</v>
      </c>
      <c r="E182">
        <v>0</v>
      </c>
      <c r="F182">
        <v>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">
      <c r="A183" t="s">
        <v>229</v>
      </c>
      <c r="B183" t="s">
        <v>241</v>
      </c>
      <c r="C183">
        <v>0.81</v>
      </c>
      <c r="D183">
        <v>0</v>
      </c>
      <c r="E183">
        <v>16</v>
      </c>
      <c r="F183">
        <v>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">
      <c r="A184" t="s">
        <v>229</v>
      </c>
      <c r="B184" t="s">
        <v>242</v>
      </c>
      <c r="C184">
        <v>0.1</v>
      </c>
      <c r="D184">
        <v>0</v>
      </c>
      <c r="E184">
        <v>2</v>
      </c>
      <c r="F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">
      <c r="A185" t="s">
        <v>229</v>
      </c>
      <c r="B185" t="s">
        <v>243</v>
      </c>
      <c r="C185">
        <v>3.43</v>
      </c>
      <c r="D185">
        <v>3</v>
      </c>
      <c r="E185">
        <v>8</v>
      </c>
      <c r="F185">
        <v>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">
      <c r="A186" t="s">
        <v>244</v>
      </c>
      <c r="B186" t="s">
        <v>245</v>
      </c>
      <c r="C186">
        <v>0.05</v>
      </c>
      <c r="D186">
        <v>0</v>
      </c>
      <c r="E186">
        <v>1</v>
      </c>
      <c r="F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">
      <c r="A187" t="s">
        <v>244</v>
      </c>
      <c r="B187" t="s">
        <v>246</v>
      </c>
      <c r="C187">
        <v>0.04</v>
      </c>
      <c r="D187">
        <v>0</v>
      </c>
      <c r="E187">
        <v>0</v>
      </c>
      <c r="F187">
        <v>9.25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">
      <c r="A188" t="s">
        <v>244</v>
      </c>
      <c r="B188" t="s">
        <v>247</v>
      </c>
      <c r="C188">
        <v>0.14000000000000001</v>
      </c>
      <c r="D188">
        <v>0</v>
      </c>
      <c r="E188">
        <v>2</v>
      </c>
      <c r="F188">
        <v>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">
      <c r="A189" t="s">
        <v>248</v>
      </c>
      <c r="B189" t="s">
        <v>249</v>
      </c>
      <c r="C189">
        <v>0.16</v>
      </c>
      <c r="D189">
        <v>0</v>
      </c>
      <c r="E189">
        <v>3</v>
      </c>
      <c r="F189">
        <v>1.5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">
      <c r="A190" t="s">
        <v>248</v>
      </c>
      <c r="B190" t="s">
        <v>250</v>
      </c>
      <c r="C190">
        <v>0.5</v>
      </c>
      <c r="D190">
        <v>0</v>
      </c>
      <c r="E190">
        <v>10</v>
      </c>
      <c r="F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">
      <c r="A191" t="s">
        <v>248</v>
      </c>
      <c r="B191" t="s">
        <v>251</v>
      </c>
      <c r="C191">
        <v>0.76</v>
      </c>
      <c r="D191">
        <v>0</v>
      </c>
      <c r="E191">
        <v>15</v>
      </c>
      <c r="F191">
        <v>1.5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">
      <c r="A192" t="s">
        <v>252</v>
      </c>
      <c r="B192" t="s">
        <v>253</v>
      </c>
      <c r="C192">
        <v>0.78</v>
      </c>
      <c r="D192">
        <v>0</v>
      </c>
      <c r="E192">
        <v>15</v>
      </c>
      <c r="F192">
        <v>7</v>
      </c>
      <c r="G192" t="s">
        <v>254</v>
      </c>
      <c r="H192">
        <v>68</v>
      </c>
      <c r="I192">
        <v>0</v>
      </c>
      <c r="J192">
        <v>68</v>
      </c>
      <c r="K192">
        <v>68</v>
      </c>
      <c r="L192">
        <v>0</v>
      </c>
      <c r="M192">
        <v>68</v>
      </c>
      <c r="N192">
        <v>0</v>
      </c>
    </row>
    <row r="193" spans="1:18" x14ac:dyDescent="0.2">
      <c r="A193" t="s">
        <v>252</v>
      </c>
      <c r="B193" t="s">
        <v>184</v>
      </c>
      <c r="C193">
        <v>0</v>
      </c>
      <c r="D193">
        <v>0</v>
      </c>
      <c r="E193">
        <v>0</v>
      </c>
      <c r="F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8" x14ac:dyDescent="0.2">
      <c r="A194" t="s">
        <v>252</v>
      </c>
      <c r="B194" t="s">
        <v>255</v>
      </c>
      <c r="C194">
        <v>0.48</v>
      </c>
      <c r="D194">
        <v>0</v>
      </c>
      <c r="E194">
        <v>9</v>
      </c>
      <c r="F194">
        <v>7.5</v>
      </c>
      <c r="G194" t="s">
        <v>256</v>
      </c>
      <c r="H194">
        <v>11</v>
      </c>
      <c r="I194">
        <v>2</v>
      </c>
      <c r="J194">
        <v>11.25</v>
      </c>
      <c r="K194">
        <v>55.25</v>
      </c>
      <c r="L194">
        <v>-44</v>
      </c>
      <c r="M194">
        <v>55</v>
      </c>
      <c r="N194">
        <v>2</v>
      </c>
      <c r="O194">
        <v>4</v>
      </c>
      <c r="P194">
        <v>0</v>
      </c>
      <c r="Q194">
        <v>7</v>
      </c>
      <c r="R194">
        <v>0</v>
      </c>
    </row>
    <row r="195" spans="1:18" x14ac:dyDescent="0.2">
      <c r="A195" t="s">
        <v>252</v>
      </c>
      <c r="B195" t="s">
        <v>184</v>
      </c>
      <c r="C195">
        <v>0</v>
      </c>
      <c r="D195">
        <v>0</v>
      </c>
      <c r="E195">
        <v>0</v>
      </c>
      <c r="F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8" x14ac:dyDescent="0.2">
      <c r="A196" t="s">
        <v>252</v>
      </c>
      <c r="B196" t="s">
        <v>257</v>
      </c>
      <c r="C196">
        <v>0.16</v>
      </c>
      <c r="D196">
        <v>0</v>
      </c>
      <c r="E196">
        <v>3</v>
      </c>
      <c r="F196">
        <v>2.5</v>
      </c>
      <c r="G196" t="s">
        <v>148</v>
      </c>
      <c r="H196">
        <v>2</v>
      </c>
      <c r="I196">
        <v>0</v>
      </c>
      <c r="J196">
        <v>2</v>
      </c>
      <c r="K196">
        <v>44</v>
      </c>
      <c r="L196">
        <v>-42</v>
      </c>
      <c r="M196">
        <v>44</v>
      </c>
      <c r="N196">
        <v>0</v>
      </c>
      <c r="O196">
        <v>2</v>
      </c>
      <c r="P196">
        <v>0</v>
      </c>
    </row>
    <row r="197" spans="1:18" x14ac:dyDescent="0.2">
      <c r="A197" t="s">
        <v>252</v>
      </c>
      <c r="B197" t="s">
        <v>184</v>
      </c>
      <c r="C197">
        <v>0</v>
      </c>
      <c r="D197">
        <v>0</v>
      </c>
      <c r="E197">
        <v>0</v>
      </c>
      <c r="F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8" x14ac:dyDescent="0.2">
      <c r="A198" t="s">
        <v>252</v>
      </c>
      <c r="B198" t="s">
        <v>258</v>
      </c>
      <c r="C198">
        <v>1.55</v>
      </c>
      <c r="D198">
        <v>1</v>
      </c>
      <c r="E198">
        <v>10</v>
      </c>
      <c r="F198">
        <v>11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8" x14ac:dyDescent="0.2">
      <c r="A199" t="s">
        <v>259</v>
      </c>
      <c r="B199" t="s">
        <v>260</v>
      </c>
      <c r="C199">
        <v>1.98</v>
      </c>
      <c r="D199">
        <v>1</v>
      </c>
      <c r="E199">
        <v>19</v>
      </c>
      <c r="F199">
        <v>8</v>
      </c>
      <c r="G199" t="s">
        <v>261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8" x14ac:dyDescent="0.2">
      <c r="A200" t="s">
        <v>259</v>
      </c>
      <c r="B200" t="s">
        <v>262</v>
      </c>
      <c r="C200">
        <v>0.6</v>
      </c>
      <c r="D200">
        <v>0</v>
      </c>
      <c r="E200">
        <v>12</v>
      </c>
      <c r="F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8" x14ac:dyDescent="0.2">
      <c r="A201" t="s">
        <v>259</v>
      </c>
      <c r="B201" t="s">
        <v>263</v>
      </c>
      <c r="C201">
        <v>2.67</v>
      </c>
      <c r="D201">
        <v>2</v>
      </c>
      <c r="E201">
        <v>13</v>
      </c>
      <c r="F201">
        <v>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8" x14ac:dyDescent="0.2">
      <c r="A202" t="s">
        <v>264</v>
      </c>
      <c r="B202" t="s">
        <v>265</v>
      </c>
      <c r="C202">
        <v>0.03</v>
      </c>
      <c r="D202">
        <v>0</v>
      </c>
      <c r="E202">
        <v>0</v>
      </c>
      <c r="F202">
        <v>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8" x14ac:dyDescent="0.2">
      <c r="A203" t="s">
        <v>266</v>
      </c>
      <c r="B203" t="s">
        <v>267</v>
      </c>
      <c r="C203">
        <v>0.48</v>
      </c>
      <c r="D203">
        <v>0</v>
      </c>
      <c r="E203">
        <v>9</v>
      </c>
      <c r="F203">
        <v>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8" x14ac:dyDescent="0.2">
      <c r="A204" t="s">
        <v>268</v>
      </c>
      <c r="B204" t="s">
        <v>269</v>
      </c>
      <c r="C204">
        <v>1.9</v>
      </c>
      <c r="D204">
        <v>1</v>
      </c>
      <c r="E204">
        <v>18</v>
      </c>
      <c r="F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8" x14ac:dyDescent="0.2">
      <c r="A205" t="s">
        <v>268</v>
      </c>
      <c r="B205" t="s">
        <v>270</v>
      </c>
      <c r="C205">
        <v>2.2799999999999998</v>
      </c>
      <c r="D205">
        <v>2</v>
      </c>
      <c r="E205">
        <v>5</v>
      </c>
      <c r="F205">
        <v>7.5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8" x14ac:dyDescent="0.2">
      <c r="A206" t="s">
        <v>268</v>
      </c>
      <c r="B206" t="s">
        <v>271</v>
      </c>
      <c r="C206">
        <v>4.18</v>
      </c>
      <c r="D206">
        <v>4</v>
      </c>
      <c r="E206">
        <v>3</v>
      </c>
      <c r="F206">
        <v>7.5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8" x14ac:dyDescent="0.2">
      <c r="A207" t="s">
        <v>272</v>
      </c>
      <c r="B207" t="s">
        <v>273</v>
      </c>
      <c r="C207">
        <v>13.73</v>
      </c>
      <c r="D207">
        <v>13</v>
      </c>
      <c r="E207">
        <v>14</v>
      </c>
      <c r="F207">
        <v>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8" x14ac:dyDescent="0.2">
      <c r="A208" t="s">
        <v>274</v>
      </c>
      <c r="B208" t="s">
        <v>275</v>
      </c>
      <c r="C208">
        <v>34.979999999999997</v>
      </c>
      <c r="D208">
        <v>34</v>
      </c>
      <c r="E208">
        <v>19</v>
      </c>
      <c r="F208">
        <v>7.25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8" x14ac:dyDescent="0.2">
      <c r="A209" t="s">
        <v>276</v>
      </c>
      <c r="B209" t="s">
        <v>277</v>
      </c>
      <c r="C209">
        <v>72</v>
      </c>
      <c r="D209">
        <v>72</v>
      </c>
      <c r="E209">
        <v>0</v>
      </c>
      <c r="F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8" x14ac:dyDescent="0.2">
      <c r="A210" t="s">
        <v>278</v>
      </c>
      <c r="B210" t="s">
        <v>279</v>
      </c>
      <c r="C210">
        <v>72</v>
      </c>
      <c r="D210">
        <v>72</v>
      </c>
      <c r="E210">
        <v>0</v>
      </c>
      <c r="F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8" x14ac:dyDescent="0.2">
      <c r="A211" t="s">
        <v>280</v>
      </c>
      <c r="B211" t="s">
        <v>281</v>
      </c>
      <c r="C211">
        <v>0</v>
      </c>
      <c r="D211">
        <v>0</v>
      </c>
      <c r="E211">
        <v>0</v>
      </c>
      <c r="F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8" x14ac:dyDescent="0.2">
      <c r="A212" t="s">
        <v>282</v>
      </c>
      <c r="B212" t="s">
        <v>283</v>
      </c>
      <c r="C212">
        <v>0</v>
      </c>
      <c r="D212">
        <v>0</v>
      </c>
      <c r="E212">
        <v>0</v>
      </c>
      <c r="F212">
        <v>0</v>
      </c>
      <c r="H212">
        <v>5</v>
      </c>
      <c r="I212">
        <v>0</v>
      </c>
      <c r="J212">
        <v>5</v>
      </c>
      <c r="K212">
        <v>5</v>
      </c>
      <c r="L212">
        <v>0</v>
      </c>
      <c r="M212">
        <v>5</v>
      </c>
      <c r="N212">
        <v>0</v>
      </c>
    </row>
    <row r="213" spans="1:18" x14ac:dyDescent="0.2">
      <c r="A213" t="s">
        <v>282</v>
      </c>
      <c r="B213" t="s">
        <v>284</v>
      </c>
      <c r="C213">
        <v>0</v>
      </c>
      <c r="D213">
        <v>0</v>
      </c>
      <c r="E213">
        <v>0</v>
      </c>
      <c r="F213">
        <v>0</v>
      </c>
      <c r="G213" t="s">
        <v>142</v>
      </c>
      <c r="H213">
        <v>71</v>
      </c>
      <c r="I213">
        <v>6</v>
      </c>
      <c r="J213">
        <v>71.75</v>
      </c>
      <c r="K213">
        <v>71.75</v>
      </c>
      <c r="L213">
        <v>0</v>
      </c>
      <c r="M213">
        <v>71</v>
      </c>
      <c r="N213">
        <v>6</v>
      </c>
    </row>
    <row r="214" spans="1:18" x14ac:dyDescent="0.2">
      <c r="A214" t="s">
        <v>282</v>
      </c>
      <c r="B214" t="s">
        <v>285</v>
      </c>
      <c r="C214">
        <v>0</v>
      </c>
      <c r="D214">
        <v>0</v>
      </c>
      <c r="E214">
        <v>0</v>
      </c>
      <c r="F214">
        <v>0</v>
      </c>
      <c r="H214">
        <v>1.5</v>
      </c>
      <c r="I214">
        <v>0</v>
      </c>
      <c r="J214">
        <v>1.5</v>
      </c>
      <c r="K214">
        <v>1.5</v>
      </c>
      <c r="L214">
        <v>0</v>
      </c>
      <c r="M214">
        <v>1.5</v>
      </c>
      <c r="N214">
        <v>0</v>
      </c>
    </row>
    <row r="215" spans="1:18" x14ac:dyDescent="0.2">
      <c r="A215" t="s">
        <v>282</v>
      </c>
      <c r="B215" t="s">
        <v>286</v>
      </c>
      <c r="C215">
        <v>0</v>
      </c>
      <c r="D215">
        <v>0</v>
      </c>
      <c r="E215">
        <v>0</v>
      </c>
      <c r="F215">
        <v>0</v>
      </c>
      <c r="H215">
        <v>73</v>
      </c>
      <c r="I215">
        <v>2</v>
      </c>
      <c r="J215">
        <v>73.25</v>
      </c>
      <c r="K215">
        <v>73.25</v>
      </c>
      <c r="L215">
        <v>0</v>
      </c>
      <c r="M215">
        <v>73</v>
      </c>
      <c r="N215">
        <v>2</v>
      </c>
    </row>
    <row r="216" spans="1:18" x14ac:dyDescent="0.2">
      <c r="A216" t="s">
        <v>282</v>
      </c>
      <c r="B216" t="s">
        <v>287</v>
      </c>
      <c r="C216">
        <v>0</v>
      </c>
      <c r="D216">
        <v>0</v>
      </c>
      <c r="E216">
        <v>0</v>
      </c>
      <c r="F216">
        <v>0</v>
      </c>
      <c r="H216">
        <v>23</v>
      </c>
      <c r="I216">
        <v>3.5</v>
      </c>
      <c r="J216">
        <v>23.4375</v>
      </c>
      <c r="K216">
        <v>23.4375</v>
      </c>
      <c r="L216">
        <v>0</v>
      </c>
      <c r="M216">
        <v>23</v>
      </c>
      <c r="N216">
        <v>3.5</v>
      </c>
    </row>
    <row r="217" spans="1:18" x14ac:dyDescent="0.2">
      <c r="A217" t="s">
        <v>282</v>
      </c>
      <c r="B217" t="s">
        <v>288</v>
      </c>
      <c r="C217">
        <v>0</v>
      </c>
      <c r="D217">
        <v>0</v>
      </c>
      <c r="E217">
        <v>0</v>
      </c>
      <c r="F217">
        <v>0</v>
      </c>
      <c r="H217">
        <v>0</v>
      </c>
      <c r="I217">
        <v>2.5</v>
      </c>
      <c r="J217">
        <v>0.3125</v>
      </c>
      <c r="K217">
        <v>0.3125</v>
      </c>
      <c r="L217">
        <v>0</v>
      </c>
      <c r="M217">
        <v>0</v>
      </c>
      <c r="N217">
        <v>2.5</v>
      </c>
    </row>
    <row r="218" spans="1:18" x14ac:dyDescent="0.2">
      <c r="A218" t="s">
        <v>282</v>
      </c>
      <c r="B218" t="s">
        <v>184</v>
      </c>
      <c r="C218">
        <v>0</v>
      </c>
      <c r="D218">
        <v>0</v>
      </c>
      <c r="E218">
        <v>0</v>
      </c>
      <c r="F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8" x14ac:dyDescent="0.2">
      <c r="A219" t="s">
        <v>282</v>
      </c>
      <c r="B219" t="s">
        <v>289</v>
      </c>
      <c r="C219">
        <v>0</v>
      </c>
      <c r="D219">
        <v>0</v>
      </c>
      <c r="E219">
        <v>0</v>
      </c>
      <c r="F219">
        <v>0</v>
      </c>
      <c r="H219">
        <v>0</v>
      </c>
      <c r="I219">
        <v>6</v>
      </c>
      <c r="J219">
        <v>0.75</v>
      </c>
      <c r="K219">
        <v>0.75</v>
      </c>
      <c r="L219">
        <v>0</v>
      </c>
      <c r="M219">
        <v>0</v>
      </c>
      <c r="N219">
        <v>6</v>
      </c>
    </row>
    <row r="220" spans="1:18" x14ac:dyDescent="0.2">
      <c r="A220" t="s">
        <v>282</v>
      </c>
      <c r="B220" t="s">
        <v>290</v>
      </c>
      <c r="C220">
        <v>0</v>
      </c>
      <c r="D220">
        <v>0</v>
      </c>
      <c r="E220">
        <v>0</v>
      </c>
      <c r="F220">
        <v>0</v>
      </c>
      <c r="H220">
        <v>45</v>
      </c>
      <c r="I220">
        <v>10.5</v>
      </c>
      <c r="J220">
        <v>46.3125</v>
      </c>
      <c r="K220">
        <v>2.75</v>
      </c>
      <c r="L220">
        <v>43.5625</v>
      </c>
      <c r="M220">
        <v>2</v>
      </c>
      <c r="N220">
        <v>6</v>
      </c>
      <c r="O220">
        <v>45</v>
      </c>
      <c r="P220">
        <v>6</v>
      </c>
      <c r="Q220">
        <v>0</v>
      </c>
      <c r="R220">
        <v>4.5</v>
      </c>
    </row>
    <row r="221" spans="1:18" x14ac:dyDescent="0.2">
      <c r="A221" t="s">
        <v>291</v>
      </c>
      <c r="B221" t="s">
        <v>292</v>
      </c>
      <c r="C221">
        <v>0</v>
      </c>
      <c r="D221">
        <v>0</v>
      </c>
      <c r="E221">
        <v>0</v>
      </c>
      <c r="F221">
        <v>0</v>
      </c>
      <c r="G221" t="s">
        <v>144</v>
      </c>
      <c r="H221">
        <v>13</v>
      </c>
      <c r="I221">
        <v>1</v>
      </c>
      <c r="J221">
        <v>13.125</v>
      </c>
      <c r="K221">
        <v>13.125</v>
      </c>
      <c r="L221">
        <v>0</v>
      </c>
      <c r="M221">
        <v>13</v>
      </c>
      <c r="N221">
        <v>1</v>
      </c>
    </row>
    <row r="222" spans="1:18" x14ac:dyDescent="0.2">
      <c r="A222" t="s">
        <v>291</v>
      </c>
      <c r="B222" t="s">
        <v>293</v>
      </c>
      <c r="C222">
        <v>0</v>
      </c>
      <c r="D222">
        <v>0</v>
      </c>
      <c r="E222">
        <v>0</v>
      </c>
      <c r="F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8" x14ac:dyDescent="0.2">
      <c r="A223" t="s">
        <v>294</v>
      </c>
      <c r="B223" t="s">
        <v>295</v>
      </c>
      <c r="C223">
        <v>0</v>
      </c>
      <c r="D223">
        <v>0</v>
      </c>
      <c r="E223">
        <v>0</v>
      </c>
      <c r="F223">
        <v>0</v>
      </c>
      <c r="H223">
        <v>3</v>
      </c>
      <c r="I223">
        <v>2</v>
      </c>
      <c r="J223">
        <v>3.25</v>
      </c>
      <c r="K223">
        <v>3.25</v>
      </c>
      <c r="L223">
        <v>0</v>
      </c>
      <c r="M223">
        <v>3</v>
      </c>
      <c r="N223">
        <v>2</v>
      </c>
    </row>
    <row r="224" spans="1:18" x14ac:dyDescent="0.2">
      <c r="A224" t="s">
        <v>294</v>
      </c>
      <c r="B224" t="s">
        <v>296</v>
      </c>
      <c r="C224">
        <v>0</v>
      </c>
      <c r="D224">
        <v>0</v>
      </c>
      <c r="E224">
        <v>0</v>
      </c>
      <c r="F224">
        <v>0</v>
      </c>
      <c r="G224" t="s">
        <v>146</v>
      </c>
      <c r="H224">
        <v>69</v>
      </c>
      <c r="I224">
        <v>2</v>
      </c>
      <c r="J224">
        <v>69.25</v>
      </c>
      <c r="K224">
        <v>69.25</v>
      </c>
      <c r="L224">
        <v>0</v>
      </c>
      <c r="M224">
        <v>69</v>
      </c>
      <c r="N224">
        <v>2</v>
      </c>
    </row>
    <row r="225" spans="1:18" x14ac:dyDescent="0.2">
      <c r="A225" t="s">
        <v>294</v>
      </c>
      <c r="B225" t="s">
        <v>297</v>
      </c>
      <c r="C225">
        <v>0</v>
      </c>
      <c r="D225">
        <v>0</v>
      </c>
      <c r="E225">
        <v>0</v>
      </c>
      <c r="F225">
        <v>0</v>
      </c>
      <c r="H225">
        <v>6</v>
      </c>
      <c r="I225">
        <v>5</v>
      </c>
      <c r="J225">
        <v>6.625</v>
      </c>
      <c r="K225">
        <v>6.625</v>
      </c>
      <c r="L225">
        <v>0</v>
      </c>
      <c r="M225">
        <v>6</v>
      </c>
      <c r="N225">
        <v>5</v>
      </c>
    </row>
    <row r="226" spans="1:18" x14ac:dyDescent="0.2">
      <c r="A226" t="s">
        <v>294</v>
      </c>
      <c r="B226" t="s">
        <v>298</v>
      </c>
      <c r="C226">
        <v>0</v>
      </c>
      <c r="D226">
        <v>0</v>
      </c>
      <c r="E226">
        <v>0</v>
      </c>
      <c r="F226">
        <v>0</v>
      </c>
      <c r="H226">
        <v>75</v>
      </c>
      <c r="I226">
        <v>7</v>
      </c>
      <c r="J226">
        <v>75.875</v>
      </c>
      <c r="K226">
        <v>75.875</v>
      </c>
      <c r="L226">
        <v>0</v>
      </c>
      <c r="M226">
        <v>75</v>
      </c>
      <c r="N226">
        <v>7</v>
      </c>
    </row>
    <row r="227" spans="1:18" x14ac:dyDescent="0.2">
      <c r="A227" t="s">
        <v>294</v>
      </c>
      <c r="B227" t="s">
        <v>299</v>
      </c>
      <c r="C227">
        <v>0</v>
      </c>
      <c r="D227">
        <v>0</v>
      </c>
      <c r="E227">
        <v>0</v>
      </c>
      <c r="F227">
        <v>0</v>
      </c>
      <c r="H227">
        <v>20.5</v>
      </c>
      <c r="I227">
        <v>0</v>
      </c>
      <c r="J227">
        <v>20.5</v>
      </c>
      <c r="K227">
        <v>20.5</v>
      </c>
      <c r="L227">
        <v>0</v>
      </c>
      <c r="M227">
        <v>20.5</v>
      </c>
      <c r="N227">
        <v>0</v>
      </c>
    </row>
    <row r="228" spans="1:18" x14ac:dyDescent="0.2">
      <c r="A228" t="s">
        <v>294</v>
      </c>
      <c r="B228" t="s">
        <v>300</v>
      </c>
      <c r="C228">
        <v>0</v>
      </c>
      <c r="D228">
        <v>0</v>
      </c>
      <c r="E228">
        <v>0</v>
      </c>
      <c r="F228">
        <v>0</v>
      </c>
      <c r="H228">
        <v>0</v>
      </c>
      <c r="I228">
        <v>2</v>
      </c>
      <c r="J228">
        <v>0.25</v>
      </c>
      <c r="K228">
        <v>0.625</v>
      </c>
      <c r="L228">
        <v>-0.375</v>
      </c>
      <c r="M228">
        <v>0</v>
      </c>
      <c r="N228">
        <v>5</v>
      </c>
      <c r="O228">
        <v>0</v>
      </c>
      <c r="P228">
        <v>2</v>
      </c>
    </row>
    <row r="229" spans="1:18" x14ac:dyDescent="0.2">
      <c r="A229" t="s">
        <v>294</v>
      </c>
      <c r="B229" t="s">
        <v>301</v>
      </c>
      <c r="C229">
        <v>0</v>
      </c>
      <c r="D229">
        <v>0</v>
      </c>
      <c r="E229">
        <v>0</v>
      </c>
      <c r="F229">
        <v>0</v>
      </c>
      <c r="H229">
        <v>1</v>
      </c>
      <c r="I229">
        <v>0</v>
      </c>
      <c r="J229">
        <v>1</v>
      </c>
      <c r="K229">
        <v>1</v>
      </c>
      <c r="L229">
        <v>0</v>
      </c>
      <c r="M229">
        <v>1</v>
      </c>
      <c r="N229">
        <v>0</v>
      </c>
    </row>
    <row r="230" spans="1:18" x14ac:dyDescent="0.2">
      <c r="A230" t="s">
        <v>294</v>
      </c>
      <c r="B230" t="s">
        <v>184</v>
      </c>
      <c r="C230">
        <v>0</v>
      </c>
      <c r="D230">
        <v>0</v>
      </c>
      <c r="E230">
        <v>0</v>
      </c>
      <c r="F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8" x14ac:dyDescent="0.2">
      <c r="A231" t="s">
        <v>294</v>
      </c>
      <c r="B231" t="s">
        <v>302</v>
      </c>
      <c r="C231">
        <v>0</v>
      </c>
      <c r="D231">
        <v>0</v>
      </c>
      <c r="E231">
        <v>0</v>
      </c>
      <c r="F231">
        <v>0</v>
      </c>
      <c r="H231">
        <v>6.5</v>
      </c>
      <c r="I231">
        <v>4</v>
      </c>
      <c r="J231">
        <v>7</v>
      </c>
      <c r="K231">
        <v>0.5</v>
      </c>
      <c r="L231">
        <v>6.5</v>
      </c>
      <c r="M231">
        <v>0</v>
      </c>
      <c r="N231">
        <v>4</v>
      </c>
      <c r="O231">
        <v>6.5</v>
      </c>
      <c r="P231">
        <v>0</v>
      </c>
    </row>
    <row r="232" spans="1:18" x14ac:dyDescent="0.2">
      <c r="A232" t="s">
        <v>294</v>
      </c>
      <c r="B232" t="s">
        <v>303</v>
      </c>
      <c r="C232">
        <v>0</v>
      </c>
      <c r="D232">
        <v>0</v>
      </c>
      <c r="E232">
        <v>0</v>
      </c>
      <c r="F232">
        <v>0</v>
      </c>
      <c r="H232">
        <v>19.5</v>
      </c>
      <c r="I232">
        <v>0</v>
      </c>
      <c r="J232">
        <v>19.5</v>
      </c>
      <c r="K232">
        <v>19.5</v>
      </c>
      <c r="L232">
        <v>0</v>
      </c>
      <c r="M232">
        <v>19.5</v>
      </c>
      <c r="N232">
        <v>0</v>
      </c>
    </row>
    <row r="233" spans="1:18" x14ac:dyDescent="0.2">
      <c r="A233" t="s">
        <v>294</v>
      </c>
      <c r="B233" t="s">
        <v>304</v>
      </c>
      <c r="C233">
        <v>0</v>
      </c>
      <c r="D233">
        <v>0</v>
      </c>
      <c r="E233">
        <v>0</v>
      </c>
      <c r="F233">
        <v>0</v>
      </c>
      <c r="H233">
        <v>2</v>
      </c>
      <c r="I233">
        <v>6.5</v>
      </c>
      <c r="J233">
        <v>2.8125</v>
      </c>
      <c r="K233">
        <v>2.8125</v>
      </c>
      <c r="L233">
        <v>0</v>
      </c>
      <c r="M233">
        <v>2</v>
      </c>
      <c r="N233">
        <v>6.5</v>
      </c>
    </row>
    <row r="234" spans="1:18" x14ac:dyDescent="0.2">
      <c r="A234" t="s">
        <v>294</v>
      </c>
      <c r="B234" t="s">
        <v>305</v>
      </c>
      <c r="C234">
        <v>0</v>
      </c>
      <c r="D234">
        <v>0</v>
      </c>
      <c r="E234">
        <v>0</v>
      </c>
      <c r="F234">
        <v>0</v>
      </c>
      <c r="H234">
        <v>23</v>
      </c>
      <c r="I234">
        <v>7.5</v>
      </c>
      <c r="J234">
        <v>23.9375</v>
      </c>
      <c r="K234">
        <v>1.125</v>
      </c>
      <c r="L234">
        <v>22.8125</v>
      </c>
      <c r="M234">
        <v>1</v>
      </c>
      <c r="N234">
        <v>1</v>
      </c>
      <c r="O234">
        <v>23</v>
      </c>
      <c r="P234">
        <v>2</v>
      </c>
      <c r="Q234">
        <v>0</v>
      </c>
      <c r="R234">
        <v>5.5</v>
      </c>
    </row>
    <row r="235" spans="1:18" x14ac:dyDescent="0.2">
      <c r="A235" t="s">
        <v>306</v>
      </c>
      <c r="B235" t="s">
        <v>307</v>
      </c>
      <c r="C235">
        <v>0</v>
      </c>
      <c r="D235">
        <v>0</v>
      </c>
      <c r="E235">
        <v>0</v>
      </c>
      <c r="F235">
        <v>0</v>
      </c>
      <c r="H235">
        <v>0</v>
      </c>
      <c r="I235">
        <v>7</v>
      </c>
      <c r="J235">
        <v>0.875</v>
      </c>
      <c r="K235">
        <v>0.875</v>
      </c>
      <c r="L235">
        <v>0</v>
      </c>
      <c r="M235">
        <v>0</v>
      </c>
      <c r="N235">
        <v>7</v>
      </c>
    </row>
    <row r="236" spans="1:18" x14ac:dyDescent="0.2">
      <c r="A236" t="s">
        <v>306</v>
      </c>
      <c r="B236" t="s">
        <v>308</v>
      </c>
      <c r="C236">
        <v>0</v>
      </c>
      <c r="D236">
        <v>0</v>
      </c>
      <c r="E236">
        <v>0</v>
      </c>
      <c r="F236">
        <v>0</v>
      </c>
      <c r="G236" t="s">
        <v>148</v>
      </c>
      <c r="H236">
        <v>160</v>
      </c>
      <c r="I236">
        <v>7</v>
      </c>
      <c r="J236">
        <v>160.875</v>
      </c>
      <c r="K236">
        <v>160.875</v>
      </c>
      <c r="L236">
        <v>0</v>
      </c>
      <c r="M236">
        <v>160</v>
      </c>
      <c r="N236">
        <v>7</v>
      </c>
    </row>
    <row r="237" spans="1:18" x14ac:dyDescent="0.2">
      <c r="A237" t="s">
        <v>306</v>
      </c>
      <c r="B237" t="s">
        <v>309</v>
      </c>
      <c r="C237">
        <v>0</v>
      </c>
      <c r="D237">
        <v>0</v>
      </c>
      <c r="E237">
        <v>0</v>
      </c>
      <c r="F237">
        <v>0</v>
      </c>
      <c r="H237">
        <v>18</v>
      </c>
      <c r="I237">
        <v>0</v>
      </c>
      <c r="J237">
        <v>18</v>
      </c>
      <c r="K237">
        <v>18</v>
      </c>
      <c r="L237">
        <v>0</v>
      </c>
      <c r="M237">
        <v>18</v>
      </c>
      <c r="N237">
        <v>0</v>
      </c>
    </row>
    <row r="238" spans="1:18" x14ac:dyDescent="0.2">
      <c r="A238" t="s">
        <v>306</v>
      </c>
      <c r="B238" t="s">
        <v>310</v>
      </c>
      <c r="C238">
        <v>0</v>
      </c>
      <c r="D238">
        <v>0</v>
      </c>
      <c r="E238">
        <v>0</v>
      </c>
      <c r="F238">
        <v>0</v>
      </c>
      <c r="H238">
        <v>178</v>
      </c>
      <c r="I238">
        <v>7</v>
      </c>
      <c r="J238">
        <v>178.875</v>
      </c>
      <c r="K238">
        <v>178.875</v>
      </c>
      <c r="L238">
        <v>0</v>
      </c>
      <c r="M238">
        <v>178</v>
      </c>
      <c r="N238">
        <v>7</v>
      </c>
    </row>
    <row r="239" spans="1:18" x14ac:dyDescent="0.2">
      <c r="A239" t="s">
        <v>306</v>
      </c>
      <c r="B239" t="s">
        <v>311</v>
      </c>
      <c r="C239">
        <v>0</v>
      </c>
      <c r="D239">
        <v>0</v>
      </c>
      <c r="E239">
        <v>0</v>
      </c>
      <c r="F239">
        <v>0</v>
      </c>
      <c r="H239">
        <v>82</v>
      </c>
      <c r="I239">
        <v>0</v>
      </c>
      <c r="J239">
        <v>82</v>
      </c>
      <c r="K239">
        <v>82</v>
      </c>
      <c r="L239">
        <v>0</v>
      </c>
      <c r="M239">
        <v>82</v>
      </c>
      <c r="N239">
        <v>0</v>
      </c>
    </row>
    <row r="240" spans="1:18" x14ac:dyDescent="0.2">
      <c r="A240" t="s">
        <v>306</v>
      </c>
      <c r="B240" t="s">
        <v>312</v>
      </c>
      <c r="C240">
        <v>0</v>
      </c>
      <c r="D240">
        <v>0</v>
      </c>
      <c r="E240">
        <v>0</v>
      </c>
      <c r="F240">
        <v>0</v>
      </c>
      <c r="H240">
        <v>0</v>
      </c>
      <c r="I240">
        <v>5</v>
      </c>
      <c r="J240">
        <v>0.625</v>
      </c>
      <c r="K240">
        <v>0.625</v>
      </c>
      <c r="L240">
        <v>0</v>
      </c>
      <c r="M240">
        <v>0</v>
      </c>
      <c r="N240">
        <v>5</v>
      </c>
    </row>
    <row r="241" spans="1:18" x14ac:dyDescent="0.2">
      <c r="A241" t="s">
        <v>306</v>
      </c>
      <c r="B241" t="s">
        <v>184</v>
      </c>
      <c r="C241">
        <v>0</v>
      </c>
      <c r="D241">
        <v>0</v>
      </c>
      <c r="E241">
        <v>0</v>
      </c>
      <c r="F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8" x14ac:dyDescent="0.2">
      <c r="A242" t="s">
        <v>306</v>
      </c>
      <c r="B242" t="s">
        <v>313</v>
      </c>
      <c r="C242">
        <v>0</v>
      </c>
      <c r="D242">
        <v>0</v>
      </c>
      <c r="E242">
        <v>0</v>
      </c>
      <c r="F242">
        <v>0</v>
      </c>
      <c r="H242">
        <v>19.5</v>
      </c>
      <c r="I242">
        <v>0</v>
      </c>
      <c r="J242">
        <v>19.5</v>
      </c>
      <c r="K242">
        <v>19.5</v>
      </c>
      <c r="L242">
        <v>0</v>
      </c>
      <c r="M242">
        <v>19.5</v>
      </c>
      <c r="N242">
        <v>0</v>
      </c>
    </row>
    <row r="243" spans="1:18" x14ac:dyDescent="0.2">
      <c r="A243" t="s">
        <v>306</v>
      </c>
      <c r="B243" t="s">
        <v>184</v>
      </c>
      <c r="C243">
        <v>0</v>
      </c>
      <c r="D243">
        <v>0</v>
      </c>
      <c r="E243">
        <v>0</v>
      </c>
      <c r="F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8" x14ac:dyDescent="0.2">
      <c r="A244" t="s">
        <v>306</v>
      </c>
      <c r="B244" t="s">
        <v>314</v>
      </c>
      <c r="C244">
        <v>0</v>
      </c>
      <c r="D244">
        <v>0</v>
      </c>
      <c r="E244">
        <v>0</v>
      </c>
      <c r="F244">
        <v>0</v>
      </c>
      <c r="H244">
        <v>16</v>
      </c>
      <c r="I244">
        <v>1</v>
      </c>
      <c r="J244">
        <v>16.125</v>
      </c>
      <c r="K244">
        <v>16</v>
      </c>
      <c r="L244">
        <v>0.125</v>
      </c>
      <c r="M244">
        <v>16</v>
      </c>
      <c r="N244">
        <v>0</v>
      </c>
      <c r="O244">
        <v>0</v>
      </c>
      <c r="P244">
        <v>1</v>
      </c>
    </row>
    <row r="245" spans="1:18" x14ac:dyDescent="0.2">
      <c r="A245" t="s">
        <v>306</v>
      </c>
      <c r="B245" t="s">
        <v>184</v>
      </c>
      <c r="C245">
        <v>0</v>
      </c>
      <c r="D245">
        <v>0</v>
      </c>
      <c r="E245">
        <v>0</v>
      </c>
      <c r="F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8" x14ac:dyDescent="0.2">
      <c r="A246" t="s">
        <v>306</v>
      </c>
      <c r="B246" t="s">
        <v>315</v>
      </c>
      <c r="C246">
        <v>0</v>
      </c>
      <c r="D246">
        <v>0</v>
      </c>
      <c r="E246">
        <v>0</v>
      </c>
      <c r="F246">
        <v>0</v>
      </c>
      <c r="H246">
        <v>6</v>
      </c>
      <c r="I246">
        <v>0</v>
      </c>
      <c r="J246">
        <v>6</v>
      </c>
      <c r="K246">
        <v>6</v>
      </c>
      <c r="L246">
        <v>0</v>
      </c>
      <c r="M246">
        <v>6</v>
      </c>
      <c r="N246">
        <v>0</v>
      </c>
    </row>
    <row r="247" spans="1:18" x14ac:dyDescent="0.2">
      <c r="A247" t="s">
        <v>306</v>
      </c>
      <c r="B247" t="s">
        <v>316</v>
      </c>
      <c r="C247">
        <v>0</v>
      </c>
      <c r="D247">
        <v>0</v>
      </c>
      <c r="E247">
        <v>0</v>
      </c>
      <c r="F247">
        <v>0</v>
      </c>
      <c r="H247">
        <v>18</v>
      </c>
      <c r="I247">
        <v>0</v>
      </c>
      <c r="J247">
        <v>18</v>
      </c>
      <c r="K247">
        <v>18</v>
      </c>
      <c r="L247">
        <v>0</v>
      </c>
      <c r="M247">
        <v>18</v>
      </c>
      <c r="N247">
        <v>0</v>
      </c>
    </row>
    <row r="248" spans="1:18" x14ac:dyDescent="0.2">
      <c r="A248" t="s">
        <v>306</v>
      </c>
      <c r="B248" t="s">
        <v>184</v>
      </c>
      <c r="C248">
        <v>0</v>
      </c>
      <c r="D248">
        <v>0</v>
      </c>
      <c r="E248">
        <v>0</v>
      </c>
      <c r="F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8" x14ac:dyDescent="0.2">
      <c r="A249" t="s">
        <v>306</v>
      </c>
      <c r="B249" t="s">
        <v>317</v>
      </c>
      <c r="C249">
        <v>0</v>
      </c>
      <c r="D249">
        <v>0</v>
      </c>
      <c r="E249">
        <v>0</v>
      </c>
      <c r="F249">
        <v>0</v>
      </c>
      <c r="H249">
        <v>0</v>
      </c>
      <c r="I249">
        <v>2</v>
      </c>
      <c r="J249">
        <v>0.25</v>
      </c>
      <c r="K249">
        <v>0.25</v>
      </c>
      <c r="L249">
        <v>0</v>
      </c>
      <c r="M249">
        <v>0</v>
      </c>
      <c r="N249">
        <v>2</v>
      </c>
    </row>
    <row r="250" spans="1:18" x14ac:dyDescent="0.2">
      <c r="A250" t="s">
        <v>306</v>
      </c>
      <c r="B250" t="s">
        <v>318</v>
      </c>
      <c r="C250">
        <v>0</v>
      </c>
      <c r="D250">
        <v>0</v>
      </c>
      <c r="E250">
        <v>0</v>
      </c>
      <c r="F250">
        <v>0</v>
      </c>
      <c r="H250">
        <v>3</v>
      </c>
      <c r="I250">
        <v>2</v>
      </c>
      <c r="J250">
        <v>3.25</v>
      </c>
      <c r="K250">
        <v>3.25</v>
      </c>
      <c r="L250">
        <v>0</v>
      </c>
      <c r="M250">
        <v>3</v>
      </c>
      <c r="N250">
        <v>2</v>
      </c>
    </row>
    <row r="251" spans="1:18" x14ac:dyDescent="0.2">
      <c r="A251" t="s">
        <v>306</v>
      </c>
      <c r="B251" t="s">
        <v>319</v>
      </c>
      <c r="C251">
        <v>0</v>
      </c>
      <c r="D251">
        <v>0</v>
      </c>
      <c r="E251">
        <v>0</v>
      </c>
      <c r="F251">
        <v>0</v>
      </c>
      <c r="H251">
        <v>2</v>
      </c>
      <c r="I251">
        <v>15</v>
      </c>
      <c r="J251">
        <v>3.875</v>
      </c>
      <c r="K251">
        <v>129</v>
      </c>
      <c r="L251">
        <v>-125.125</v>
      </c>
      <c r="M251">
        <v>129</v>
      </c>
      <c r="N251">
        <v>0</v>
      </c>
      <c r="O251">
        <v>2</v>
      </c>
      <c r="P251">
        <v>3</v>
      </c>
      <c r="Q251">
        <v>0</v>
      </c>
      <c r="R251">
        <v>12</v>
      </c>
    </row>
    <row r="252" spans="1:18" x14ac:dyDescent="0.2">
      <c r="A252" t="s">
        <v>306</v>
      </c>
      <c r="B252" t="s">
        <v>320</v>
      </c>
      <c r="C252">
        <v>0</v>
      </c>
      <c r="D252">
        <v>0</v>
      </c>
      <c r="E252">
        <v>0</v>
      </c>
      <c r="F252">
        <v>0</v>
      </c>
      <c r="H252">
        <v>31.5</v>
      </c>
      <c r="I252">
        <v>0</v>
      </c>
      <c r="J252">
        <v>31.5</v>
      </c>
      <c r="K252">
        <v>31.5</v>
      </c>
      <c r="L252">
        <v>0</v>
      </c>
      <c r="M252">
        <v>31.5</v>
      </c>
      <c r="N252">
        <v>0</v>
      </c>
    </row>
    <row r="253" spans="1:18" x14ac:dyDescent="0.2">
      <c r="A253" t="s">
        <v>321</v>
      </c>
      <c r="B253" t="s">
        <v>322</v>
      </c>
      <c r="C253">
        <v>0</v>
      </c>
      <c r="D253">
        <v>0</v>
      </c>
      <c r="E253">
        <v>0</v>
      </c>
      <c r="F253">
        <v>0</v>
      </c>
      <c r="H253">
        <v>0</v>
      </c>
      <c r="I253">
        <v>2</v>
      </c>
      <c r="J253">
        <v>0.25</v>
      </c>
      <c r="K253">
        <v>0.25</v>
      </c>
      <c r="L253">
        <v>0</v>
      </c>
      <c r="M253">
        <v>0</v>
      </c>
      <c r="N253">
        <v>2</v>
      </c>
    </row>
    <row r="254" spans="1:18" x14ac:dyDescent="0.2">
      <c r="A254" t="s">
        <v>321</v>
      </c>
      <c r="B254" t="s">
        <v>323</v>
      </c>
      <c r="C254">
        <v>0</v>
      </c>
      <c r="D254">
        <v>0</v>
      </c>
      <c r="E254">
        <v>0</v>
      </c>
      <c r="F254">
        <v>0</v>
      </c>
      <c r="G254" t="s">
        <v>150</v>
      </c>
      <c r="H254">
        <v>4</v>
      </c>
      <c r="I254">
        <v>2</v>
      </c>
      <c r="J254">
        <v>4.25</v>
      </c>
      <c r="K254">
        <v>4.25</v>
      </c>
      <c r="L254">
        <v>0</v>
      </c>
      <c r="M254">
        <v>4</v>
      </c>
      <c r="N254">
        <v>2</v>
      </c>
    </row>
    <row r="255" spans="1:18" x14ac:dyDescent="0.2">
      <c r="A255" t="s">
        <v>321</v>
      </c>
      <c r="B255" t="s">
        <v>324</v>
      </c>
      <c r="C255">
        <v>0</v>
      </c>
      <c r="D255">
        <v>0</v>
      </c>
      <c r="E255">
        <v>0</v>
      </c>
      <c r="F255">
        <v>0</v>
      </c>
      <c r="H255">
        <v>1.5</v>
      </c>
      <c r="I255">
        <v>0</v>
      </c>
      <c r="J255">
        <v>1.5</v>
      </c>
      <c r="K255">
        <v>1.5</v>
      </c>
      <c r="L255">
        <v>0</v>
      </c>
      <c r="M255">
        <v>1.5</v>
      </c>
      <c r="N255">
        <v>0</v>
      </c>
    </row>
    <row r="256" spans="1:18" x14ac:dyDescent="0.2">
      <c r="A256" t="s">
        <v>321</v>
      </c>
      <c r="B256" t="s">
        <v>325</v>
      </c>
      <c r="C256">
        <v>0</v>
      </c>
      <c r="D256">
        <v>0</v>
      </c>
      <c r="E256">
        <v>0</v>
      </c>
      <c r="F256">
        <v>0</v>
      </c>
      <c r="H256">
        <v>1</v>
      </c>
      <c r="I256">
        <v>0</v>
      </c>
      <c r="J256">
        <v>1</v>
      </c>
      <c r="K256">
        <v>1</v>
      </c>
      <c r="L256">
        <v>0</v>
      </c>
      <c r="M256">
        <v>1</v>
      </c>
      <c r="N256">
        <v>0</v>
      </c>
    </row>
    <row r="257" spans="1:16" x14ac:dyDescent="0.2">
      <c r="A257" t="s">
        <v>321</v>
      </c>
      <c r="B257" t="s">
        <v>326</v>
      </c>
      <c r="C257">
        <v>0</v>
      </c>
      <c r="D257">
        <v>0</v>
      </c>
      <c r="E257">
        <v>0</v>
      </c>
      <c r="F257">
        <v>0</v>
      </c>
      <c r="H257">
        <v>6</v>
      </c>
      <c r="I257">
        <v>6</v>
      </c>
      <c r="J257">
        <v>6.75</v>
      </c>
      <c r="K257">
        <v>6.75</v>
      </c>
      <c r="L257">
        <v>0</v>
      </c>
      <c r="M257">
        <v>6</v>
      </c>
      <c r="N257">
        <v>6</v>
      </c>
    </row>
    <row r="258" spans="1:16" x14ac:dyDescent="0.2">
      <c r="A258" t="s">
        <v>321</v>
      </c>
      <c r="B258" t="s">
        <v>327</v>
      </c>
      <c r="C258">
        <v>0</v>
      </c>
      <c r="D258">
        <v>0</v>
      </c>
      <c r="E258">
        <v>0</v>
      </c>
      <c r="F258">
        <v>0</v>
      </c>
      <c r="H258">
        <v>5</v>
      </c>
      <c r="I258">
        <v>2</v>
      </c>
      <c r="J258">
        <v>5.25</v>
      </c>
      <c r="K258">
        <v>0.25</v>
      </c>
      <c r="L258">
        <v>5</v>
      </c>
      <c r="M258">
        <v>0</v>
      </c>
      <c r="N258">
        <v>2</v>
      </c>
      <c r="O258">
        <v>5</v>
      </c>
      <c r="P258">
        <v>0</v>
      </c>
    </row>
    <row r="259" spans="1:16" x14ac:dyDescent="0.2">
      <c r="A259" t="s">
        <v>321</v>
      </c>
      <c r="B259" t="s">
        <v>184</v>
      </c>
      <c r="C259">
        <v>0</v>
      </c>
      <c r="D259">
        <v>0</v>
      </c>
      <c r="E259">
        <v>0</v>
      </c>
      <c r="F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6" x14ac:dyDescent="0.2">
      <c r="A260" t="s">
        <v>321</v>
      </c>
      <c r="B260" t="s">
        <v>328</v>
      </c>
      <c r="C260">
        <v>0</v>
      </c>
      <c r="D260">
        <v>0</v>
      </c>
      <c r="E260">
        <v>0</v>
      </c>
      <c r="F260">
        <v>0</v>
      </c>
      <c r="H260">
        <v>1.5</v>
      </c>
      <c r="I260">
        <v>0</v>
      </c>
      <c r="J260">
        <v>1.5</v>
      </c>
      <c r="K260">
        <v>1.5</v>
      </c>
      <c r="L260">
        <v>0</v>
      </c>
      <c r="M260">
        <v>1.5</v>
      </c>
      <c r="N260">
        <v>0</v>
      </c>
    </row>
    <row r="261" spans="1:16" x14ac:dyDescent="0.2">
      <c r="A261" t="s">
        <v>329</v>
      </c>
      <c r="B261" t="s">
        <v>330</v>
      </c>
      <c r="C261">
        <v>0</v>
      </c>
      <c r="D261">
        <v>0</v>
      </c>
      <c r="E261">
        <v>0</v>
      </c>
      <c r="F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6" x14ac:dyDescent="0.2">
      <c r="A262" t="s">
        <v>329</v>
      </c>
      <c r="B262" t="s">
        <v>331</v>
      </c>
      <c r="C262">
        <v>0</v>
      </c>
      <c r="D262">
        <v>0</v>
      </c>
      <c r="E262">
        <v>0</v>
      </c>
      <c r="F262">
        <v>0</v>
      </c>
      <c r="G262" t="s">
        <v>152</v>
      </c>
      <c r="H262">
        <v>4</v>
      </c>
      <c r="I262">
        <v>2</v>
      </c>
      <c r="J262">
        <v>4.25</v>
      </c>
      <c r="K262">
        <v>4.25</v>
      </c>
      <c r="L262">
        <v>0</v>
      </c>
      <c r="M262">
        <v>4</v>
      </c>
      <c r="N262">
        <v>2</v>
      </c>
    </row>
    <row r="263" spans="1:16" x14ac:dyDescent="0.2">
      <c r="A263" t="s">
        <v>329</v>
      </c>
      <c r="B263" t="s">
        <v>332</v>
      </c>
      <c r="C263">
        <v>0</v>
      </c>
      <c r="D263">
        <v>0</v>
      </c>
      <c r="E263">
        <v>0</v>
      </c>
      <c r="F263">
        <v>0</v>
      </c>
      <c r="H263">
        <v>4</v>
      </c>
      <c r="I263">
        <v>0</v>
      </c>
      <c r="J263">
        <v>4</v>
      </c>
      <c r="K263">
        <v>4</v>
      </c>
      <c r="L263">
        <v>0</v>
      </c>
      <c r="M263">
        <v>4</v>
      </c>
      <c r="N263">
        <v>0</v>
      </c>
    </row>
    <row r="264" spans="1:16" x14ac:dyDescent="0.2">
      <c r="A264" t="s">
        <v>329</v>
      </c>
      <c r="B264" t="s">
        <v>333</v>
      </c>
      <c r="C264">
        <v>0</v>
      </c>
      <c r="D264">
        <v>0</v>
      </c>
      <c r="E264">
        <v>0</v>
      </c>
      <c r="F264">
        <v>0</v>
      </c>
      <c r="H264">
        <v>8</v>
      </c>
      <c r="I264">
        <v>2</v>
      </c>
      <c r="J264">
        <v>8.25</v>
      </c>
      <c r="K264">
        <v>8.25</v>
      </c>
      <c r="L264">
        <v>0</v>
      </c>
      <c r="M264">
        <v>8</v>
      </c>
      <c r="N264">
        <v>2</v>
      </c>
    </row>
    <row r="265" spans="1:16" x14ac:dyDescent="0.2">
      <c r="A265" t="s">
        <v>334</v>
      </c>
      <c r="B265" t="s">
        <v>335</v>
      </c>
      <c r="C265">
        <v>0</v>
      </c>
      <c r="D265">
        <v>0</v>
      </c>
      <c r="E265">
        <v>0</v>
      </c>
      <c r="F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6" x14ac:dyDescent="0.2">
      <c r="A266" t="s">
        <v>334</v>
      </c>
      <c r="B266" t="s">
        <v>336</v>
      </c>
      <c r="C266">
        <v>0</v>
      </c>
      <c r="D266">
        <v>0</v>
      </c>
      <c r="E266">
        <v>0</v>
      </c>
      <c r="F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6" x14ac:dyDescent="0.2">
      <c r="A267" t="s">
        <v>334</v>
      </c>
      <c r="B267" t="s">
        <v>337</v>
      </c>
      <c r="C267">
        <v>0</v>
      </c>
      <c r="D267">
        <v>0</v>
      </c>
      <c r="E267">
        <v>0</v>
      </c>
      <c r="F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6" x14ac:dyDescent="0.2">
      <c r="A268" t="s">
        <v>334</v>
      </c>
      <c r="B268" t="s">
        <v>338</v>
      </c>
      <c r="C268">
        <v>0</v>
      </c>
      <c r="D268">
        <v>0</v>
      </c>
      <c r="E268">
        <v>0</v>
      </c>
      <c r="F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6" x14ac:dyDescent="0.2">
      <c r="A269" t="s">
        <v>334</v>
      </c>
      <c r="B269" t="s">
        <v>339</v>
      </c>
      <c r="C269">
        <v>0</v>
      </c>
      <c r="D269">
        <v>0</v>
      </c>
      <c r="E269">
        <v>0</v>
      </c>
      <c r="F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6" x14ac:dyDescent="0.2">
      <c r="A270" t="s">
        <v>334</v>
      </c>
      <c r="B270" t="s">
        <v>340</v>
      </c>
      <c r="C270">
        <v>0</v>
      </c>
      <c r="D270">
        <v>0</v>
      </c>
      <c r="E270">
        <v>0</v>
      </c>
      <c r="F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6" x14ac:dyDescent="0.2">
      <c r="A271" t="s">
        <v>334</v>
      </c>
      <c r="B271" t="s">
        <v>341</v>
      </c>
      <c r="C271">
        <v>0</v>
      </c>
      <c r="D271">
        <v>0</v>
      </c>
      <c r="E271">
        <v>0</v>
      </c>
      <c r="F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6" x14ac:dyDescent="0.2">
      <c r="A272" t="s">
        <v>334</v>
      </c>
      <c r="B272" t="s">
        <v>342</v>
      </c>
      <c r="C272">
        <v>0</v>
      </c>
      <c r="D272">
        <v>0</v>
      </c>
      <c r="E272">
        <v>0</v>
      </c>
      <c r="F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">
      <c r="A273" t="s">
        <v>334</v>
      </c>
      <c r="B273" t="s">
        <v>343</v>
      </c>
      <c r="C273">
        <v>0</v>
      </c>
      <c r="D273">
        <v>0</v>
      </c>
      <c r="E273">
        <v>0</v>
      </c>
      <c r="F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">
      <c r="A274" t="s">
        <v>334</v>
      </c>
      <c r="B274" t="s">
        <v>344</v>
      </c>
      <c r="C274">
        <v>0</v>
      </c>
      <c r="D274">
        <v>0</v>
      </c>
      <c r="E274">
        <v>0</v>
      </c>
      <c r="F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">
      <c r="A275" t="s">
        <v>334</v>
      </c>
      <c r="B275" t="s">
        <v>345</v>
      </c>
      <c r="C275">
        <v>0</v>
      </c>
      <c r="D275">
        <v>0</v>
      </c>
      <c r="E275">
        <v>0</v>
      </c>
      <c r="F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">
      <c r="A276" t="s">
        <v>334</v>
      </c>
      <c r="B276" t="s">
        <v>346</v>
      </c>
      <c r="C276">
        <v>0</v>
      </c>
      <c r="D276">
        <v>0</v>
      </c>
      <c r="E276">
        <v>0</v>
      </c>
      <c r="F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">
      <c r="A277" t="s">
        <v>334</v>
      </c>
      <c r="B277" t="s">
        <v>336</v>
      </c>
      <c r="C277">
        <v>0</v>
      </c>
      <c r="D277">
        <v>0</v>
      </c>
      <c r="E277">
        <v>0</v>
      </c>
      <c r="F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">
      <c r="A278" t="s">
        <v>334</v>
      </c>
      <c r="B278" t="s">
        <v>347</v>
      </c>
      <c r="C278">
        <v>0</v>
      </c>
      <c r="D278">
        <v>0</v>
      </c>
      <c r="E278">
        <v>0</v>
      </c>
      <c r="F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">
      <c r="A279" t="s">
        <v>334</v>
      </c>
      <c r="B279" t="s">
        <v>348</v>
      </c>
      <c r="C279">
        <v>0</v>
      </c>
      <c r="D279">
        <v>0</v>
      </c>
      <c r="E279">
        <v>0</v>
      </c>
      <c r="F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">
      <c r="A280" t="s">
        <v>334</v>
      </c>
      <c r="B280" t="s">
        <v>349</v>
      </c>
      <c r="C280">
        <v>0</v>
      </c>
      <c r="D280">
        <v>0</v>
      </c>
      <c r="E280">
        <v>0</v>
      </c>
      <c r="F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">
      <c r="A281" t="s">
        <v>334</v>
      </c>
      <c r="B281" t="s">
        <v>350</v>
      </c>
      <c r="C281">
        <v>0</v>
      </c>
      <c r="D281">
        <v>0</v>
      </c>
      <c r="E281">
        <v>0</v>
      </c>
      <c r="F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2">
      <c r="A282" t="s">
        <v>334</v>
      </c>
      <c r="B282" t="s">
        <v>351</v>
      </c>
      <c r="C282">
        <v>0</v>
      </c>
      <c r="D282">
        <v>0</v>
      </c>
      <c r="E282">
        <v>0</v>
      </c>
      <c r="F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">
      <c r="A283" t="s">
        <v>334</v>
      </c>
      <c r="B283" t="s">
        <v>352</v>
      </c>
      <c r="C283">
        <v>0</v>
      </c>
      <c r="D283">
        <v>0</v>
      </c>
      <c r="E283">
        <v>0</v>
      </c>
      <c r="F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">
      <c r="A284" t="s">
        <v>334</v>
      </c>
      <c r="B284" t="s">
        <v>353</v>
      </c>
      <c r="C284">
        <v>0</v>
      </c>
      <c r="D284">
        <v>0</v>
      </c>
      <c r="E284">
        <v>0</v>
      </c>
      <c r="F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">
      <c r="A285" t="s">
        <v>334</v>
      </c>
      <c r="B285" t="s">
        <v>354</v>
      </c>
      <c r="C285">
        <v>0</v>
      </c>
      <c r="D285">
        <v>0</v>
      </c>
      <c r="E285">
        <v>0</v>
      </c>
      <c r="F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">
      <c r="A286" t="s">
        <v>334</v>
      </c>
      <c r="B286" t="s">
        <v>355</v>
      </c>
      <c r="C286">
        <v>0</v>
      </c>
      <c r="D286">
        <v>0</v>
      </c>
      <c r="E286">
        <v>0</v>
      </c>
      <c r="F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">
      <c r="A287" t="s">
        <v>334</v>
      </c>
      <c r="B287" t="s">
        <v>356</v>
      </c>
      <c r="C287">
        <v>0</v>
      </c>
      <c r="D287">
        <v>0</v>
      </c>
      <c r="E287">
        <v>0</v>
      </c>
      <c r="F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">
      <c r="A288" t="s">
        <v>334</v>
      </c>
      <c r="B288" t="s">
        <v>357</v>
      </c>
      <c r="C288">
        <v>0</v>
      </c>
      <c r="D288">
        <v>0</v>
      </c>
      <c r="E288">
        <v>0</v>
      </c>
      <c r="F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">
      <c r="A289" t="s">
        <v>334</v>
      </c>
      <c r="B289" t="s">
        <v>358</v>
      </c>
      <c r="C289">
        <v>0</v>
      </c>
      <c r="D289">
        <v>0</v>
      </c>
      <c r="E289">
        <v>0</v>
      </c>
      <c r="F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">
      <c r="A290" t="s">
        <v>334</v>
      </c>
      <c r="B290" t="s">
        <v>359</v>
      </c>
      <c r="C290">
        <v>0</v>
      </c>
      <c r="D290">
        <v>0</v>
      </c>
      <c r="E290">
        <v>0</v>
      </c>
      <c r="F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">
      <c r="A291" t="s">
        <v>334</v>
      </c>
      <c r="B291" t="s">
        <v>360</v>
      </c>
      <c r="C291">
        <v>0</v>
      </c>
      <c r="D291">
        <v>0</v>
      </c>
      <c r="E291">
        <v>0</v>
      </c>
      <c r="F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">
      <c r="A292" t="s">
        <v>334</v>
      </c>
      <c r="B292" t="s">
        <v>361</v>
      </c>
      <c r="C292">
        <v>0</v>
      </c>
      <c r="D292">
        <v>0</v>
      </c>
      <c r="E292">
        <v>0</v>
      </c>
      <c r="F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">
      <c r="A293" t="s">
        <v>334</v>
      </c>
      <c r="B293" t="s">
        <v>362</v>
      </c>
      <c r="C293">
        <v>0</v>
      </c>
      <c r="D293">
        <v>0</v>
      </c>
      <c r="E293">
        <v>0</v>
      </c>
      <c r="F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">
      <c r="A294" t="s">
        <v>334</v>
      </c>
      <c r="B294" t="s">
        <v>363</v>
      </c>
      <c r="C294">
        <v>0</v>
      </c>
      <c r="D294">
        <v>0</v>
      </c>
      <c r="E294">
        <v>0</v>
      </c>
      <c r="F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">
      <c r="A295" t="s">
        <v>334</v>
      </c>
      <c r="B295" t="s">
        <v>364</v>
      </c>
      <c r="C295">
        <v>0</v>
      </c>
      <c r="D295">
        <v>0</v>
      </c>
      <c r="E295">
        <v>0</v>
      </c>
      <c r="F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">
      <c r="A296" t="s">
        <v>334</v>
      </c>
      <c r="B296" t="s">
        <v>365</v>
      </c>
      <c r="C296">
        <v>0</v>
      </c>
      <c r="D296">
        <v>0</v>
      </c>
      <c r="E296">
        <v>0</v>
      </c>
      <c r="F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">
      <c r="A297" t="s">
        <v>334</v>
      </c>
      <c r="B297" t="s">
        <v>366</v>
      </c>
      <c r="C297">
        <v>0</v>
      </c>
      <c r="D297">
        <v>0</v>
      </c>
      <c r="E297">
        <v>0</v>
      </c>
      <c r="F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">
      <c r="A298" t="s">
        <v>334</v>
      </c>
      <c r="B298" t="s">
        <v>367</v>
      </c>
      <c r="C298">
        <v>0</v>
      </c>
      <c r="D298">
        <v>0</v>
      </c>
      <c r="E298">
        <v>0</v>
      </c>
      <c r="F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">
      <c r="A299" t="s">
        <v>334</v>
      </c>
      <c r="B299" t="s">
        <v>368</v>
      </c>
      <c r="C299">
        <v>0</v>
      </c>
      <c r="D299">
        <v>0</v>
      </c>
      <c r="E299">
        <v>0</v>
      </c>
      <c r="F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">
      <c r="A300" t="s">
        <v>334</v>
      </c>
      <c r="B300" t="s">
        <v>369</v>
      </c>
      <c r="C300">
        <v>0</v>
      </c>
      <c r="D300">
        <v>0</v>
      </c>
      <c r="E300">
        <v>0</v>
      </c>
      <c r="F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">
      <c r="A301" t="s">
        <v>334</v>
      </c>
      <c r="B301" t="s">
        <v>370</v>
      </c>
      <c r="C301">
        <v>0</v>
      </c>
      <c r="D301">
        <v>0</v>
      </c>
      <c r="E301">
        <v>0</v>
      </c>
      <c r="F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">
      <c r="A302" t="s">
        <v>334</v>
      </c>
      <c r="B302" t="s">
        <v>371</v>
      </c>
      <c r="C302">
        <v>0</v>
      </c>
      <c r="D302">
        <v>0</v>
      </c>
      <c r="E302">
        <v>0</v>
      </c>
      <c r="F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">
      <c r="A303" t="s">
        <v>334</v>
      </c>
      <c r="B303" t="s">
        <v>372</v>
      </c>
      <c r="C303">
        <v>0</v>
      </c>
      <c r="D303">
        <v>0</v>
      </c>
      <c r="E303">
        <v>0</v>
      </c>
      <c r="F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">
      <c r="A304" t="s">
        <v>334</v>
      </c>
      <c r="B304" t="s">
        <v>373</v>
      </c>
      <c r="C304">
        <v>0</v>
      </c>
      <c r="D304">
        <v>0</v>
      </c>
      <c r="E304">
        <v>0</v>
      </c>
      <c r="F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">
      <c r="A305" t="s">
        <v>334</v>
      </c>
      <c r="B305" t="s">
        <v>374</v>
      </c>
      <c r="C305">
        <v>0</v>
      </c>
      <c r="D305">
        <v>0</v>
      </c>
      <c r="E305">
        <v>0</v>
      </c>
      <c r="F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">
      <c r="A306" t="s">
        <v>334</v>
      </c>
      <c r="B306" t="s">
        <v>375</v>
      </c>
      <c r="C306">
        <v>0</v>
      </c>
      <c r="D306">
        <v>0</v>
      </c>
      <c r="E306">
        <v>0</v>
      </c>
      <c r="F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2">
      <c r="A307" t="s">
        <v>334</v>
      </c>
      <c r="B307" t="s">
        <v>376</v>
      </c>
      <c r="C307">
        <v>0</v>
      </c>
      <c r="D307">
        <v>0</v>
      </c>
      <c r="E307">
        <v>0</v>
      </c>
      <c r="F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">
      <c r="A308" t="s">
        <v>334</v>
      </c>
      <c r="B308" t="s">
        <v>377</v>
      </c>
      <c r="C308">
        <v>0</v>
      </c>
      <c r="D308">
        <v>0</v>
      </c>
      <c r="E308">
        <v>0</v>
      </c>
      <c r="F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">
      <c r="A309" t="s">
        <v>334</v>
      </c>
      <c r="B309" t="s">
        <v>378</v>
      </c>
      <c r="C309">
        <v>0</v>
      </c>
      <c r="D309">
        <v>0</v>
      </c>
      <c r="E309">
        <v>0</v>
      </c>
      <c r="F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">
      <c r="A310" t="s">
        <v>334</v>
      </c>
      <c r="B310" t="s">
        <v>379</v>
      </c>
      <c r="C310">
        <v>0</v>
      </c>
      <c r="D310">
        <v>0</v>
      </c>
      <c r="E310">
        <v>0</v>
      </c>
      <c r="F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2">
      <c r="A311" t="s">
        <v>334</v>
      </c>
      <c r="B311" t="s">
        <v>380</v>
      </c>
      <c r="C311">
        <v>0</v>
      </c>
      <c r="D311">
        <v>0</v>
      </c>
      <c r="E311">
        <v>0</v>
      </c>
      <c r="F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">
      <c r="A312" t="s">
        <v>334</v>
      </c>
      <c r="B312" t="s">
        <v>381</v>
      </c>
      <c r="C312">
        <v>0</v>
      </c>
      <c r="D312">
        <v>0</v>
      </c>
      <c r="E312">
        <v>0</v>
      </c>
      <c r="F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">
      <c r="A313" t="s">
        <v>334</v>
      </c>
      <c r="B313" t="s">
        <v>382</v>
      </c>
      <c r="C313">
        <v>0</v>
      </c>
      <c r="D313">
        <v>0</v>
      </c>
      <c r="E313">
        <v>0</v>
      </c>
      <c r="F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">
      <c r="A314" t="s">
        <v>334</v>
      </c>
      <c r="B314" t="s">
        <v>383</v>
      </c>
      <c r="C314">
        <v>0</v>
      </c>
      <c r="D314">
        <v>0</v>
      </c>
      <c r="E314">
        <v>0</v>
      </c>
      <c r="F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">
      <c r="A315" t="s">
        <v>334</v>
      </c>
      <c r="B315" t="s">
        <v>355</v>
      </c>
      <c r="C315">
        <v>0</v>
      </c>
      <c r="D315">
        <v>0</v>
      </c>
      <c r="E315">
        <v>0</v>
      </c>
      <c r="F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">
      <c r="A316" t="s">
        <v>334</v>
      </c>
      <c r="B316" t="s">
        <v>384</v>
      </c>
      <c r="C316">
        <v>0</v>
      </c>
      <c r="D316">
        <v>0</v>
      </c>
      <c r="E316">
        <v>0</v>
      </c>
      <c r="F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">
      <c r="A317" t="s">
        <v>334</v>
      </c>
      <c r="B317" t="s">
        <v>385</v>
      </c>
      <c r="C317">
        <v>0</v>
      </c>
      <c r="D317">
        <v>0</v>
      </c>
      <c r="E317">
        <v>0</v>
      </c>
      <c r="F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">
      <c r="A318" t="s">
        <v>334</v>
      </c>
      <c r="B318" t="s">
        <v>386</v>
      </c>
      <c r="C318">
        <v>0</v>
      </c>
      <c r="D318">
        <v>0</v>
      </c>
      <c r="E318">
        <v>0</v>
      </c>
      <c r="F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">
      <c r="A319" t="s">
        <v>334</v>
      </c>
      <c r="B319" t="s">
        <v>387</v>
      </c>
      <c r="C319">
        <v>0</v>
      </c>
      <c r="D319">
        <v>0</v>
      </c>
      <c r="E319">
        <v>0</v>
      </c>
      <c r="F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">
      <c r="A320" t="s">
        <v>334</v>
      </c>
      <c r="B320" t="s">
        <v>388</v>
      </c>
      <c r="C320">
        <v>0</v>
      </c>
      <c r="D320">
        <v>0</v>
      </c>
      <c r="E320">
        <v>0</v>
      </c>
      <c r="F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">
      <c r="A321" t="s">
        <v>334</v>
      </c>
      <c r="B321" t="s">
        <v>389</v>
      </c>
      <c r="C321">
        <v>0</v>
      </c>
      <c r="D321">
        <v>0</v>
      </c>
      <c r="E321">
        <v>0</v>
      </c>
      <c r="F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">
      <c r="A322" t="s">
        <v>334</v>
      </c>
      <c r="B322" t="s">
        <v>390</v>
      </c>
      <c r="C322">
        <v>0</v>
      </c>
      <c r="D322">
        <v>0</v>
      </c>
      <c r="E322">
        <v>0</v>
      </c>
      <c r="F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">
      <c r="A323" t="s">
        <v>334</v>
      </c>
      <c r="B323" t="s">
        <v>391</v>
      </c>
      <c r="C323">
        <v>0</v>
      </c>
      <c r="D323">
        <v>0</v>
      </c>
      <c r="E323">
        <v>0</v>
      </c>
      <c r="F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">
      <c r="A324" t="s">
        <v>334</v>
      </c>
      <c r="B324" t="s">
        <v>392</v>
      </c>
      <c r="C324">
        <v>0</v>
      </c>
      <c r="D324">
        <v>0</v>
      </c>
      <c r="E324">
        <v>0</v>
      </c>
      <c r="F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">
      <c r="A325" t="s">
        <v>334</v>
      </c>
      <c r="B325" t="s">
        <v>393</v>
      </c>
      <c r="C325">
        <v>0</v>
      </c>
      <c r="D325">
        <v>0</v>
      </c>
      <c r="E325">
        <v>0</v>
      </c>
      <c r="F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">
      <c r="A326" t="s">
        <v>334</v>
      </c>
      <c r="B326" t="s">
        <v>394</v>
      </c>
      <c r="C326">
        <v>0</v>
      </c>
      <c r="D326">
        <v>0</v>
      </c>
      <c r="E326">
        <v>0</v>
      </c>
      <c r="F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">
      <c r="A327" t="s">
        <v>334</v>
      </c>
      <c r="B327" t="s">
        <v>395</v>
      </c>
      <c r="C327">
        <v>0</v>
      </c>
      <c r="D327">
        <v>0</v>
      </c>
      <c r="E327">
        <v>0</v>
      </c>
      <c r="F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">
      <c r="A328" t="s">
        <v>334</v>
      </c>
      <c r="B328" t="s">
        <v>396</v>
      </c>
      <c r="C328">
        <v>0</v>
      </c>
      <c r="D328">
        <v>0</v>
      </c>
      <c r="E328">
        <v>0</v>
      </c>
      <c r="F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">
      <c r="A329" t="s">
        <v>334</v>
      </c>
      <c r="B329" t="s">
        <v>397</v>
      </c>
      <c r="C329">
        <v>0</v>
      </c>
      <c r="D329">
        <v>0</v>
      </c>
      <c r="E329">
        <v>0</v>
      </c>
      <c r="F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">
      <c r="A330" t="s">
        <v>334</v>
      </c>
      <c r="B330" t="s">
        <v>398</v>
      </c>
      <c r="C330">
        <v>0</v>
      </c>
      <c r="D330">
        <v>0</v>
      </c>
      <c r="E330">
        <v>0</v>
      </c>
      <c r="F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">
      <c r="A331" t="s">
        <v>334</v>
      </c>
      <c r="B331" t="s">
        <v>399</v>
      </c>
      <c r="C331">
        <v>0</v>
      </c>
      <c r="D331">
        <v>0</v>
      </c>
      <c r="E331">
        <v>0</v>
      </c>
      <c r="F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">
      <c r="A332" t="s">
        <v>334</v>
      </c>
      <c r="B332" t="s">
        <v>355</v>
      </c>
      <c r="C332">
        <v>0</v>
      </c>
      <c r="D332">
        <v>0</v>
      </c>
      <c r="E332">
        <v>0</v>
      </c>
      <c r="F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">
      <c r="A333" t="s">
        <v>334</v>
      </c>
      <c r="B333" t="s">
        <v>400</v>
      </c>
      <c r="C333">
        <v>0</v>
      </c>
      <c r="D333">
        <v>0</v>
      </c>
      <c r="E333">
        <v>0</v>
      </c>
      <c r="F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">
      <c r="A334" t="s">
        <v>334</v>
      </c>
      <c r="B334" t="s">
        <v>401</v>
      </c>
      <c r="C334">
        <v>0</v>
      </c>
      <c r="D334">
        <v>0</v>
      </c>
      <c r="E334">
        <v>0</v>
      </c>
      <c r="F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">
      <c r="A335" t="s">
        <v>334</v>
      </c>
      <c r="B335" t="s">
        <v>402</v>
      </c>
      <c r="C335">
        <v>0</v>
      </c>
      <c r="D335">
        <v>0</v>
      </c>
      <c r="E335">
        <v>0</v>
      </c>
      <c r="F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">
      <c r="A336" t="s">
        <v>334</v>
      </c>
      <c r="B336" t="s">
        <v>403</v>
      </c>
      <c r="C336">
        <v>0.21</v>
      </c>
      <c r="D336">
        <v>0</v>
      </c>
      <c r="E336">
        <v>4</v>
      </c>
      <c r="F336">
        <v>3.25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">
      <c r="A337" t="s">
        <v>334</v>
      </c>
      <c r="B337" t="s">
        <v>404</v>
      </c>
      <c r="C337">
        <v>0</v>
      </c>
      <c r="D337">
        <v>0</v>
      </c>
      <c r="E337">
        <v>0</v>
      </c>
      <c r="F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">
      <c r="A338" t="s">
        <v>334</v>
      </c>
      <c r="B338" t="s">
        <v>405</v>
      </c>
      <c r="C338">
        <v>0</v>
      </c>
      <c r="D338">
        <v>0</v>
      </c>
      <c r="E338">
        <v>0</v>
      </c>
      <c r="F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">
      <c r="A339" t="s">
        <v>334</v>
      </c>
      <c r="B339" t="s">
        <v>406</v>
      </c>
      <c r="C339">
        <v>0</v>
      </c>
      <c r="D339">
        <v>0</v>
      </c>
      <c r="E339">
        <v>0</v>
      </c>
      <c r="F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">
      <c r="A340" t="s">
        <v>334</v>
      </c>
      <c r="B340" t="s">
        <v>407</v>
      </c>
      <c r="C340">
        <v>0.06</v>
      </c>
      <c r="D340">
        <v>0</v>
      </c>
      <c r="E340">
        <v>1</v>
      </c>
      <c r="F340">
        <v>1.25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">
      <c r="A341" t="s">
        <v>334</v>
      </c>
      <c r="B341" t="s">
        <v>408</v>
      </c>
      <c r="C341">
        <v>0</v>
      </c>
      <c r="D341">
        <v>0</v>
      </c>
      <c r="E341">
        <v>0</v>
      </c>
      <c r="F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">
      <c r="A342" t="s">
        <v>334</v>
      </c>
      <c r="B342" t="s">
        <v>409</v>
      </c>
      <c r="C342">
        <v>0</v>
      </c>
      <c r="D342">
        <v>0</v>
      </c>
      <c r="E342">
        <v>0</v>
      </c>
      <c r="F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">
      <c r="A343" t="s">
        <v>334</v>
      </c>
      <c r="B343" t="s">
        <v>410</v>
      </c>
      <c r="C343">
        <v>0</v>
      </c>
      <c r="D343">
        <v>0</v>
      </c>
      <c r="E343">
        <v>0</v>
      </c>
      <c r="F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">
      <c r="A344" t="s">
        <v>334</v>
      </c>
      <c r="B344" t="s">
        <v>411</v>
      </c>
      <c r="C344">
        <v>0.16</v>
      </c>
      <c r="D344">
        <v>0</v>
      </c>
      <c r="E344">
        <v>3</v>
      </c>
      <c r="F344">
        <v>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">
      <c r="A345" t="s">
        <v>334</v>
      </c>
      <c r="B345" t="s">
        <v>412</v>
      </c>
      <c r="C345">
        <v>0</v>
      </c>
      <c r="D345">
        <v>0</v>
      </c>
      <c r="E345">
        <v>0</v>
      </c>
      <c r="F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">
      <c r="A346" t="s">
        <v>334</v>
      </c>
      <c r="B346" t="s">
        <v>413</v>
      </c>
      <c r="C346">
        <v>0</v>
      </c>
      <c r="D346">
        <v>0</v>
      </c>
      <c r="E346">
        <v>0</v>
      </c>
      <c r="F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">
      <c r="A347" t="s">
        <v>334</v>
      </c>
      <c r="B347" t="s">
        <v>414</v>
      </c>
      <c r="C347">
        <v>0</v>
      </c>
      <c r="D347">
        <v>0</v>
      </c>
      <c r="E347">
        <v>0</v>
      </c>
      <c r="F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">
      <c r="A348" t="s">
        <v>334</v>
      </c>
      <c r="B348" t="s">
        <v>415</v>
      </c>
      <c r="C348">
        <v>0</v>
      </c>
      <c r="D348">
        <v>0</v>
      </c>
      <c r="E348">
        <v>0</v>
      </c>
      <c r="F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">
      <c r="A349" t="s">
        <v>334</v>
      </c>
      <c r="B349" t="s">
        <v>293</v>
      </c>
      <c r="C349">
        <v>0</v>
      </c>
      <c r="D349">
        <v>0</v>
      </c>
      <c r="E349">
        <v>0</v>
      </c>
      <c r="F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">
      <c r="A350" t="s">
        <v>334</v>
      </c>
      <c r="B350" t="s">
        <v>416</v>
      </c>
      <c r="C350">
        <v>0</v>
      </c>
      <c r="D350">
        <v>0</v>
      </c>
      <c r="E350">
        <v>0</v>
      </c>
      <c r="F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">
      <c r="A351" t="s">
        <v>334</v>
      </c>
      <c r="B351" t="s">
        <v>417</v>
      </c>
      <c r="C351">
        <v>0</v>
      </c>
      <c r="D351">
        <v>0</v>
      </c>
      <c r="E351">
        <v>0</v>
      </c>
      <c r="F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">
      <c r="A352" t="s">
        <v>334</v>
      </c>
      <c r="B352" t="s">
        <v>418</v>
      </c>
      <c r="C352">
        <v>0</v>
      </c>
      <c r="D352">
        <v>0</v>
      </c>
      <c r="E352">
        <v>0</v>
      </c>
      <c r="F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">
      <c r="A353" t="s">
        <v>334</v>
      </c>
      <c r="B353" t="s">
        <v>419</v>
      </c>
      <c r="C353">
        <v>0</v>
      </c>
      <c r="D353">
        <v>0</v>
      </c>
      <c r="E353">
        <v>0</v>
      </c>
      <c r="F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">
      <c r="A354" t="s">
        <v>334</v>
      </c>
      <c r="B354" t="s">
        <v>420</v>
      </c>
      <c r="C354">
        <v>0</v>
      </c>
      <c r="D354">
        <v>0</v>
      </c>
      <c r="E354">
        <v>0</v>
      </c>
      <c r="F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">
      <c r="A355" t="s">
        <v>334</v>
      </c>
      <c r="B355" t="s">
        <v>421</v>
      </c>
      <c r="C355">
        <v>0</v>
      </c>
      <c r="D355">
        <v>0</v>
      </c>
      <c r="E355">
        <v>0</v>
      </c>
      <c r="F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">
      <c r="A356" t="s">
        <v>334</v>
      </c>
      <c r="B356" t="s">
        <v>422</v>
      </c>
      <c r="C356">
        <v>0</v>
      </c>
      <c r="D356">
        <v>0</v>
      </c>
      <c r="E356">
        <v>0</v>
      </c>
      <c r="F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2">
      <c r="A357" t="s">
        <v>334</v>
      </c>
      <c r="B357" t="s">
        <v>423</v>
      </c>
      <c r="C357">
        <v>0</v>
      </c>
      <c r="D357">
        <v>0</v>
      </c>
      <c r="E357">
        <v>0</v>
      </c>
      <c r="F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">
      <c r="A358" t="s">
        <v>334</v>
      </c>
      <c r="B358" t="s">
        <v>424</v>
      </c>
      <c r="C358">
        <v>0</v>
      </c>
      <c r="D358">
        <v>0</v>
      </c>
      <c r="E358">
        <v>0</v>
      </c>
      <c r="F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2">
      <c r="A359" t="s">
        <v>334</v>
      </c>
      <c r="B359" t="s">
        <v>425</v>
      </c>
      <c r="C359">
        <v>0</v>
      </c>
      <c r="D359">
        <v>0</v>
      </c>
      <c r="E359">
        <v>0</v>
      </c>
      <c r="F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2">
      <c r="A360" t="s">
        <v>334</v>
      </c>
      <c r="B360" t="s">
        <v>426</v>
      </c>
      <c r="C360">
        <v>0</v>
      </c>
      <c r="D360">
        <v>0</v>
      </c>
      <c r="E360">
        <v>0</v>
      </c>
      <c r="F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2">
      <c r="A361" t="s">
        <v>334</v>
      </c>
      <c r="B361" t="s">
        <v>427</v>
      </c>
      <c r="C361">
        <v>0</v>
      </c>
      <c r="D361">
        <v>0</v>
      </c>
      <c r="E361">
        <v>0</v>
      </c>
      <c r="F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2">
      <c r="A362" t="s">
        <v>334</v>
      </c>
      <c r="B362" t="s">
        <v>428</v>
      </c>
      <c r="C362">
        <v>0</v>
      </c>
      <c r="D362">
        <v>0</v>
      </c>
      <c r="E362">
        <v>0</v>
      </c>
      <c r="F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2">
      <c r="A363" t="s">
        <v>334</v>
      </c>
      <c r="B363" t="s">
        <v>429</v>
      </c>
      <c r="C363">
        <v>0</v>
      </c>
      <c r="D363">
        <v>0</v>
      </c>
      <c r="E363">
        <v>0</v>
      </c>
      <c r="F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2">
      <c r="A364" t="s">
        <v>334</v>
      </c>
      <c r="B364" t="s">
        <v>430</v>
      </c>
      <c r="C364">
        <v>0</v>
      </c>
      <c r="D364">
        <v>0</v>
      </c>
      <c r="E364">
        <v>0</v>
      </c>
      <c r="F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2">
      <c r="A365" t="s">
        <v>334</v>
      </c>
      <c r="B365" t="s">
        <v>431</v>
      </c>
      <c r="C365">
        <v>0</v>
      </c>
      <c r="D365">
        <v>0</v>
      </c>
      <c r="E365">
        <v>0</v>
      </c>
      <c r="F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2">
      <c r="A366" t="s">
        <v>334</v>
      </c>
      <c r="B366" t="s">
        <v>360</v>
      </c>
      <c r="C366">
        <v>0</v>
      </c>
      <c r="D366">
        <v>0</v>
      </c>
      <c r="E366">
        <v>0</v>
      </c>
      <c r="F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2">
      <c r="A367" t="s">
        <v>334</v>
      </c>
      <c r="B367" t="s">
        <v>432</v>
      </c>
      <c r="C367">
        <v>0</v>
      </c>
      <c r="D367">
        <v>0</v>
      </c>
      <c r="E367">
        <v>0</v>
      </c>
      <c r="F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2">
      <c r="A368" t="s">
        <v>334</v>
      </c>
      <c r="B368" t="s">
        <v>433</v>
      </c>
      <c r="C368">
        <v>0</v>
      </c>
      <c r="D368">
        <v>0</v>
      </c>
      <c r="E368">
        <v>0</v>
      </c>
      <c r="F368">
        <v>0</v>
      </c>
      <c r="H368">
        <v>5</v>
      </c>
      <c r="I368">
        <v>0</v>
      </c>
      <c r="J368">
        <v>5</v>
      </c>
      <c r="K368">
        <v>5</v>
      </c>
      <c r="L368">
        <v>0</v>
      </c>
      <c r="M368">
        <v>5</v>
      </c>
      <c r="N368">
        <v>0</v>
      </c>
    </row>
    <row r="369" spans="1:14" x14ac:dyDescent="0.2">
      <c r="A369" t="s">
        <v>334</v>
      </c>
      <c r="B369" t="s">
        <v>293</v>
      </c>
      <c r="C369">
        <v>0</v>
      </c>
      <c r="D369">
        <v>0</v>
      </c>
      <c r="E369">
        <v>0</v>
      </c>
      <c r="F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2">
      <c r="A370" t="s">
        <v>334</v>
      </c>
      <c r="B370" t="s">
        <v>434</v>
      </c>
      <c r="C370">
        <v>0</v>
      </c>
      <c r="D370">
        <v>0</v>
      </c>
      <c r="E370">
        <v>0</v>
      </c>
      <c r="F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2">
      <c r="A371" t="s">
        <v>334</v>
      </c>
      <c r="B371" t="s">
        <v>293</v>
      </c>
      <c r="C371">
        <v>0</v>
      </c>
      <c r="D371">
        <v>0</v>
      </c>
      <c r="E371">
        <v>0</v>
      </c>
      <c r="F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2">
      <c r="A372" t="s">
        <v>334</v>
      </c>
      <c r="B372" t="s">
        <v>435</v>
      </c>
      <c r="C372">
        <v>0</v>
      </c>
      <c r="D372">
        <v>0</v>
      </c>
      <c r="E372">
        <v>0</v>
      </c>
      <c r="F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">
      <c r="A373" t="s">
        <v>334</v>
      </c>
      <c r="B373" t="s">
        <v>293</v>
      </c>
      <c r="C373">
        <v>0</v>
      </c>
      <c r="D373">
        <v>0</v>
      </c>
      <c r="E373">
        <v>0</v>
      </c>
      <c r="F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2">
      <c r="A374" t="s">
        <v>334</v>
      </c>
      <c r="B374" t="s">
        <v>436</v>
      </c>
      <c r="C374">
        <v>0</v>
      </c>
      <c r="D374">
        <v>0</v>
      </c>
      <c r="E374">
        <v>0</v>
      </c>
      <c r="F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2">
      <c r="A375" t="s">
        <v>334</v>
      </c>
      <c r="B375" t="s">
        <v>293</v>
      </c>
      <c r="C375">
        <v>0</v>
      </c>
      <c r="D375">
        <v>0</v>
      </c>
      <c r="E375">
        <v>0</v>
      </c>
      <c r="F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2">
      <c r="A376" t="s">
        <v>334</v>
      </c>
      <c r="B376" t="s">
        <v>437</v>
      </c>
      <c r="C376">
        <v>0</v>
      </c>
      <c r="D376">
        <v>0</v>
      </c>
      <c r="E376">
        <v>0</v>
      </c>
      <c r="F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2">
      <c r="A377" t="s">
        <v>334</v>
      </c>
      <c r="B377" t="s">
        <v>438</v>
      </c>
      <c r="C377">
        <v>0</v>
      </c>
      <c r="D377">
        <v>0</v>
      </c>
      <c r="E377">
        <v>0</v>
      </c>
      <c r="F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2">
      <c r="A378" t="s">
        <v>334</v>
      </c>
      <c r="B378" t="s">
        <v>293</v>
      </c>
      <c r="C378">
        <v>0</v>
      </c>
      <c r="D378">
        <v>0</v>
      </c>
      <c r="E378">
        <v>0</v>
      </c>
      <c r="F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">
      <c r="A379" t="s">
        <v>334</v>
      </c>
      <c r="B379" t="s">
        <v>439</v>
      </c>
      <c r="C379">
        <v>0</v>
      </c>
      <c r="D379">
        <v>0</v>
      </c>
      <c r="E379">
        <v>0</v>
      </c>
      <c r="F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2">
      <c r="A380" t="s">
        <v>334</v>
      </c>
      <c r="B380" t="s">
        <v>440</v>
      </c>
      <c r="C380">
        <v>0</v>
      </c>
      <c r="D380">
        <v>0</v>
      </c>
      <c r="E380">
        <v>0</v>
      </c>
      <c r="F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2">
      <c r="A381" t="s">
        <v>334</v>
      </c>
      <c r="B381" t="s">
        <v>441</v>
      </c>
      <c r="C381">
        <v>0</v>
      </c>
      <c r="D381">
        <v>0</v>
      </c>
      <c r="E381">
        <v>0</v>
      </c>
      <c r="F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2">
      <c r="A382" t="s">
        <v>334</v>
      </c>
      <c r="B382" t="s">
        <v>442</v>
      </c>
      <c r="C382">
        <v>0</v>
      </c>
      <c r="D382">
        <v>0</v>
      </c>
      <c r="E382">
        <v>0</v>
      </c>
      <c r="F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72"/>
  <sheetViews>
    <sheetView workbookViewId="0"/>
  </sheetViews>
  <sheetFormatPr baseColWidth="10" defaultColWidth="8.83203125" defaultRowHeight="15" x14ac:dyDescent="0.2"/>
  <sheetData>
    <row r="1" spans="1:34" x14ac:dyDescent="0.2">
      <c r="A1" s="1" t="s">
        <v>0</v>
      </c>
      <c r="B1" s="1" t="s">
        <v>1</v>
      </c>
      <c r="C1" s="1" t="s">
        <v>481</v>
      </c>
      <c r="D1" s="1" t="s">
        <v>482</v>
      </c>
      <c r="E1" s="1" t="s">
        <v>483</v>
      </c>
      <c r="F1" s="1" t="s">
        <v>484</v>
      </c>
      <c r="G1" s="1" t="s">
        <v>485</v>
      </c>
      <c r="H1" s="1" t="s">
        <v>486</v>
      </c>
      <c r="I1" s="1" t="s">
        <v>487</v>
      </c>
      <c r="J1" s="1" t="s">
        <v>488</v>
      </c>
      <c r="K1" s="1" t="s">
        <v>489</v>
      </c>
      <c r="L1" s="1" t="s">
        <v>490</v>
      </c>
      <c r="M1" s="1" t="s">
        <v>491</v>
      </c>
      <c r="N1" s="1" t="s">
        <v>492</v>
      </c>
      <c r="O1" s="1" t="s">
        <v>493</v>
      </c>
      <c r="P1" s="1" t="s">
        <v>494</v>
      </c>
      <c r="Q1" s="1" t="s">
        <v>495</v>
      </c>
      <c r="R1" s="1" t="s">
        <v>496</v>
      </c>
      <c r="S1" s="1" t="s">
        <v>497</v>
      </c>
      <c r="T1" s="1" t="s">
        <v>498</v>
      </c>
      <c r="U1" s="1" t="s">
        <v>499</v>
      </c>
      <c r="V1" s="1" t="s">
        <v>500</v>
      </c>
      <c r="W1" s="1" t="s">
        <v>501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502</v>
      </c>
      <c r="AD1" s="1" t="s">
        <v>503</v>
      </c>
      <c r="AE1" s="1" t="s">
        <v>14</v>
      </c>
      <c r="AF1" s="1" t="s">
        <v>15</v>
      </c>
      <c r="AG1" s="1" t="s">
        <v>16</v>
      </c>
      <c r="AH1" s="1" t="s">
        <v>17</v>
      </c>
    </row>
    <row r="2" spans="1:34" x14ac:dyDescent="0.2">
      <c r="A2" t="s">
        <v>280</v>
      </c>
      <c r="B2" t="s">
        <v>444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4" x14ac:dyDescent="0.2">
      <c r="A3" t="s">
        <v>282</v>
      </c>
      <c r="B3" t="s">
        <v>504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4" x14ac:dyDescent="0.2">
      <c r="A4" t="s">
        <v>282</v>
      </c>
      <c r="B4" t="s">
        <v>284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71</v>
      </c>
      <c r="U4">
        <v>6</v>
      </c>
      <c r="V4">
        <v>71.75</v>
      </c>
      <c r="W4">
        <v>0</v>
      </c>
      <c r="X4">
        <v>71</v>
      </c>
      <c r="Y4">
        <v>6</v>
      </c>
      <c r="Z4">
        <v>71.75</v>
      </c>
      <c r="AA4">
        <v>71.75</v>
      </c>
      <c r="AB4">
        <v>0</v>
      </c>
      <c r="AC4">
        <v>71</v>
      </c>
      <c r="AD4">
        <v>6</v>
      </c>
    </row>
    <row r="5" spans="1:34" x14ac:dyDescent="0.2">
      <c r="A5" t="s">
        <v>282</v>
      </c>
      <c r="B5" t="s">
        <v>285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1.5</v>
      </c>
      <c r="Y5">
        <v>0</v>
      </c>
      <c r="Z5">
        <v>1.5</v>
      </c>
      <c r="AA5">
        <v>1.5</v>
      </c>
      <c r="AB5">
        <v>0</v>
      </c>
      <c r="AC5">
        <v>1.5</v>
      </c>
      <c r="AD5">
        <v>0</v>
      </c>
    </row>
    <row r="6" spans="1:34" x14ac:dyDescent="0.2">
      <c r="A6" t="s">
        <v>282</v>
      </c>
      <c r="B6" t="s">
        <v>286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73</v>
      </c>
      <c r="Y6">
        <v>2</v>
      </c>
      <c r="Z6">
        <v>73.25</v>
      </c>
      <c r="AA6">
        <v>73.25</v>
      </c>
      <c r="AB6">
        <v>0</v>
      </c>
      <c r="AC6">
        <v>73</v>
      </c>
      <c r="AD6">
        <v>2</v>
      </c>
    </row>
    <row r="7" spans="1:34" x14ac:dyDescent="0.2">
      <c r="A7" t="s">
        <v>282</v>
      </c>
      <c r="B7" t="s">
        <v>287</v>
      </c>
      <c r="C7">
        <v>0</v>
      </c>
      <c r="D7">
        <v>0</v>
      </c>
      <c r="E7">
        <v>23</v>
      </c>
      <c r="F7">
        <v>3.5</v>
      </c>
      <c r="G7">
        <v>23.4375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23</v>
      </c>
      <c r="Y7">
        <v>3.5</v>
      </c>
      <c r="Z7">
        <v>23.4375</v>
      </c>
      <c r="AA7">
        <v>23.4375</v>
      </c>
      <c r="AB7">
        <v>0</v>
      </c>
      <c r="AC7">
        <v>23</v>
      </c>
      <c r="AD7">
        <v>3.5</v>
      </c>
    </row>
    <row r="8" spans="1:34" x14ac:dyDescent="0.2">
      <c r="A8" t="s">
        <v>282</v>
      </c>
      <c r="B8" t="s">
        <v>288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2.5</v>
      </c>
      <c r="Z8">
        <v>0.3125</v>
      </c>
      <c r="AA8">
        <v>0.3125</v>
      </c>
      <c r="AB8">
        <v>0</v>
      </c>
      <c r="AC8">
        <v>0</v>
      </c>
      <c r="AD8">
        <v>2.5</v>
      </c>
    </row>
    <row r="9" spans="1:34" x14ac:dyDescent="0.2">
      <c r="A9" t="s">
        <v>282</v>
      </c>
      <c r="B9" t="s">
        <v>184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4" x14ac:dyDescent="0.2">
      <c r="A10" t="s">
        <v>282</v>
      </c>
      <c r="B10" t="s">
        <v>289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6</v>
      </c>
      <c r="Z10">
        <v>0.75</v>
      </c>
      <c r="AA10">
        <v>0.75</v>
      </c>
      <c r="AB10">
        <v>0</v>
      </c>
      <c r="AC10">
        <v>0</v>
      </c>
      <c r="AD10">
        <v>6</v>
      </c>
    </row>
    <row r="11" spans="1:34" x14ac:dyDescent="0.2">
      <c r="A11" t="s">
        <v>282</v>
      </c>
      <c r="B11" t="s">
        <v>290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47</v>
      </c>
      <c r="R11">
        <v>12</v>
      </c>
      <c r="S11">
        <v>48.5</v>
      </c>
      <c r="T11">
        <v>0</v>
      </c>
      <c r="U11">
        <v>0</v>
      </c>
      <c r="V11">
        <v>0</v>
      </c>
      <c r="W11">
        <v>0</v>
      </c>
      <c r="X11">
        <v>45</v>
      </c>
      <c r="Y11">
        <v>10.5</v>
      </c>
      <c r="Z11">
        <v>46.3125</v>
      </c>
      <c r="AA11">
        <v>2.75</v>
      </c>
      <c r="AB11">
        <v>43.5625</v>
      </c>
      <c r="AC11">
        <v>2</v>
      </c>
      <c r="AD11">
        <v>6</v>
      </c>
      <c r="AE11">
        <v>45</v>
      </c>
      <c r="AF11">
        <v>6</v>
      </c>
      <c r="AG11">
        <v>0</v>
      </c>
      <c r="AH11">
        <v>4.5</v>
      </c>
    </row>
    <row r="12" spans="1:34" x14ac:dyDescent="0.2">
      <c r="A12" t="s">
        <v>282</v>
      </c>
      <c r="B12" t="s">
        <v>444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4" x14ac:dyDescent="0.2">
      <c r="A13" t="s">
        <v>291</v>
      </c>
      <c r="B13" t="s">
        <v>292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13</v>
      </c>
      <c r="U13">
        <v>1</v>
      </c>
      <c r="V13">
        <v>13.125</v>
      </c>
      <c r="W13">
        <v>0</v>
      </c>
      <c r="X13">
        <v>13</v>
      </c>
      <c r="Y13">
        <v>1</v>
      </c>
      <c r="Z13">
        <v>13.125</v>
      </c>
      <c r="AA13">
        <v>13.125</v>
      </c>
      <c r="AB13">
        <v>0</v>
      </c>
      <c r="AC13">
        <v>13</v>
      </c>
      <c r="AD13">
        <v>1</v>
      </c>
    </row>
    <row r="14" spans="1:34" x14ac:dyDescent="0.2">
      <c r="A14" t="s">
        <v>291</v>
      </c>
      <c r="B14" t="s">
        <v>293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4" x14ac:dyDescent="0.2">
      <c r="A15" t="s">
        <v>291</v>
      </c>
      <c r="B15" t="s">
        <v>444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34" x14ac:dyDescent="0.2">
      <c r="A16" t="s">
        <v>294</v>
      </c>
      <c r="B16" t="s">
        <v>295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</v>
      </c>
      <c r="Y16">
        <v>2</v>
      </c>
      <c r="Z16">
        <v>3.25</v>
      </c>
      <c r="AA16">
        <v>3.25</v>
      </c>
      <c r="AB16">
        <v>0</v>
      </c>
      <c r="AC16">
        <v>3</v>
      </c>
      <c r="AD16">
        <v>2</v>
      </c>
    </row>
    <row r="17" spans="1:32" x14ac:dyDescent="0.2">
      <c r="A17" t="s">
        <v>294</v>
      </c>
      <c r="B17" t="s">
        <v>296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69</v>
      </c>
      <c r="U17">
        <v>2</v>
      </c>
      <c r="V17">
        <v>69.25</v>
      </c>
      <c r="W17">
        <v>0</v>
      </c>
      <c r="X17">
        <v>69</v>
      </c>
      <c r="Y17">
        <v>2</v>
      </c>
      <c r="Z17">
        <v>69.25</v>
      </c>
      <c r="AA17">
        <v>69.25</v>
      </c>
      <c r="AB17">
        <v>0</v>
      </c>
      <c r="AC17">
        <v>69</v>
      </c>
      <c r="AD17">
        <v>2</v>
      </c>
    </row>
    <row r="18" spans="1:32" x14ac:dyDescent="0.2">
      <c r="A18" t="s">
        <v>294</v>
      </c>
      <c r="B18" t="s">
        <v>297</v>
      </c>
      <c r="C18">
        <v>0</v>
      </c>
      <c r="D18">
        <v>0</v>
      </c>
      <c r="E18">
        <v>0</v>
      </c>
      <c r="F18">
        <v>0</v>
      </c>
      <c r="G18">
        <v>0</v>
      </c>
      <c r="H18">
        <v>6</v>
      </c>
      <c r="I18">
        <v>5</v>
      </c>
      <c r="J18">
        <v>6.625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</v>
      </c>
      <c r="Y18">
        <v>5</v>
      </c>
      <c r="Z18">
        <v>6.625</v>
      </c>
      <c r="AA18">
        <v>6.625</v>
      </c>
      <c r="AB18">
        <v>0</v>
      </c>
      <c r="AC18">
        <v>6</v>
      </c>
      <c r="AD18">
        <v>5</v>
      </c>
    </row>
    <row r="19" spans="1:32" x14ac:dyDescent="0.2">
      <c r="A19" t="s">
        <v>294</v>
      </c>
      <c r="B19" t="s">
        <v>298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75</v>
      </c>
      <c r="Y19">
        <v>7</v>
      </c>
      <c r="Z19">
        <v>75.875</v>
      </c>
      <c r="AA19">
        <v>75.875</v>
      </c>
      <c r="AB19">
        <v>0</v>
      </c>
      <c r="AC19">
        <v>75</v>
      </c>
      <c r="AD19">
        <v>7</v>
      </c>
    </row>
    <row r="20" spans="1:32" x14ac:dyDescent="0.2">
      <c r="A20" t="s">
        <v>294</v>
      </c>
      <c r="B20" t="s">
        <v>299</v>
      </c>
      <c r="C20">
        <v>0</v>
      </c>
      <c r="D20">
        <v>0</v>
      </c>
      <c r="E20">
        <v>20.5</v>
      </c>
      <c r="F20">
        <v>0</v>
      </c>
      <c r="G20">
        <v>20.5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20.5</v>
      </c>
      <c r="Y20">
        <v>0</v>
      </c>
      <c r="Z20">
        <v>20.5</v>
      </c>
      <c r="AA20">
        <v>20.5</v>
      </c>
      <c r="AB20">
        <v>0</v>
      </c>
      <c r="AC20">
        <v>20.5</v>
      </c>
      <c r="AD20">
        <v>0</v>
      </c>
    </row>
    <row r="21" spans="1:32" x14ac:dyDescent="0.2">
      <c r="A21" t="s">
        <v>294</v>
      </c>
      <c r="B21" t="s">
        <v>300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</v>
      </c>
      <c r="Z21">
        <v>0.25</v>
      </c>
      <c r="AA21">
        <v>0.625</v>
      </c>
      <c r="AB21">
        <v>-0.375</v>
      </c>
      <c r="AC21">
        <v>0</v>
      </c>
      <c r="AD21">
        <v>5</v>
      </c>
      <c r="AE21">
        <v>0</v>
      </c>
      <c r="AF21">
        <v>2</v>
      </c>
    </row>
    <row r="22" spans="1:32" x14ac:dyDescent="0.2">
      <c r="A22" t="s">
        <v>294</v>
      </c>
      <c r="B22" t="s">
        <v>505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32" x14ac:dyDescent="0.2">
      <c r="A23" t="s">
        <v>294</v>
      </c>
      <c r="B23" t="s">
        <v>184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2" x14ac:dyDescent="0.2">
      <c r="A24" t="s">
        <v>294</v>
      </c>
      <c r="B24" t="s">
        <v>302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6.5</v>
      </c>
      <c r="Y24">
        <v>4</v>
      </c>
      <c r="Z24">
        <v>7</v>
      </c>
      <c r="AA24">
        <v>0.5</v>
      </c>
      <c r="AB24">
        <v>6.5</v>
      </c>
      <c r="AC24">
        <v>0</v>
      </c>
      <c r="AD24">
        <v>4</v>
      </c>
      <c r="AE24">
        <v>6.5</v>
      </c>
      <c r="AF24">
        <v>0</v>
      </c>
    </row>
    <row r="25" spans="1:32" x14ac:dyDescent="0.2">
      <c r="A25" t="s">
        <v>294</v>
      </c>
      <c r="B25" t="s">
        <v>303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19.5</v>
      </c>
      <c r="Y25">
        <v>0</v>
      </c>
      <c r="Z25">
        <v>19.5</v>
      </c>
      <c r="AA25">
        <v>19.5</v>
      </c>
      <c r="AB25">
        <v>0</v>
      </c>
      <c r="AC25">
        <v>19.5</v>
      </c>
      <c r="AD25">
        <v>0</v>
      </c>
    </row>
    <row r="26" spans="1:32" x14ac:dyDescent="0.2">
      <c r="A26" t="s">
        <v>294</v>
      </c>
      <c r="B26" t="s">
        <v>304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>
        <v>6.5</v>
      </c>
      <c r="Z26">
        <v>2.8125</v>
      </c>
      <c r="AA26">
        <v>2.8125</v>
      </c>
      <c r="AB26">
        <v>0</v>
      </c>
      <c r="AC26">
        <v>2</v>
      </c>
      <c r="AD26">
        <v>6.5</v>
      </c>
    </row>
    <row r="27" spans="1:32" x14ac:dyDescent="0.2">
      <c r="A27" t="s">
        <v>294</v>
      </c>
      <c r="B27" t="s">
        <v>506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23</v>
      </c>
      <c r="R27">
        <v>2</v>
      </c>
      <c r="S27">
        <v>23.25</v>
      </c>
      <c r="T27">
        <v>0</v>
      </c>
      <c r="U27">
        <v>0</v>
      </c>
      <c r="V27">
        <v>0</v>
      </c>
      <c r="W27">
        <v>0</v>
      </c>
    </row>
    <row r="28" spans="1:32" x14ac:dyDescent="0.2">
      <c r="A28" t="s">
        <v>294</v>
      </c>
      <c r="B28" t="s">
        <v>444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32" x14ac:dyDescent="0.2">
      <c r="A29" t="s">
        <v>306</v>
      </c>
      <c r="B29" t="s">
        <v>307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7</v>
      </c>
      <c r="Z29">
        <v>0.875</v>
      </c>
      <c r="AA29">
        <v>0.875</v>
      </c>
      <c r="AB29">
        <v>0</v>
      </c>
      <c r="AC29">
        <v>0</v>
      </c>
      <c r="AD29">
        <v>7</v>
      </c>
    </row>
    <row r="30" spans="1:32" x14ac:dyDescent="0.2">
      <c r="A30" t="s">
        <v>306</v>
      </c>
      <c r="B30" t="s">
        <v>308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160</v>
      </c>
      <c r="U30">
        <v>7</v>
      </c>
      <c r="V30">
        <v>160.875</v>
      </c>
      <c r="W30">
        <v>0</v>
      </c>
      <c r="X30">
        <v>160</v>
      </c>
      <c r="Y30">
        <v>7</v>
      </c>
      <c r="Z30">
        <v>160.875</v>
      </c>
      <c r="AA30">
        <v>160.875</v>
      </c>
      <c r="AB30">
        <v>0</v>
      </c>
      <c r="AC30">
        <v>160</v>
      </c>
      <c r="AD30">
        <v>7</v>
      </c>
    </row>
    <row r="31" spans="1:32" x14ac:dyDescent="0.2">
      <c r="A31" t="s">
        <v>306</v>
      </c>
      <c r="B31" t="s">
        <v>309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18</v>
      </c>
      <c r="Y31">
        <v>0</v>
      </c>
      <c r="Z31">
        <v>18</v>
      </c>
      <c r="AA31">
        <v>18</v>
      </c>
      <c r="AB31">
        <v>0</v>
      </c>
      <c r="AC31">
        <v>18</v>
      </c>
      <c r="AD31">
        <v>0</v>
      </c>
    </row>
    <row r="32" spans="1:32" x14ac:dyDescent="0.2">
      <c r="A32" t="s">
        <v>306</v>
      </c>
      <c r="B32" t="s">
        <v>310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178</v>
      </c>
      <c r="Y32">
        <v>7</v>
      </c>
      <c r="Z32">
        <v>178.875</v>
      </c>
      <c r="AA32">
        <v>178.875</v>
      </c>
      <c r="AB32">
        <v>0</v>
      </c>
      <c r="AC32">
        <v>178</v>
      </c>
      <c r="AD32">
        <v>7</v>
      </c>
    </row>
    <row r="33" spans="1:32" x14ac:dyDescent="0.2">
      <c r="A33" t="s">
        <v>306</v>
      </c>
      <c r="B33" t="s">
        <v>311</v>
      </c>
      <c r="C33">
        <v>0</v>
      </c>
      <c r="D33">
        <v>0</v>
      </c>
      <c r="E33">
        <v>82</v>
      </c>
      <c r="F33">
        <v>0</v>
      </c>
      <c r="G33">
        <v>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82</v>
      </c>
      <c r="Y33">
        <v>0</v>
      </c>
      <c r="Z33">
        <v>82</v>
      </c>
      <c r="AA33">
        <v>82</v>
      </c>
      <c r="AB33">
        <v>0</v>
      </c>
      <c r="AC33">
        <v>82</v>
      </c>
      <c r="AD33">
        <v>0</v>
      </c>
    </row>
    <row r="34" spans="1:32" x14ac:dyDescent="0.2">
      <c r="A34" t="s">
        <v>306</v>
      </c>
      <c r="B34" t="s">
        <v>312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5</v>
      </c>
      <c r="Z34">
        <v>0.625</v>
      </c>
      <c r="AA34">
        <v>0.625</v>
      </c>
      <c r="AB34">
        <v>0</v>
      </c>
      <c r="AC34">
        <v>0</v>
      </c>
      <c r="AD34">
        <v>5</v>
      </c>
    </row>
    <row r="35" spans="1:32" x14ac:dyDescent="0.2">
      <c r="A35" t="s">
        <v>306</v>
      </c>
      <c r="B35" t="s">
        <v>184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2" x14ac:dyDescent="0.2">
      <c r="A36" t="s">
        <v>306</v>
      </c>
      <c r="B36" t="s">
        <v>184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2" x14ac:dyDescent="0.2">
      <c r="A37" t="s">
        <v>306</v>
      </c>
      <c r="B37" t="s">
        <v>184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2" x14ac:dyDescent="0.2">
      <c r="A38" t="s">
        <v>306</v>
      </c>
      <c r="B38" t="s">
        <v>184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2" x14ac:dyDescent="0.2">
      <c r="A39" t="s">
        <v>306</v>
      </c>
      <c r="B39" t="s">
        <v>313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19.5</v>
      </c>
      <c r="O39">
        <v>0</v>
      </c>
      <c r="P39">
        <v>19.5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19.5</v>
      </c>
      <c r="Y39">
        <v>0</v>
      </c>
      <c r="Z39">
        <v>19.5</v>
      </c>
      <c r="AA39">
        <v>19.5</v>
      </c>
      <c r="AB39">
        <v>0</v>
      </c>
      <c r="AC39">
        <v>19.5</v>
      </c>
      <c r="AD39">
        <v>0</v>
      </c>
    </row>
    <row r="40" spans="1:32" x14ac:dyDescent="0.2">
      <c r="A40" t="s">
        <v>306</v>
      </c>
      <c r="B40" t="s">
        <v>184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2" x14ac:dyDescent="0.2">
      <c r="A41" t="s">
        <v>306</v>
      </c>
      <c r="B41" t="s">
        <v>184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2" x14ac:dyDescent="0.2">
      <c r="A42" t="s">
        <v>306</v>
      </c>
      <c r="B42" t="s">
        <v>184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2" x14ac:dyDescent="0.2">
      <c r="A43" t="s">
        <v>306</v>
      </c>
      <c r="B43" t="s">
        <v>184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2" x14ac:dyDescent="0.2">
      <c r="A44" t="s">
        <v>306</v>
      </c>
      <c r="B44" t="s">
        <v>314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16</v>
      </c>
      <c r="O44">
        <v>0</v>
      </c>
      <c r="P44">
        <v>16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16</v>
      </c>
      <c r="Y44">
        <v>1</v>
      </c>
      <c r="Z44">
        <v>16.125</v>
      </c>
      <c r="AA44">
        <v>16</v>
      </c>
      <c r="AB44">
        <v>0.125</v>
      </c>
      <c r="AC44">
        <v>16</v>
      </c>
      <c r="AD44">
        <v>0</v>
      </c>
      <c r="AE44">
        <v>0</v>
      </c>
      <c r="AF44">
        <v>1</v>
      </c>
    </row>
    <row r="45" spans="1:32" x14ac:dyDescent="0.2">
      <c r="A45" t="s">
        <v>306</v>
      </c>
      <c r="B45" t="s">
        <v>184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2" x14ac:dyDescent="0.2">
      <c r="A46" t="s">
        <v>306</v>
      </c>
      <c r="B46" t="s">
        <v>184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2" x14ac:dyDescent="0.2">
      <c r="A47" t="s">
        <v>306</v>
      </c>
      <c r="B47" t="s">
        <v>184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2" x14ac:dyDescent="0.2">
      <c r="A48" t="s">
        <v>306</v>
      </c>
      <c r="B48" t="s">
        <v>184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4" x14ac:dyDescent="0.2">
      <c r="A49" t="s">
        <v>306</v>
      </c>
      <c r="B49" t="s">
        <v>315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6</v>
      </c>
      <c r="O49">
        <v>0</v>
      </c>
      <c r="P49">
        <v>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6</v>
      </c>
      <c r="Y49">
        <v>0</v>
      </c>
      <c r="Z49">
        <v>6</v>
      </c>
      <c r="AA49">
        <v>6</v>
      </c>
      <c r="AB49">
        <v>0</v>
      </c>
      <c r="AC49">
        <v>6</v>
      </c>
      <c r="AD49">
        <v>0</v>
      </c>
    </row>
    <row r="50" spans="1:34" x14ac:dyDescent="0.2">
      <c r="A50" t="s">
        <v>306</v>
      </c>
      <c r="B50" t="s">
        <v>316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18</v>
      </c>
      <c r="Y50">
        <v>0</v>
      </c>
      <c r="Z50">
        <v>18</v>
      </c>
      <c r="AA50">
        <v>18</v>
      </c>
      <c r="AB50">
        <v>0</v>
      </c>
      <c r="AC50">
        <v>18</v>
      </c>
      <c r="AD50">
        <v>0</v>
      </c>
    </row>
    <row r="51" spans="1:34" x14ac:dyDescent="0.2">
      <c r="A51" t="s">
        <v>306</v>
      </c>
      <c r="B51" t="s">
        <v>184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4" x14ac:dyDescent="0.2">
      <c r="A52" t="s">
        <v>306</v>
      </c>
      <c r="B52" t="s">
        <v>184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4" x14ac:dyDescent="0.2">
      <c r="A53" t="s">
        <v>306</v>
      </c>
      <c r="B53" t="s">
        <v>184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4" x14ac:dyDescent="0.2">
      <c r="A54" t="s">
        <v>306</v>
      </c>
      <c r="B54" t="s">
        <v>184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4" x14ac:dyDescent="0.2">
      <c r="A55" t="s">
        <v>306</v>
      </c>
      <c r="B55" t="s">
        <v>317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</v>
      </c>
      <c r="Z55">
        <v>0.25</v>
      </c>
      <c r="AA55">
        <v>0.25</v>
      </c>
      <c r="AB55">
        <v>0</v>
      </c>
      <c r="AC55">
        <v>0</v>
      </c>
      <c r="AD55">
        <v>2</v>
      </c>
    </row>
    <row r="56" spans="1:34" x14ac:dyDescent="0.2">
      <c r="A56" t="s">
        <v>306</v>
      </c>
      <c r="B56" t="s">
        <v>318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</v>
      </c>
      <c r="O56">
        <v>2</v>
      </c>
      <c r="P56">
        <v>3.25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</v>
      </c>
      <c r="Y56">
        <v>2</v>
      </c>
      <c r="Z56">
        <v>3.25</v>
      </c>
      <c r="AA56">
        <v>3.25</v>
      </c>
      <c r="AB56">
        <v>0</v>
      </c>
      <c r="AC56">
        <v>3</v>
      </c>
      <c r="AD56">
        <v>2</v>
      </c>
    </row>
    <row r="57" spans="1:34" x14ac:dyDescent="0.2">
      <c r="A57" t="s">
        <v>306</v>
      </c>
      <c r="B57" t="s">
        <v>319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</v>
      </c>
      <c r="Y57">
        <v>15</v>
      </c>
      <c r="Z57">
        <v>3.875</v>
      </c>
      <c r="AA57">
        <v>129</v>
      </c>
      <c r="AB57">
        <v>-125.125</v>
      </c>
      <c r="AC57">
        <v>129</v>
      </c>
      <c r="AD57">
        <v>0</v>
      </c>
      <c r="AE57">
        <v>2</v>
      </c>
      <c r="AF57">
        <v>3</v>
      </c>
      <c r="AG57">
        <v>0</v>
      </c>
      <c r="AH57">
        <v>12</v>
      </c>
    </row>
    <row r="58" spans="1:34" x14ac:dyDescent="0.2">
      <c r="A58" t="s">
        <v>306</v>
      </c>
      <c r="B58" t="s">
        <v>320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31.5</v>
      </c>
      <c r="R58">
        <v>0</v>
      </c>
      <c r="S58">
        <v>31.5</v>
      </c>
      <c r="T58">
        <v>0</v>
      </c>
      <c r="U58">
        <v>0</v>
      </c>
      <c r="V58">
        <v>0</v>
      </c>
      <c r="W58">
        <v>0</v>
      </c>
      <c r="X58">
        <v>31.5</v>
      </c>
      <c r="Y58">
        <v>0</v>
      </c>
      <c r="Z58">
        <v>31.5</v>
      </c>
      <c r="AA58">
        <v>31.5</v>
      </c>
      <c r="AB58">
        <v>0</v>
      </c>
      <c r="AC58">
        <v>31.5</v>
      </c>
      <c r="AD58">
        <v>0</v>
      </c>
    </row>
    <row r="59" spans="1:34" x14ac:dyDescent="0.2">
      <c r="A59" t="s">
        <v>306</v>
      </c>
      <c r="B59" t="s">
        <v>444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34" x14ac:dyDescent="0.2">
      <c r="A60" t="s">
        <v>321</v>
      </c>
      <c r="B60" t="s">
        <v>322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</v>
      </c>
      <c r="Z60">
        <v>0.25</v>
      </c>
      <c r="AA60">
        <v>0.25</v>
      </c>
      <c r="AB60">
        <v>0</v>
      </c>
      <c r="AC60">
        <v>0</v>
      </c>
      <c r="AD60">
        <v>2</v>
      </c>
    </row>
    <row r="61" spans="1:34" x14ac:dyDescent="0.2">
      <c r="A61" t="s">
        <v>321</v>
      </c>
      <c r="B61" t="s">
        <v>323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</v>
      </c>
      <c r="U61">
        <v>2</v>
      </c>
      <c r="V61">
        <v>4.25</v>
      </c>
      <c r="W61">
        <v>0</v>
      </c>
      <c r="X61">
        <v>4</v>
      </c>
      <c r="Y61">
        <v>2</v>
      </c>
      <c r="Z61">
        <v>4.25</v>
      </c>
      <c r="AA61">
        <v>4.25</v>
      </c>
      <c r="AB61">
        <v>0</v>
      </c>
      <c r="AC61">
        <v>4</v>
      </c>
      <c r="AD61">
        <v>2</v>
      </c>
    </row>
    <row r="62" spans="1:34" x14ac:dyDescent="0.2">
      <c r="A62" t="s">
        <v>321</v>
      </c>
      <c r="B62" t="s">
        <v>324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1.5</v>
      </c>
      <c r="Y62">
        <v>0</v>
      </c>
      <c r="Z62">
        <v>1.5</v>
      </c>
      <c r="AA62">
        <v>1.5</v>
      </c>
      <c r="AB62">
        <v>0</v>
      </c>
      <c r="AC62">
        <v>1.5</v>
      </c>
      <c r="AD62">
        <v>0</v>
      </c>
    </row>
    <row r="63" spans="1:34" x14ac:dyDescent="0.2">
      <c r="A63" t="s">
        <v>321</v>
      </c>
      <c r="B63" t="s">
        <v>507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34" x14ac:dyDescent="0.2">
      <c r="A64" t="s">
        <v>321</v>
      </c>
      <c r="B64" t="s">
        <v>326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6</v>
      </c>
      <c r="Y64">
        <v>6</v>
      </c>
      <c r="Z64">
        <v>6.75</v>
      </c>
      <c r="AA64">
        <v>6.75</v>
      </c>
      <c r="AB64">
        <v>0</v>
      </c>
      <c r="AC64">
        <v>6</v>
      </c>
      <c r="AD64">
        <v>6</v>
      </c>
    </row>
    <row r="65" spans="1:32" x14ac:dyDescent="0.2">
      <c r="A65" t="s">
        <v>321</v>
      </c>
      <c r="B65" t="s">
        <v>327</v>
      </c>
      <c r="C65">
        <v>0</v>
      </c>
      <c r="D65">
        <v>0</v>
      </c>
      <c r="E65">
        <v>5</v>
      </c>
      <c r="F65">
        <v>0</v>
      </c>
      <c r="G65">
        <v>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5</v>
      </c>
      <c r="R65">
        <v>0</v>
      </c>
      <c r="S65">
        <v>5</v>
      </c>
      <c r="T65">
        <v>0</v>
      </c>
      <c r="U65">
        <v>0</v>
      </c>
      <c r="V65">
        <v>0</v>
      </c>
      <c r="W65">
        <v>0</v>
      </c>
      <c r="X65">
        <v>5</v>
      </c>
      <c r="Y65">
        <v>2</v>
      </c>
      <c r="Z65">
        <v>5.25</v>
      </c>
      <c r="AA65">
        <v>0.25</v>
      </c>
      <c r="AB65">
        <v>5</v>
      </c>
      <c r="AC65">
        <v>0</v>
      </c>
      <c r="AD65">
        <v>2</v>
      </c>
      <c r="AE65">
        <v>5</v>
      </c>
      <c r="AF65">
        <v>0</v>
      </c>
    </row>
    <row r="66" spans="1:32" x14ac:dyDescent="0.2">
      <c r="A66" t="s">
        <v>321</v>
      </c>
      <c r="B66" t="s">
        <v>184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2" x14ac:dyDescent="0.2">
      <c r="A67" t="s">
        <v>321</v>
      </c>
      <c r="B67" t="s">
        <v>328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1.5</v>
      </c>
      <c r="Y67">
        <v>0</v>
      </c>
      <c r="Z67">
        <v>1.5</v>
      </c>
      <c r="AA67">
        <v>1.5</v>
      </c>
      <c r="AB67">
        <v>0</v>
      </c>
      <c r="AC67">
        <v>1.5</v>
      </c>
      <c r="AD67">
        <v>0</v>
      </c>
    </row>
    <row r="68" spans="1:32" x14ac:dyDescent="0.2">
      <c r="A68" t="s">
        <v>321</v>
      </c>
      <c r="B68" t="s">
        <v>444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32" x14ac:dyDescent="0.2">
      <c r="A69" t="s">
        <v>329</v>
      </c>
      <c r="B69" t="s">
        <v>330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2" x14ac:dyDescent="0.2">
      <c r="A70" t="s">
        <v>329</v>
      </c>
      <c r="B70" t="s">
        <v>331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</v>
      </c>
      <c r="U70">
        <v>2</v>
      </c>
      <c r="V70">
        <v>4.25</v>
      </c>
      <c r="W70">
        <v>0</v>
      </c>
      <c r="X70">
        <v>4</v>
      </c>
      <c r="Y70">
        <v>2</v>
      </c>
      <c r="Z70">
        <v>4.25</v>
      </c>
      <c r="AA70">
        <v>4.25</v>
      </c>
      <c r="AB70">
        <v>0</v>
      </c>
      <c r="AC70">
        <v>4</v>
      </c>
      <c r="AD70">
        <v>2</v>
      </c>
    </row>
    <row r="71" spans="1:32" x14ac:dyDescent="0.2">
      <c r="A71" t="s">
        <v>329</v>
      </c>
      <c r="B71" t="s">
        <v>332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4</v>
      </c>
      <c r="Y71">
        <v>0</v>
      </c>
      <c r="Z71">
        <v>4</v>
      </c>
      <c r="AA71">
        <v>4</v>
      </c>
      <c r="AB71">
        <v>0</v>
      </c>
      <c r="AC71">
        <v>4</v>
      </c>
      <c r="AD71">
        <v>0</v>
      </c>
    </row>
    <row r="72" spans="1:32" x14ac:dyDescent="0.2">
      <c r="A72" t="s">
        <v>329</v>
      </c>
      <c r="B72" t="s">
        <v>333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8</v>
      </c>
      <c r="Y72">
        <v>2</v>
      </c>
      <c r="Z72">
        <v>8.25</v>
      </c>
      <c r="AA72">
        <v>8.25</v>
      </c>
      <c r="AB72">
        <v>0</v>
      </c>
      <c r="AC72">
        <v>8</v>
      </c>
      <c r="AD72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10"/>
  <sheetViews>
    <sheetView workbookViewId="0"/>
  </sheetViews>
  <sheetFormatPr baseColWidth="10" defaultColWidth="8.83203125" defaultRowHeight="15" x14ac:dyDescent="0.2"/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515</v>
      </c>
      <c r="N1" s="1" t="s">
        <v>516</v>
      </c>
      <c r="O1" s="1" t="s">
        <v>18</v>
      </c>
      <c r="P1" s="1" t="s">
        <v>19</v>
      </c>
      <c r="Q1" s="1" t="s">
        <v>12</v>
      </c>
      <c r="R1" s="1" t="s">
        <v>13</v>
      </c>
      <c r="S1" s="1" t="s">
        <v>20</v>
      </c>
      <c r="T1" s="1" t="s">
        <v>21</v>
      </c>
      <c r="U1" s="1" t="s">
        <v>14</v>
      </c>
      <c r="V1" s="1" t="s">
        <v>15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517</v>
      </c>
      <c r="AB1" s="1" t="s">
        <v>518</v>
      </c>
      <c r="AC1" s="1" t="s">
        <v>519</v>
      </c>
      <c r="AD1" s="1" t="s">
        <v>520</v>
      </c>
      <c r="AE1" s="1" t="s">
        <v>521</v>
      </c>
      <c r="AF1" s="1" t="s">
        <v>510</v>
      </c>
      <c r="AG1" s="1" t="s">
        <v>511</v>
      </c>
      <c r="AH1" s="1" t="s">
        <v>522</v>
      </c>
    </row>
    <row r="2" spans="1:34" x14ac:dyDescent="0.2">
      <c r="A2" t="s">
        <v>140</v>
      </c>
      <c r="B2" t="s">
        <v>141</v>
      </c>
      <c r="C2">
        <v>12.71</v>
      </c>
      <c r="D2">
        <v>12</v>
      </c>
      <c r="E2">
        <v>14</v>
      </c>
      <c r="F2">
        <v>3</v>
      </c>
      <c r="G2" t="s">
        <v>142</v>
      </c>
      <c r="H2">
        <v>45.5</v>
      </c>
      <c r="I2">
        <v>2</v>
      </c>
      <c r="J2">
        <v>45.75</v>
      </c>
      <c r="K2">
        <v>45.75</v>
      </c>
      <c r="L2">
        <v>0</v>
      </c>
      <c r="M2">
        <v>45</v>
      </c>
      <c r="N2">
        <v>6</v>
      </c>
      <c r="O2">
        <v>5</v>
      </c>
      <c r="P2">
        <v>0</v>
      </c>
      <c r="Q2">
        <v>20</v>
      </c>
      <c r="R2">
        <v>2</v>
      </c>
      <c r="S2">
        <v>6</v>
      </c>
      <c r="T2">
        <v>0</v>
      </c>
      <c r="U2">
        <v>25.5</v>
      </c>
      <c r="V2">
        <v>0</v>
      </c>
      <c r="AA2">
        <v>0.25</v>
      </c>
      <c r="AB2">
        <v>0.3</v>
      </c>
      <c r="AE2">
        <v>45.75</v>
      </c>
      <c r="AF2">
        <v>0.27786885245901638</v>
      </c>
      <c r="AG2">
        <v>0.27500000000000002</v>
      </c>
      <c r="AH2" t="s">
        <v>142</v>
      </c>
    </row>
    <row r="3" spans="1:34" x14ac:dyDescent="0.2">
      <c r="A3" t="s">
        <v>140</v>
      </c>
      <c r="B3" t="s">
        <v>143</v>
      </c>
      <c r="C3">
        <v>1.75</v>
      </c>
      <c r="D3">
        <v>1</v>
      </c>
      <c r="E3">
        <v>15</v>
      </c>
      <c r="F3">
        <v>0</v>
      </c>
      <c r="G3" t="s">
        <v>144</v>
      </c>
      <c r="H3">
        <v>13</v>
      </c>
      <c r="I3">
        <v>1</v>
      </c>
      <c r="J3">
        <v>13.125</v>
      </c>
      <c r="K3">
        <v>13.125</v>
      </c>
      <c r="L3">
        <v>0</v>
      </c>
      <c r="M3">
        <v>13</v>
      </c>
      <c r="N3">
        <v>1</v>
      </c>
      <c r="O3">
        <v>2</v>
      </c>
      <c r="P3">
        <v>8</v>
      </c>
      <c r="AA3">
        <v>0.1333333333333333</v>
      </c>
      <c r="AE3">
        <v>13.125</v>
      </c>
      <c r="AF3">
        <v>0.1333333333333333</v>
      </c>
      <c r="AG3">
        <v>0.1333333333333333</v>
      </c>
      <c r="AH3" t="s">
        <v>144</v>
      </c>
    </row>
    <row r="4" spans="1:34" x14ac:dyDescent="0.2">
      <c r="A4" t="s">
        <v>140</v>
      </c>
      <c r="B4" t="s">
        <v>145</v>
      </c>
      <c r="C4">
        <v>4.6500000000000004</v>
      </c>
      <c r="D4">
        <v>4</v>
      </c>
      <c r="E4">
        <v>13</v>
      </c>
      <c r="F4">
        <v>0</v>
      </c>
      <c r="G4" t="s">
        <v>146</v>
      </c>
      <c r="H4">
        <v>23</v>
      </c>
      <c r="I4">
        <v>2</v>
      </c>
      <c r="J4">
        <v>23.25</v>
      </c>
      <c r="K4">
        <v>23.25</v>
      </c>
      <c r="L4">
        <v>0</v>
      </c>
      <c r="M4">
        <v>23</v>
      </c>
      <c r="N4">
        <v>2</v>
      </c>
      <c r="O4">
        <v>4</v>
      </c>
      <c r="P4">
        <v>0</v>
      </c>
      <c r="AA4">
        <v>0.2</v>
      </c>
      <c r="AE4">
        <v>23.25</v>
      </c>
      <c r="AF4">
        <v>0.2</v>
      </c>
      <c r="AG4">
        <v>0.2</v>
      </c>
      <c r="AH4" t="s">
        <v>146</v>
      </c>
    </row>
    <row r="5" spans="1:34" x14ac:dyDescent="0.2">
      <c r="A5" t="s">
        <v>140</v>
      </c>
      <c r="B5" t="s">
        <v>147</v>
      </c>
      <c r="C5">
        <v>3.29</v>
      </c>
      <c r="D5">
        <v>3</v>
      </c>
      <c r="E5">
        <v>5</v>
      </c>
      <c r="F5">
        <v>9.5</v>
      </c>
      <c r="G5" t="s">
        <v>148</v>
      </c>
      <c r="H5">
        <v>30</v>
      </c>
      <c r="I5">
        <v>12</v>
      </c>
      <c r="J5">
        <v>31.5</v>
      </c>
      <c r="K5">
        <v>31.5</v>
      </c>
      <c r="L5">
        <v>0</v>
      </c>
      <c r="M5">
        <v>31.5</v>
      </c>
      <c r="N5">
        <v>0</v>
      </c>
      <c r="O5">
        <v>2</v>
      </c>
      <c r="P5">
        <v>0</v>
      </c>
      <c r="Q5">
        <v>14</v>
      </c>
      <c r="R5">
        <v>6</v>
      </c>
      <c r="S5">
        <v>2</v>
      </c>
      <c r="T5">
        <v>2</v>
      </c>
      <c r="U5">
        <v>16</v>
      </c>
      <c r="V5">
        <v>6</v>
      </c>
      <c r="AA5">
        <v>0.1</v>
      </c>
      <c r="AB5">
        <v>0.1083333333333333</v>
      </c>
      <c r="AE5">
        <v>31.5</v>
      </c>
      <c r="AF5">
        <v>0.1044312169312169</v>
      </c>
      <c r="AG5">
        <v>0.1041666666666667</v>
      </c>
      <c r="AH5" t="s">
        <v>148</v>
      </c>
    </row>
    <row r="6" spans="1:34" x14ac:dyDescent="0.2">
      <c r="A6" t="s">
        <v>140</v>
      </c>
      <c r="B6" t="s">
        <v>149</v>
      </c>
      <c r="C6">
        <v>0.62</v>
      </c>
      <c r="D6">
        <v>0</v>
      </c>
      <c r="E6">
        <v>12</v>
      </c>
      <c r="F6">
        <v>6</v>
      </c>
      <c r="G6" t="s">
        <v>150</v>
      </c>
      <c r="H6">
        <v>5</v>
      </c>
      <c r="I6">
        <v>0</v>
      </c>
      <c r="J6">
        <v>5</v>
      </c>
      <c r="K6">
        <v>5</v>
      </c>
      <c r="L6">
        <v>0</v>
      </c>
      <c r="M6">
        <v>5</v>
      </c>
      <c r="N6">
        <v>0</v>
      </c>
      <c r="O6">
        <v>2</v>
      </c>
      <c r="P6">
        <v>6</v>
      </c>
      <c r="AA6">
        <v>0.125</v>
      </c>
      <c r="AE6">
        <v>5</v>
      </c>
      <c r="AF6">
        <v>0.125</v>
      </c>
      <c r="AG6">
        <v>0.125</v>
      </c>
      <c r="AH6" t="s">
        <v>150</v>
      </c>
    </row>
    <row r="7" spans="1:34" x14ac:dyDescent="0.2">
      <c r="A7" t="s">
        <v>140</v>
      </c>
      <c r="B7" t="s">
        <v>151</v>
      </c>
      <c r="C7">
        <v>0.83</v>
      </c>
      <c r="D7">
        <v>0</v>
      </c>
      <c r="E7">
        <v>16</v>
      </c>
      <c r="F7">
        <v>6</v>
      </c>
      <c r="G7" t="s">
        <v>152</v>
      </c>
      <c r="H7">
        <v>8</v>
      </c>
      <c r="I7">
        <v>0</v>
      </c>
      <c r="J7">
        <v>8</v>
      </c>
      <c r="K7">
        <v>8</v>
      </c>
      <c r="L7">
        <v>0</v>
      </c>
      <c r="M7">
        <v>8</v>
      </c>
      <c r="N7">
        <v>0</v>
      </c>
      <c r="O7">
        <v>2</v>
      </c>
      <c r="P7">
        <v>0</v>
      </c>
      <c r="AA7">
        <v>0.1</v>
      </c>
      <c r="AE7">
        <v>8</v>
      </c>
      <c r="AF7">
        <v>0.1</v>
      </c>
      <c r="AG7">
        <v>0.1</v>
      </c>
      <c r="AH7" t="s">
        <v>152</v>
      </c>
    </row>
    <row r="8" spans="1:34" x14ac:dyDescent="0.2">
      <c r="A8" t="s">
        <v>140</v>
      </c>
      <c r="B8" t="s">
        <v>153</v>
      </c>
      <c r="C8">
        <v>0.17</v>
      </c>
      <c r="D8">
        <v>0</v>
      </c>
      <c r="E8">
        <v>3</v>
      </c>
      <c r="F8">
        <v>4.5</v>
      </c>
      <c r="G8" t="s">
        <v>142</v>
      </c>
      <c r="H8">
        <v>0</v>
      </c>
      <c r="I8">
        <v>4.5</v>
      </c>
      <c r="J8">
        <v>0.5625</v>
      </c>
      <c r="K8">
        <v>0.5625</v>
      </c>
      <c r="L8">
        <v>0</v>
      </c>
      <c r="M8">
        <v>0</v>
      </c>
      <c r="N8">
        <v>4.5</v>
      </c>
      <c r="AA8">
        <v>0.30222222222222223</v>
      </c>
      <c r="AE8">
        <v>0.5625</v>
      </c>
      <c r="AF8">
        <v>0.30222222222222223</v>
      </c>
      <c r="AG8">
        <v>0.30222222222222223</v>
      </c>
      <c r="AH8" t="s">
        <v>142</v>
      </c>
    </row>
    <row r="9" spans="1:34" x14ac:dyDescent="0.2">
      <c r="A9" t="s">
        <v>140</v>
      </c>
      <c r="B9" t="s">
        <v>154</v>
      </c>
      <c r="C9">
        <v>0.14000000000000001</v>
      </c>
      <c r="D9">
        <v>0</v>
      </c>
      <c r="E9">
        <v>2</v>
      </c>
      <c r="F9">
        <v>9</v>
      </c>
      <c r="G9" t="s">
        <v>146</v>
      </c>
      <c r="H9">
        <v>0</v>
      </c>
      <c r="I9">
        <v>5.5</v>
      </c>
      <c r="J9">
        <v>0.6875</v>
      </c>
      <c r="K9">
        <v>0.6875</v>
      </c>
      <c r="L9">
        <v>0</v>
      </c>
      <c r="M9">
        <v>0</v>
      </c>
      <c r="N9">
        <v>5.5</v>
      </c>
      <c r="AA9">
        <v>0.20363636363636359</v>
      </c>
      <c r="AE9">
        <v>0.6875</v>
      </c>
      <c r="AF9">
        <v>0.20363636363636359</v>
      </c>
      <c r="AG9">
        <v>0.20363636363636359</v>
      </c>
      <c r="AH9" t="s">
        <v>146</v>
      </c>
    </row>
    <row r="10" spans="1:34" x14ac:dyDescent="0.2">
      <c r="A10" t="s">
        <v>140</v>
      </c>
      <c r="B10" t="s">
        <v>155</v>
      </c>
      <c r="C10">
        <v>24.16</v>
      </c>
      <c r="D10">
        <v>24</v>
      </c>
      <c r="E10">
        <v>3</v>
      </c>
      <c r="F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AA10" t="s">
        <v>523</v>
      </c>
      <c r="AE10">
        <v>0</v>
      </c>
      <c r="AF10" t="s">
        <v>523</v>
      </c>
      <c r="AG10" t="s">
        <v>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Receipts</vt:lpstr>
      <vt:lpstr>Expenses</vt:lpstr>
      <vt:lpstr>Issues of the Grange</vt:lpstr>
      <vt:lpstr>Issues of the Mills</vt:lpstr>
      <vt:lpstr>Stock</vt:lpstr>
      <vt:lpstr>raw data</vt:lpstr>
      <vt:lpstr>Issues of the Grange raw</vt:lpstr>
      <vt:lpstr>Sale of Corn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Gierok</cp:lastModifiedBy>
  <dcterms:created xsi:type="dcterms:W3CDTF">2024-04-19T11:10:13Z</dcterms:created>
  <dcterms:modified xsi:type="dcterms:W3CDTF">2025-09-23T13:37:38Z</dcterms:modified>
</cp:coreProperties>
</file>
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BA3484E5-F1DC-CC4B-B66E-C5BA86E62662}" xr6:coauthVersionLast="47" xr6:coauthVersionMax="47" xr10:uidLastSave="{00000000-0000-0000-0000-000000000000}"/>
  <bookViews>
    <workbookView xWindow="3300" yWindow="500" windowWidth="24120" windowHeight="16540" xr2:uid="{00000000-000D-0000-FFFF-FFFF00000000}"/>
  </bookViews>
  <sheets>
    <sheet name="Overview" sheetId="5" r:id="rId1"/>
    <sheet name="Receipts" sheetId="2" r:id="rId2"/>
    <sheet name="Expenses" sheetId="3" r:id="rId3"/>
    <sheet name="Issues of the Grange" sheetId="11" r:id="rId4"/>
    <sheet name="Issues of the Mills" sheetId="6" r:id="rId5"/>
    <sheet name="Stock" sheetId="4" r:id="rId6"/>
    <sheet name="raw data" sheetId="1" r:id="rId7"/>
    <sheet name="Issues of the Grange raw" sheetId="10" r:id="rId8"/>
    <sheet name="Sale of Corn Prices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6" i="5" l="1"/>
  <c r="B175" i="5"/>
  <c r="B173" i="5"/>
  <c r="B172" i="5"/>
  <c r="B171" i="5"/>
  <c r="B170" i="5"/>
  <c r="B165" i="5"/>
  <c r="B164" i="5"/>
  <c r="B161" i="5"/>
  <c r="T94" i="4"/>
  <c r="B163" i="5"/>
  <c r="B162" i="5"/>
  <c r="B157" i="5"/>
  <c r="B155" i="5"/>
  <c r="B156" i="5"/>
  <c r="B154" i="5"/>
  <c r="B147" i="5"/>
  <c r="B148" i="5"/>
  <c r="B149" i="5"/>
  <c r="B146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22" i="5"/>
  <c r="B118" i="5"/>
  <c r="B114" i="5"/>
  <c r="B115" i="5"/>
  <c r="B116" i="5"/>
  <c r="B117" i="5"/>
  <c r="B113" i="5"/>
  <c r="T95" i="4"/>
  <c r="T91" i="4"/>
  <c r="T90" i="4"/>
  <c r="T89" i="4"/>
  <c r="T79" i="4"/>
  <c r="T77" i="4"/>
  <c r="B110" i="5"/>
  <c r="B104" i="5"/>
  <c r="B105" i="5"/>
  <c r="B106" i="5"/>
  <c r="B107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82" i="5"/>
  <c r="E68" i="5"/>
  <c r="E67" i="5"/>
  <c r="E66" i="5"/>
  <c r="B63" i="5"/>
  <c r="E63" i="5"/>
  <c r="F63" i="5"/>
  <c r="B64" i="5"/>
  <c r="E64" i="5"/>
  <c r="F64" i="5"/>
  <c r="B65" i="5"/>
  <c r="E65" i="5"/>
  <c r="F65" i="5"/>
  <c r="F62" i="5"/>
  <c r="E62" i="5"/>
  <c r="B62" i="5"/>
  <c r="B45" i="5"/>
  <c r="B46" i="5"/>
  <c r="B47" i="5"/>
  <c r="B44" i="5"/>
  <c r="B25" i="5"/>
  <c r="C25" i="5" s="1"/>
  <c r="B24" i="5"/>
  <c r="B23" i="5"/>
  <c r="G56" i="3"/>
  <c r="F56" i="3"/>
  <c r="F63" i="3"/>
  <c r="G103" i="2"/>
  <c r="K36" i="3"/>
  <c r="K37" i="3"/>
  <c r="K40" i="3"/>
  <c r="K32" i="3"/>
  <c r="J33" i="3"/>
  <c r="K33" i="3" s="1"/>
  <c r="J34" i="3"/>
  <c r="K34" i="3" s="1"/>
  <c r="J35" i="3"/>
  <c r="K35" i="3" s="1"/>
  <c r="J36" i="3"/>
  <c r="J37" i="3"/>
  <c r="J40" i="3"/>
  <c r="J32" i="3"/>
  <c r="K25" i="3"/>
  <c r="K26" i="3"/>
  <c r="K27" i="3"/>
  <c r="J25" i="3"/>
  <c r="J26" i="3"/>
  <c r="J27" i="3"/>
  <c r="J24" i="3"/>
  <c r="K24" i="3" s="1"/>
  <c r="K16" i="3"/>
  <c r="K17" i="3"/>
  <c r="J16" i="3"/>
  <c r="J17" i="3"/>
  <c r="J18" i="3"/>
  <c r="K18" i="3" s="1"/>
  <c r="J19" i="3"/>
  <c r="K19" i="3" s="1"/>
  <c r="J15" i="3"/>
  <c r="K15" i="3" s="1"/>
  <c r="K9" i="3"/>
  <c r="J4" i="3"/>
  <c r="K4" i="3" s="1"/>
  <c r="J5" i="3"/>
  <c r="K5" i="3" s="1"/>
  <c r="J6" i="3"/>
  <c r="K6" i="3" s="1"/>
  <c r="J7" i="3"/>
  <c r="K7" i="3" s="1"/>
  <c r="J8" i="3"/>
  <c r="K8" i="3" s="1"/>
  <c r="J9" i="3"/>
  <c r="J3" i="3"/>
  <c r="K3" i="3" s="1"/>
  <c r="F104" i="2"/>
  <c r="F103" i="2"/>
  <c r="T40" i="4" l="1"/>
  <c r="T35" i="4"/>
  <c r="R94" i="4"/>
  <c r="O94" i="4" s="1"/>
  <c r="R90" i="4"/>
  <c r="O90" i="4" s="1"/>
  <c r="R89" i="4"/>
  <c r="O89" i="4" s="1"/>
  <c r="R77" i="4"/>
  <c r="R79" i="4" s="1"/>
  <c r="R19" i="4"/>
  <c r="O19" i="4" s="1"/>
  <c r="R18" i="4"/>
  <c r="O18" i="4" s="1"/>
  <c r="R14" i="4"/>
  <c r="O14" i="4" s="1"/>
  <c r="R12" i="4"/>
  <c r="O12" i="4" s="1"/>
  <c r="J90" i="4"/>
  <c r="J89" i="4"/>
  <c r="J35" i="4"/>
  <c r="O15" i="11"/>
  <c r="O16" i="11"/>
  <c r="O14" i="11"/>
  <c r="N15" i="11"/>
  <c r="N16" i="11"/>
  <c r="N17" i="11"/>
  <c r="N14" i="11"/>
  <c r="L15" i="11"/>
  <c r="L16" i="11"/>
  <c r="L14" i="11"/>
  <c r="E15" i="11"/>
  <c r="E16" i="11"/>
  <c r="E17" i="11"/>
  <c r="E14" i="11"/>
  <c r="K15" i="11"/>
  <c r="K16" i="11"/>
  <c r="K17" i="11"/>
  <c r="L17" i="11" s="1"/>
  <c r="O17" i="11" s="1"/>
  <c r="K14" i="11"/>
  <c r="J15" i="11"/>
  <c r="I15" i="11"/>
  <c r="B15" i="11"/>
  <c r="B16" i="11"/>
  <c r="B17" i="11"/>
  <c r="B14" i="11"/>
  <c r="I3" i="11"/>
  <c r="I4" i="11"/>
  <c r="I5" i="11"/>
  <c r="I2" i="11"/>
  <c r="G3" i="11"/>
  <c r="G4" i="11"/>
  <c r="G5" i="11"/>
  <c r="G2" i="11"/>
  <c r="R95" i="4" l="1"/>
  <c r="R31" i="4"/>
  <c r="O77" i="4"/>
  <c r="R91" i="4"/>
  <c r="I19" i="4"/>
  <c r="J18" i="4"/>
  <c r="I14" i="4"/>
  <c r="C14" i="4"/>
  <c r="F50" i="3"/>
  <c r="G51" i="3" s="1"/>
  <c r="G59" i="3"/>
  <c r="F41" i="3"/>
  <c r="F43" i="3" s="1"/>
  <c r="F29" i="3"/>
  <c r="F28" i="3"/>
  <c r="F21" i="3"/>
  <c r="F20" i="3"/>
  <c r="F12" i="3"/>
  <c r="F11" i="3"/>
  <c r="G102" i="2"/>
  <c r="G19" i="2"/>
  <c r="F15" i="2"/>
  <c r="F14" i="2"/>
  <c r="F16" i="2" s="1"/>
  <c r="F30" i="3" l="1"/>
  <c r="J28" i="3"/>
  <c r="K28" i="3" s="1"/>
  <c r="G43" i="3"/>
  <c r="F22" i="3"/>
  <c r="G22" i="3" s="1"/>
  <c r="J20" i="3"/>
  <c r="K20" i="3" s="1"/>
  <c r="F13" i="3"/>
  <c r="G13" i="3" s="1"/>
  <c r="J11" i="3"/>
  <c r="G16" i="2"/>
  <c r="G30" i="3"/>
  <c r="F64" i="3" l="1"/>
  <c r="G64" i="3" s="1"/>
  <c r="K11" i="3"/>
  <c r="F66" i="3" s="1"/>
  <c r="F6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3" authorId="0" shapeId="0" xr:uid="{9129BCD1-056F-C446-B1A8-81025DB79ACD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D4" authorId="0" shapeId="0" xr:uid="{F5AA8D56-BD44-0B40-BB45-011D1CDD4FAD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strays that the seem to have added to their own stock?</t>
        </r>
      </text>
    </comment>
    <comment ref="E4" authorId="0" shapeId="0" xr:uid="{30A330CA-4E3C-AD42-A070-63FA83DF07FC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herbage = a type of customary payment to the lord; hence an addition to the stock</t>
        </r>
      </text>
    </comment>
  </commentList>
</comments>
</file>

<file path=xl/sharedStrings.xml><?xml version="1.0" encoding="utf-8"?>
<sst xmlns="http://schemas.openxmlformats.org/spreadsheetml/2006/main" count="1239" uniqueCount="577">
  <si>
    <t>Heading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</si>
  <si>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</si>
  <si>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</si>
  <si>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</si>
  <si>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</si>
  <si>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</si>
  <si>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</si>
  <si>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</si>
  <si>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</si>
  <si>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</si>
  <si>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</si>
  <si>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</si>
  <si>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</si>
  <si>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</si>
  <si>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Quarters 2</t>
  </si>
  <si>
    <t>Bushels 2</t>
  </si>
  <si>
    <t>Quarters 3</t>
  </si>
  <si>
    <t>Bushels 3</t>
  </si>
  <si>
    <t>Quarters 4</t>
  </si>
  <si>
    <t>Bushels 4</t>
  </si>
  <si>
    <t>Quarters 5</t>
  </si>
  <si>
    <t>Bushels 5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</si>
  <si>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</si>
  <si>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</si>
  <si>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</si>
  <si>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</si>
  <si>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</si>
  <si>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</si>
  <si>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</si>
  <si>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</si>
  <si>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</si>
  <si>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</si>
  <si>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</si>
  <si>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</si>
  <si>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</si>
  <si>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</si>
  <si>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</si>
  <si>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</si>
  <si>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Rents of assize</t>
  </si>
  <si>
    <t>James de North', bailiff, and William Kepe, reeve, render account for £2 1 shilling.5pence for all rents of assize at Easter (22 April).</t>
  </si>
  <si>
    <t>£2 1 shilling .5pence at Michaelmas (29 September).</t>
  </si>
  <si>
    <t>Total, £4 2 shilling 1pence</t>
  </si>
  <si>
    <t>Increment</t>
  </si>
  <si>
    <t>Nothing this year from increment of rent.</t>
  </si>
  <si>
    <t>Quittances</t>
  </si>
  <si>
    <t>In quittance of 1 reeve for the year 1 shilling.</t>
  </si>
  <si>
    <t>1 carter for the year 6pence.</t>
  </si>
  <si>
    <t>1 shepherd for the year 6pence.</t>
  </si>
  <si>
    <t>1 hayward for the year 6pence Total, 2 shilling 6pence</t>
  </si>
  <si>
    <t>Total of rents remaining</t>
  </si>
  <si>
    <t>Total of rents remaining, £3 19 shilling 7pence</t>
  </si>
  <si>
    <t>Annual gifts</t>
  </si>
  <si>
    <t>The same render account for 9 shilling 0.5pence from annual gifts at Easter.</t>
  </si>
  <si>
    <t>9 shilling 0.5pence at Michaelmas.</t>
  </si>
  <si>
    <t>Total, 18 shilling 1pence</t>
  </si>
  <si>
    <t>Annual recognizance</t>
  </si>
  <si>
    <t>The same render account for 6pence from the annual recognizance of William Piscator' of Culham so that he may remain outside the manor and pay suit to the tithing.</t>
  </si>
  <si>
    <t>Total, 6pence</t>
  </si>
  <si>
    <t>Issues of the manor</t>
  </si>
  <si>
    <t>The same render account for 3 shilling 0.5pence from common pannage of pigs, that is, from 27 pigs, 19 piglets, at 1pence a pig over a year old, and .5pence a piglet.</t>
  </si>
  <si>
    <t>9 shilling 6pence from pannage of Kylhamfryth', from 42 pigs and 30 piglets agisted in the wood of Kylhamfryth', at 2pence a pig, 1pence a piglet.</t>
  </si>
  <si>
    <t>£1 8pence from 3 oxen sold, at 7 shilling each for 2, and 6 shilling 8pence for 1.</t>
  </si>
  <si>
    <t>16 shilling from 2 cows sold together.</t>
  </si>
  <si>
    <t>16 shilling 8pence from 14 calves sold together.</t>
  </si>
  <si>
    <t>£1 6pence from 20 old kebb wethers sold at Martinmas.</t>
  </si>
  <si>
    <t>1 shilling 7pence from the hide sold of 1 cow in murrain.</t>
  </si>
  <si>
    <t>2 shilling 3pence from the hides sold of 3 bullocks and 3 yearlings in murrain.</t>
  </si>
  <si>
    <t>1pence from the hide sold of 1 calf in murrain.</t>
  </si>
  <si>
    <t>1 shilling 5.5pence from the skins of 5 wethers in murrain before shearing.</t>
  </si>
  <si>
    <t>9pence from the skins sold of 6 wethers in murrain after shearing.</t>
  </si>
  <si>
    <t>3 shilling 11pence from 12 cloves of winter cheese sold.</t>
  </si>
  <si>
    <t>£3 3 shilling from 7 weys of summer cheese sold, at 9 shilling a wey.</t>
  </si>
  <si>
    <t>10 shilling from 20 cloves of butter sold.</t>
  </si>
  <si>
    <t>1 shilling 4pence from 16 hens from churchscot sold.</t>
  </si>
  <si>
    <t>7 shilling 6pence for release from labour service.</t>
  </si>
  <si>
    <t>2 shilling 8pence from the pasturage upon la Hethe sold 2 shilling from the heriot of Walter ate Mull'.</t>
  </si>
  <si>
    <t>6pence from the heriot of Nicholas Nel because' he did not have one animal.</t>
  </si>
  <si>
    <t>1 shilling 4pence from the pasturage of Westgarston sold.</t>
  </si>
  <si>
    <t>£1 12 shilling 3pence from the dairy produce of cows sold at the audit.</t>
  </si>
  <si>
    <t>Total, £10 17 shilling</t>
  </si>
  <si>
    <t>Sale of corn</t>
  </si>
  <si>
    <t>The same render account for £1 7 shilling 7.5pence from 6 quarters 3 bushels of wheat sold, at 4 shilling 4pence a quarters.</t>
  </si>
  <si>
    <t>wheat</t>
  </si>
  <si>
    <t>£3 10 shilling 11.25pence from 28 quarters 3 bushels of mancorn sold, at 2 shilling 6pence a quarters.</t>
  </si>
  <si>
    <t>mancorn</t>
  </si>
  <si>
    <t>3.75pence from 1 bushels sold at the audit.</t>
  </si>
  <si>
    <t>£1 18 shilling 9pence from 11.5 quarters 1 bushels of barley sold, at 3 shilling 4pence a quarters.</t>
  </si>
  <si>
    <t>barley</t>
  </si>
  <si>
    <t>Total, £6 17 shilling 7.5pence</t>
  </si>
  <si>
    <t>Entry and marriage fines</t>
  </si>
  <si>
    <t>The same render account for 3 shilling 0.5pence for tithingpenny at the hundred-court of Martinmas.</t>
  </si>
  <si>
    <t>3 shilling 0.5pence at the hundred-court of Hockday.</t>
  </si>
  <si>
    <t>13 shilling 4pence from William, son of Walter Molendinarius, to have 4.5 acres of land which belonged to Walter his father.</t>
  </si>
  <si>
    <t>2 shilling from Alice, who was wife of Nicholas Nel, to have 1 messuage .5 virgate of land which belonged to Nicholas her husband.</t>
  </si>
  <si>
    <t>3 shilling from John, son of John Boul', to have 1 acre of purpresture by surrender of the said John his father.</t>
  </si>
  <si>
    <t>2 shilling from William le Walays for marrying Matilda his daughter outside the demesne.</t>
  </si>
  <si>
    <t>Total, £1 6 shilling 5pence</t>
  </si>
  <si>
    <t>Perquisites</t>
  </si>
  <si>
    <t>The same render account for 1 shilling from Alice Croyll', Walter Ryd', John Gay, Agnes ate Strod' for breaking the assize of ale.</t>
  </si>
  <si>
    <t>3pence from Thomas Buthory for trespass.</t>
  </si>
  <si>
    <t>3pence from Thomas ate Wod' for trespass.</t>
  </si>
  <si>
    <t>3pence from Justina Juveni for the same.</t>
  </si>
  <si>
    <t>3pence from John Crys for the same.</t>
  </si>
  <si>
    <t>6pence from William Wallnon for trespass.</t>
  </si>
  <si>
    <t>3pence from the same for trespass.</t>
  </si>
  <si>
    <t>1 shilling from William Kepe for trespass.</t>
  </si>
  <si>
    <t>1 shilling from John Baldewyn' for trespass.</t>
  </si>
  <si>
    <t>3pence from John Crys for trespass.</t>
  </si>
  <si>
    <t>9pence from John Baldeweyn', Cecilia Boul', Christina Profinal for assize.</t>
  </si>
  <si>
    <t>6pence from William Wallyno for trespass.</t>
  </si>
  <si>
    <t>3pence from the same because he married his daughter without licence.</t>
  </si>
  <si>
    <t>1 shilling from Agnes ate Strod', Christina Profinal, John Baldewyn' for assize.</t>
  </si>
  <si>
    <t>3pence from Agnes atte Strod' for assize.</t>
  </si>
  <si>
    <t>6 shilling 8pence from John Parsona of Remenham for trespass made in the lord's wood of Culhamfryth'.</t>
  </si>
  <si>
    <t>1 shilling from the same for unjustly taking the chattels of Amice Heryng'.</t>
  </si>
  <si>
    <t>1 shilling from William Ke for trespass.</t>
  </si>
  <si>
    <t>6pence from Walter ate Fryth' for the same.</t>
  </si>
  <si>
    <t>1 shilling from Adam Cocus for the same.</t>
  </si>
  <si>
    <t>6pence from Geoffrey Coleby.</t>
  </si>
  <si>
    <t>3pence from John Baldewyn' for the same.</t>
  </si>
  <si>
    <t>6pence from G. de Cruce that he may be removed from his office.</t>
  </si>
  <si>
    <t>2pence from Richard Gosemayn for trespass.</t>
  </si>
  <si>
    <t>2pence from G. de Cruce for trespass.</t>
  </si>
  <si>
    <t>Total, 19 shilling 9pence</t>
  </si>
  <si>
    <t>Total of both</t>
  </si>
  <si>
    <t>Total of both, £2 6 shilling 2pence</t>
  </si>
  <si>
    <t>Entry to purprestures</t>
  </si>
  <si>
    <t>Nothing this year from entry to purprestures.</t>
  </si>
  <si>
    <t>Total of all receipts</t>
  </si>
  <si>
    <t>Total of all receipts, £24 18 shilling 11.5pence</t>
  </si>
  <si>
    <t>Expenses for ploughs</t>
  </si>
  <si>
    <t>In steel for ploughs 7 shilling 5pence.</t>
  </si>
  <si>
    <t>stipend of the smith repairing ironwork 3 shilling.</t>
  </si>
  <si>
    <t>shoeing 7 horses for the year 9 shilling 8pence.</t>
  </si>
  <si>
    <t>2 ploughshares bought 1 shilling 5pence.</t>
  </si>
  <si>
    <t>4 plough-irons bought 1 shilling.</t>
  </si>
  <si>
    <t>2 pairs of wheels bought 6pence.</t>
  </si>
  <si>
    <t>7 halters and 1 rope made from hair 2.5pence.</t>
  </si>
  <si>
    <t>stipend of 1 drover for the year 4 shilling 6pence.</t>
  </si>
  <si>
    <t>1 sack bought 9pence Total, £1 8 shilling 5.5pence</t>
  </si>
  <si>
    <t>Expenses for sowing and liveries</t>
  </si>
  <si>
    <t>In 1 quarters of wheat bought 4 shilling 4pence.</t>
  </si>
  <si>
    <t>19 quarters of mancorn bought for sowing £2 13 shilling, at 2 shilling 6pence a quarters for 8 quarters, and 3 shilling a quarters for 11 quarters.</t>
  </si>
  <si>
    <t>Total, £2 17 shilling 4pence</t>
  </si>
  <si>
    <t>Carts</t>
  </si>
  <si>
    <t>in 1 pair of wheels bought for the cart 2 shilling 2pence.</t>
  </si>
  <si>
    <t>clouts with nails bought 10.5pence, and so much because it was at Farnham in order to collect timber and talwood at the water (quesivit taluerud' ad aq').</t>
  </si>
  <si>
    <t>.</t>
  </si>
  <si>
    <t>grease for the cart 5pence.</t>
  </si>
  <si>
    <t>fitting the cart with axles 3pence.</t>
  </si>
  <si>
    <t>1 pair of cart-shafts made from their own timber 4.5pence.</t>
  </si>
  <si>
    <t>1 pair of saddle-pads bought 6pence Total, 4 shilling 7pence</t>
  </si>
  <si>
    <t>Cost of buildings</t>
  </si>
  <si>
    <t>In roofing the byre at various times 1 shilling 4pence.</t>
  </si>
  <si>
    <t>roofing the barn in places 7pence.</t>
  </si>
  <si>
    <t>mending the walls of the byre at various times 9.5pence.</t>
  </si>
  <si>
    <t>mending 1 barrow 2pence.</t>
  </si>
  <si>
    <t>1 shovel bought 1pence Total, 2 shilling 11.5pence</t>
  </si>
  <si>
    <t>Dairy</t>
  </si>
  <si>
    <t>In small cloths bought for the dairy 4pence.</t>
  </si>
  <si>
    <t>5 bushels of salt bought 1 shilling 8pence.</t>
  </si>
  <si>
    <t>earthenware pots and pans bought 4pence.</t>
  </si>
  <si>
    <t>a press bought 1 shilling 4pence.</t>
  </si>
  <si>
    <t>2 buckets bought 4pence.</t>
  </si>
  <si>
    <t>grease, copperas and verdigris bought 6 shilling 0.5pence.</t>
  </si>
  <si>
    <t>forage bought to support the livestock and cows 4 shilling 4pence.</t>
  </si>
  <si>
    <t>2 cows bought before calving £1 2.5pence, at 9 shilling 1.5pence for 1..</t>
  </si>
  <si>
    <t>a cow bought after calving 9 shilling.</t>
  </si>
  <si>
    <t>stipend of 1 dairymaid for the year 3 shilling Total, £2 6 shilling 7pence</t>
  </si>
  <si>
    <t>Threshing and winnowing</t>
  </si>
  <si>
    <t>In threshing and winnowing 8.5 quarters 2 bushels of wheat by piece-work, with 20 quarters of mancorn and 10 quarters of oats, 5 shilling 5.5pence, at 2pence a quarters of wheat and mancorn threshed and 1pence per 5 quarters winnowed, and 0.75pence a quarters of oats threshed and 1pence per 8 quarters winnowepence Total, 5 shilling 5.5pence</t>
  </si>
  <si>
    <t>oats, mancorn, wheat</t>
  </si>
  <si>
    <t xml:space="preserve">Expenses for dung </t>
  </si>
  <si>
    <t>{henceforth dung should be carried by the lord's plough- horses}.</t>
  </si>
  <si>
    <t>clearing dung in winter from the curia to the fields 1 shilling 6pence Total, 1 shilling 6pence</t>
  </si>
  <si>
    <t>Harvest-time</t>
  </si>
  <si>
    <t>In corn reaped and bound by piece-work 6 shilling 4.5pence.</t>
  </si>
  <si>
    <t>expenses of 1 boon-work for reaping corn 3 shilling 10.5pence Total, 10 shilling 3pence</t>
  </si>
  <si>
    <t>Total of all expenses</t>
  </si>
  <si>
    <t>Total of all expenses, £7 17 shilling 1.5pence</t>
  </si>
  <si>
    <t>Reeve</t>
  </si>
  <si>
    <t>In William de Wordly, reeve of Wargrave, £17 1 shilling 10pence</t>
  </si>
  <si>
    <t>Wheat</t>
  </si>
  <si>
    <t>(yield: two-fold less 6 bushels}</t>
  </si>
  <si>
    <t>The same render account for 8.5 quarters 2 bushels from the whole issue of wheat from the grange with the increment of the granary.</t>
  </si>
  <si>
    <t>1 quarters bought.</t>
  </si>
  <si>
    <t>Total, 9.5 quarters 2 bushels</t>
  </si>
  <si>
    <t>Sown over 9 acres measured by the perch which lie in the field upon the heath, 3 quarters  3 bushels Sold as noted above, 6 quarters 3 bushels</t>
  </si>
  <si>
    <t>Mancorn</t>
  </si>
  <si>
    <t>{yield: two-and-a-half-fold plus 2 quarters} The same render account for 39.5 quarters from the whole issue of mancom from the grange with the increment of the granary.</t>
  </si>
  <si>
    <t>19 quarters bought.</t>
  </si>
  <si>
    <t>Total, 58.5 quarters.</t>
  </si>
  <si>
    <t>Sown over 51 acres measured by the perch as they lief in the field upon the heath, 19 quarters.</t>
  </si>
  <si>
    <t>that is, 3 bushels an acre, less 1 bushels in all.</t>
  </si>
  <si>
    <t>Delivered to 1 drover and 1 dairymaid for the year, 10 quarters 3 bushels, because they take a quarter every 10 weeks.</t>
  </si>
  <si>
    <t>customary payment for the mowing of the meadows, 5 bushels Sold, 28 quarters 3 bushels Sold at the audit, 1 bushels</t>
  </si>
  <si>
    <t>Barley</t>
  </si>
  <si>
    <t>{yield: three-fold less 1 bushels}</t>
  </si>
  <si>
    <t>The same render account for 19 quarters from the whole issue of the grange with the increment of the granary.</t>
  </si>
  <si>
    <t>Sown over 15 acres which lie in the field of la Doun', 7 quarters 3 bushels.</t>
  </si>
  <si>
    <t>that is, 4 bushels an acre, less 1 bushels in all.</t>
  </si>
  <si>
    <t>Sold, 11.5 quarters 1 bushels</t>
  </si>
  <si>
    <t>Oats</t>
  </si>
  <si>
    <t>{yield: 2 bushels more than sown}</t>
  </si>
  <si>
    <t>The same render account for 20 quarters from the whole issue of oats from the grange with the increment of the granary.</t>
  </si>
  <si>
    <t>oats</t>
  </si>
  <si>
    <t>Sown over 26 acres measured by the perch as they lie in the fields of la Doun' and Stanlych', 15.5 quarters 3 bushels.</t>
  </si>
  <si>
    <t>that is, 5 bushels an acre, plus 2 bushels in all.</t>
  </si>
  <si>
    <t>fodder of 7 plough-horses, 4 quarters 1 bushels</t>
  </si>
  <si>
    <t>Stock</t>
  </si>
  <si>
    <t>Plough-horses: 7 males remain from the previous year.</t>
  </si>
  <si>
    <t>they remain.</t>
  </si>
  <si>
    <t>Oxen: 3 remain from the previous year.</t>
  </si>
  <si>
    <t>2 added from stock.</t>
  </si>
  <si>
    <t>Total, 5. 3 sold.</t>
  </si>
  <si>
    <t>2 remain.</t>
  </si>
  <si>
    <t>Bulls: 1 remains from the previous year.</t>
  </si>
  <si>
    <t>it remains.</t>
  </si>
  <si>
    <t>Cows: 23 remain from the previous year.</t>
  </si>
  <si>
    <t>3 bought, 1 after calving.</t>
  </si>
  <si>
    <t>Total, 28. 1 in murrain before calving.</t>
  </si>
  <si>
    <t>2 sold at Martinmas.</t>
  </si>
  <si>
    <t>Total, 3. 25 remain.</t>
  </si>
  <si>
    <t>Steers: 4 remain from the previous year's bullocks. 2 added to oxen, 2 to cows.</t>
  </si>
  <si>
    <t>Total, 4. None remain.</t>
  </si>
  <si>
    <t>Bullocks: 9 remain from the previous year's yearlings.</t>
  </si>
  <si>
    <t>3 in murrain.</t>
  </si>
  <si>
    <t>6 remain, of which...</t>
  </si>
  <si>
    <t>Yearlings: 6 remain from the previous year's calves.</t>
  </si>
  <si>
    <t>3 remain.</t>
  </si>
  <si>
    <t>Calves: 22 from this year's offspring because 2 cows sterile. 2 in tithe.</t>
  </si>
  <si>
    <t>14 sold.</t>
  </si>
  <si>
    <t>1 in murrain after weaning.</t>
  </si>
  <si>
    <t>Total, 15.3 5 remain.</t>
  </si>
  <si>
    <t>Wethers: 112 remain from the previous year. 5 in murrain before shearing, 6 after shearing.</t>
  </si>
  <si>
    <t>1 in customary payment for the mowing of the meadows.</t>
  </si>
  <si>
    <t>20 solpence Total, 32. 80 remain.</t>
  </si>
  <si>
    <t>Fleeces: 87 produced at the shearing this year.</t>
  </si>
  <si>
    <t>8 in tithe.</t>
  </si>
  <si>
    <t>79 sent to Wargrave.</t>
  </si>
  <si>
    <t>Winter cheese: 37 made.</t>
  </si>
  <si>
    <t>3 in tithe.</t>
  </si>
  <si>
    <t>34 sold, which made 12 cloves.</t>
  </si>
  <si>
    <t>Summer cheese: {yield of cow 5 shilling with 1 cheese in customary payment valued at 10pence this year and not more on account of the cleaning of the temses}: 159 cheeses made between the eve of St Mark the Evangelist (24 April) and Michaelmas (29 September), both days included.</t>
  </si>
  <si>
    <t>15 in tithe.</t>
  </si>
  <si>
    <t>143 sold, which made 7 weys.</t>
  </si>
  <si>
    <t>Butter: 20 cloves from the issue of the dairy this year.</t>
  </si>
  <si>
    <t>all solpence</t>
  </si>
  <si>
    <t>Hens: 20 from churchscot this year.</t>
  </si>
  <si>
    <t>4 in default through the death of husbands.</t>
  </si>
  <si>
    <t>16 sold.</t>
  </si>
  <si>
    <t>none remain.</t>
  </si>
  <si>
    <t>Utensils: 1 wooden cart remains from the previous year.</t>
  </si>
  <si>
    <t>1 bought.</t>
  </si>
  <si>
    <t>Total, 2. 1 used in the manor.</t>
  </si>
  <si>
    <t>1 remains. 1 cart-rope, 1 pair of traces, 1 collar, 1 cart-saddle with saddle-pads, 3 old swingletrees for the horses.</t>
  </si>
  <si>
    <t>all remain.</t>
  </si>
  <si>
    <t>Sacks: 1 remains from the previous year.</t>
  </si>
  <si>
    <t>1 remains.</t>
  </si>
  <si>
    <t>Pans: 1 remains from the previous year.</t>
  </si>
  <si>
    <t>Error</t>
  </si>
  <si>
    <t>Total</t>
  </si>
  <si>
    <t>The same render account for £1 7 shilling 7.5pence from 6 quarters 3 bushels of wheat sold, at 4 shilling 4pence a qr.</t>
  </si>
  <si>
    <t>£3 10 shilling 11.25pence from 28 quarters 3 bushels of mancorn sold, at 2 shilling 6pence a qr.</t>
  </si>
  <si>
    <t>£1 18 shilling 9pence from 11.5 quarters 1 bushels of barley sold, at 3 shilling 4pence a qr.</t>
  </si>
  <si>
    <t>In 1 qr of wheat bought 4 shilling 4pence.</t>
  </si>
  <si>
    <t>19 quarters of mancorn bought for sowing £2 13 shilling, at 2 shilling 6pence a qr for 8 quarters, and 3 shilling a qr for 11 quarters.</t>
  </si>
  <si>
    <t>In threshing and winnowing 8.5 quarters 2 bushels of wheat by piece-work, with 20 quarters of mancorn and 10 quarters of oats, 5 shilling 5.5pence, at 2pence a qr of wheat and mancorn threshed and 1pence per 5 quarters winnowed, and 0.75pence a qr of oats threshed and 1pence per 8 quarters winnowepence Total, 5 shilling 5.5pence</t>
  </si>
  <si>
    <t>added</t>
  </si>
  <si>
    <t>sold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</si>
  <si>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</si>
  <si>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</si>
  <si>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</si>
  <si>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</si>
  <si>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</si>
  <si>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</si>
  <si>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</si>
  <si>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</si>
  <si>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Cheese</t>
  </si>
  <si>
    <t>Butter</t>
  </si>
  <si>
    <t>Poultry stock</t>
  </si>
  <si>
    <t>Utensils</t>
  </si>
  <si>
    <t>Quarters 1_x</t>
  </si>
  <si>
    <t>Bushels 1_x</t>
  </si>
  <si>
    <t>Sown Quarters</t>
  </si>
  <si>
    <t>Sown Bushels</t>
  </si>
  <si>
    <t>Sown Total Quarters</t>
  </si>
  <si>
    <t>Bought in Quarters</t>
  </si>
  <si>
    <t>Bought in Bushels</t>
  </si>
  <si>
    <t>Bought in Total Quarters</t>
  </si>
  <si>
    <t>Tithe Quarters</t>
  </si>
  <si>
    <t>Tithe Bushels</t>
  </si>
  <si>
    <t>Tithe Total Quarters</t>
  </si>
  <si>
    <t>Manorial servants &amp; livestock Quarters</t>
  </si>
  <si>
    <t>Manorial servants &amp; livestock Bushels</t>
  </si>
  <si>
    <t>Manorial servants &amp; livestock Total Quarters</t>
  </si>
  <si>
    <t>Sold Quarters</t>
  </si>
  <si>
    <t>Sold Bushels</t>
  </si>
  <si>
    <t>Sold Total Quarters</t>
  </si>
  <si>
    <t>Account Quarters</t>
  </si>
  <si>
    <t>Account Bushels</t>
  </si>
  <si>
    <t>Account Total Quarters</t>
  </si>
  <si>
    <t>bought only</t>
  </si>
  <si>
    <t>Quarters 1_y</t>
  </si>
  <si>
    <t>Bushels 1_y</t>
  </si>
  <si>
    <t>1 qr bought.</t>
  </si>
  <si>
    <t>Gross Output</t>
  </si>
  <si>
    <t>Difference Produced+Bought-Sold</t>
  </si>
  <si>
    <t>Weighted Average Price per Quarter</t>
  </si>
  <si>
    <t>Non-Weighted Average Price per Quarter</t>
  </si>
  <si>
    <t>Value of Total Production weighted</t>
  </si>
  <si>
    <t>Maslin</t>
  </si>
  <si>
    <t>Oatmeal</t>
  </si>
  <si>
    <t>Quarters 0</t>
  </si>
  <si>
    <t>Bushels 0</t>
  </si>
  <si>
    <t>£ a quarter 1</t>
  </si>
  <si>
    <t>£ a quarter 2</t>
  </si>
  <si>
    <t>£ a quarter 3</t>
  </si>
  <si>
    <t>£ a quarter 4</t>
  </si>
  <si>
    <t>Quarters Sold</t>
  </si>
  <si>
    <t>Corn lowercase</t>
  </si>
  <si>
    <t>inf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</si>
  <si>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</si>
  <si>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</si>
  <si>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</si>
  <si>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</si>
  <si>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</si>
  <si>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</si>
  <si>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</si>
  <si>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</si>
  <si>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</si>
  <si>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</si>
  <si>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</si>
  <si>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</si>
  <si>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</si>
  <si>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</si>
  <si>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</si>
  <si>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</si>
  <si>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</si>
  <si>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</si>
  <si>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</si>
  <si>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</si>
  <si>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</si>
  <si>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</si>
  <si>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</si>
  <si>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</si>
  <si>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</si>
  <si>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</si>
  <si>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</si>
  <si>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</si>
  <si>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</si>
  <si>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</si>
  <si>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</si>
  <si>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</si>
  <si>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</si>
  <si>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</si>
  <si>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</si>
  <si>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</si>
  <si>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</si>
  <si>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</si>
  <si>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</si>
  <si>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</si>
  <si>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</si>
  <si>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</si>
  <si>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</si>
  <si>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</si>
  <si>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</si>
  <si>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</si>
  <si>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</si>
  <si>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Cash deliveries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</si>
  <si>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</si>
  <si>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</si>
  <si>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</si>
  <si>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</si>
  <si>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</si>
  <si>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</si>
  <si>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</si>
  <si>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</si>
  <si>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</si>
  <si>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</si>
  <si>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</si>
  <si>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1st grade malt</t>
  </si>
  <si>
    <t>2nd grade malt</t>
  </si>
  <si>
    <t>Total value of production (sum of the above)</t>
  </si>
  <si>
    <t>STOCK ACCOUNT</t>
  </si>
  <si>
    <t>Livestock</t>
  </si>
  <si>
    <t>Cart-horses</t>
  </si>
  <si>
    <t>Mares</t>
  </si>
  <si>
    <t>Plough horses</t>
  </si>
  <si>
    <t>Colts (2 years)</t>
  </si>
  <si>
    <t>Colts (1 year)</t>
  </si>
  <si>
    <t>Foals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</si>
  <si>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</si>
  <si>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</si>
  <si>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</si>
  <si>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</si>
  <si>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</si>
  <si>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</si>
  <si>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</si>
  <si>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</si>
  <si>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</si>
  <si>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</si>
  <si>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</si>
  <si>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Total value of stock (sum of the above)</t>
  </si>
  <si>
    <t>Total value of production</t>
  </si>
  <si>
    <t>Wool</t>
  </si>
  <si>
    <t>Fleeces</t>
  </si>
  <si>
    <t>Coarse 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</si>
  <si>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</si>
  <si>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</si>
  <si>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</si>
  <si>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</si>
  <si>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</si>
  <si>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</si>
  <si>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</si>
  <si>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</si>
  <si>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</si>
  <si>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</si>
  <si>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</si>
  <si>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</si>
  <si>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</si>
  <si>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</si>
  <si>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</si>
  <si>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</si>
  <si>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</si>
  <si>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</si>
  <si>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</si>
  <si>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</si>
  <si>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</si>
  <si>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</si>
  <si>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</si>
  <si>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</si>
  <si>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</si>
  <si>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</si>
  <si>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</si>
  <si>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</si>
  <si>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</si>
  <si>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</si>
  <si>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</si>
  <si>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</si>
  <si>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</si>
  <si>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</si>
  <si>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</si>
  <si>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</si>
  <si>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</si>
  <si>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</si>
  <si>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</si>
  <si>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</si>
  <si>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</si>
  <si>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</si>
  <si>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</si>
  <si>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CULHAM</t>
  </si>
  <si>
    <t>Total in £</t>
  </si>
  <si>
    <t>Note</t>
  </si>
  <si>
    <t>CULHAM RECEIPTS</t>
  </si>
  <si>
    <t>CULHAM EXPENSES</t>
  </si>
  <si>
    <t>£</t>
  </si>
  <si>
    <t xml:space="preserve">s </t>
  </si>
  <si>
    <t>d</t>
  </si>
  <si>
    <t>Notes</t>
  </si>
  <si>
    <t xml:space="preserve">1 hayward for the year 6pence </t>
  </si>
  <si>
    <t>Total, 2 shilling 6pence</t>
  </si>
  <si>
    <t xml:space="preserve">1 sack bought 9pence </t>
  </si>
  <si>
    <t>Total, £1 8 shilling 5.5pence</t>
  </si>
  <si>
    <t xml:space="preserve">1 pair of saddle-pads bought 6pence </t>
  </si>
  <si>
    <t>Total, 4 shilling 7pence</t>
  </si>
  <si>
    <t xml:space="preserve">1 shovel bought 1pence </t>
  </si>
  <si>
    <t>Total, 2 shilling 11.5pence</t>
  </si>
  <si>
    <t xml:space="preserve">stipend of 1 dairymaid for the year 3 shilling </t>
  </si>
  <si>
    <t>Total, £2 6 shilling 7pence</t>
  </si>
  <si>
    <t>expenses of 1 boon-work for reaping corn 3 shilling 10.5pence</t>
  </si>
  <si>
    <t xml:space="preserve"> Total, 10 shilling 3pence</t>
  </si>
  <si>
    <t>Colts (unspecified years)</t>
  </si>
  <si>
    <t>Total Value</t>
  </si>
  <si>
    <t>Total wool</t>
  </si>
  <si>
    <t>Mare</t>
  </si>
  <si>
    <t>Steer</t>
  </si>
  <si>
    <t>calves</t>
  </si>
  <si>
    <t>pigs</t>
  </si>
  <si>
    <t>Woolskins (incl. 10 in tithe)</t>
  </si>
  <si>
    <t>wethers</t>
  </si>
  <si>
    <t>rams</t>
  </si>
  <si>
    <t>ewes</t>
  </si>
  <si>
    <t>hoggs</t>
  </si>
  <si>
    <t>Woolskins (excl. 10 in tithe)</t>
  </si>
  <si>
    <t>Bareskins</t>
  </si>
  <si>
    <t>Lambskins (excl. 8 in tithe)</t>
  </si>
  <si>
    <t xml:space="preserve">Total </t>
  </si>
  <si>
    <t>Total poultry stock</t>
  </si>
  <si>
    <t>Total poultry excluding churchscot</t>
  </si>
  <si>
    <t>Meat</t>
  </si>
  <si>
    <t>Beef</t>
  </si>
  <si>
    <t>Mutton</t>
  </si>
  <si>
    <t>Pork</t>
  </si>
  <si>
    <t>Winter cheese</t>
  </si>
  <si>
    <t>Summer cheese</t>
  </si>
  <si>
    <t>Total Dairy Sales</t>
  </si>
  <si>
    <t>Cider</t>
  </si>
  <si>
    <t>Additional Information (not necessarily useful)</t>
  </si>
  <si>
    <t>ploughs</t>
  </si>
  <si>
    <t>carts</t>
  </si>
  <si>
    <t>cart-ropes</t>
  </si>
  <si>
    <t>corn baskets</t>
  </si>
  <si>
    <t>seed-sacks</t>
  </si>
  <si>
    <t>seed basket</t>
  </si>
  <si>
    <t>locks for the doors</t>
  </si>
  <si>
    <t>lead vessel</t>
  </si>
  <si>
    <t>brass pots</t>
  </si>
  <si>
    <t>pans</t>
  </si>
  <si>
    <t>tripods</t>
  </si>
  <si>
    <t>mortar</t>
  </si>
  <si>
    <t>axe</t>
  </si>
  <si>
    <t>casks</t>
  </si>
  <si>
    <t>tubs</t>
  </si>
  <si>
    <t>troughs</t>
  </si>
  <si>
    <t>bucket</t>
  </si>
  <si>
    <t>cheese basket</t>
  </si>
  <si>
    <t>tables</t>
  </si>
  <si>
    <t>table with trestles</t>
  </si>
  <si>
    <t>benches</t>
  </si>
  <si>
    <t>ewer with a basin</t>
  </si>
  <si>
    <t>ladders</t>
  </si>
  <si>
    <t>cloth</t>
  </si>
  <si>
    <t>brass posnets</t>
  </si>
  <si>
    <t>subtracted</t>
  </si>
  <si>
    <t>Inherited stock</t>
  </si>
  <si>
    <t>strays</t>
  </si>
  <si>
    <t>herbage</t>
  </si>
  <si>
    <t>churchscot</t>
  </si>
  <si>
    <t>of which in default</t>
  </si>
  <si>
    <t>in murrain</t>
  </si>
  <si>
    <t>accounted for elsewhere</t>
  </si>
  <si>
    <t>End-period  stock</t>
  </si>
  <si>
    <t>cross-check</t>
  </si>
  <si>
    <t>stock building</t>
  </si>
  <si>
    <t>raw production</t>
  </si>
  <si>
    <t>Unit price (£)</t>
  </si>
  <si>
    <t>Value of stock  (£) at given value</t>
  </si>
  <si>
    <t>Value of stock  (£) at sales prices</t>
  </si>
  <si>
    <t>Sales in (£)</t>
  </si>
  <si>
    <t>Value of stock building (£)</t>
  </si>
  <si>
    <t>Value of production (£) at sales prices</t>
  </si>
  <si>
    <t>Details</t>
  </si>
  <si>
    <t>CULHAM STOCK ACCOUNT</t>
  </si>
  <si>
    <t>Total Quantity</t>
  </si>
  <si>
    <t>Received from churchscot</t>
  </si>
  <si>
    <t>Net output</t>
  </si>
  <si>
    <t>Gross output</t>
  </si>
  <si>
    <t>Seed quarters</t>
  </si>
  <si>
    <t>Seed bushels</t>
  </si>
  <si>
    <t>Seed total quarters</t>
  </si>
  <si>
    <t>tithe quarters</t>
  </si>
  <si>
    <t>tithe bushels</t>
  </si>
  <si>
    <t>tithe total</t>
  </si>
  <si>
    <t>manorial servants quarters</t>
  </si>
  <si>
    <t>manorial servants bushels</t>
  </si>
  <si>
    <t>manorial servants total quarters</t>
  </si>
  <si>
    <t>output net of tithe, seed, liveries</t>
  </si>
  <si>
    <t>in stock from last year</t>
  </si>
  <si>
    <t>Price in £</t>
  </si>
  <si>
    <t>Value of net output in £</t>
  </si>
  <si>
    <t>Value of sales (in "Sale of Corn") in £</t>
  </si>
  <si>
    <t>Total Production</t>
  </si>
  <si>
    <t>Sales of corn (as recorded in accounts)</t>
  </si>
  <si>
    <t>fleeces</t>
  </si>
  <si>
    <t>measured in cloves</t>
  </si>
  <si>
    <t>Total of all receipts recorded in accounts</t>
  </si>
  <si>
    <t>Total cross-check without arrears</t>
  </si>
  <si>
    <t>Total cross-check with arrears</t>
  </si>
  <si>
    <t>no arrears</t>
  </si>
  <si>
    <t>Fixed investment</t>
  </si>
  <si>
    <t>Demesne fixed investment</t>
  </si>
  <si>
    <t>qrs</t>
  </si>
  <si>
    <t>Value of total gross production in £</t>
  </si>
  <si>
    <t>Value of total net production in £</t>
  </si>
  <si>
    <t>Sales value in £</t>
  </si>
  <si>
    <t>Value of production at sales prices 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</si>
</sst>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 (Body)"/>
    </font>
    <font>
      <b/>
      <sz val="11"/>
      <color theme="1"/>
      <name val="Calibri"/>
      <family val="2"/>
      <scheme val="minor"/>
    </font>
    <font>
      <sz val="11"/>
      <color rgb="FFFF0000"/>
      <name val="Calibri (Body)"/>
    </font>
    <font>
      <b/>
      <sz val="12"/>
      <name val="Calibri"/>
      <family val="2"/>
    </font>
    <font>
      <b/>
      <sz val="12"/>
      <color rgb="FFFF0000"/>
      <name val="Calibri (Body)"/>
    </font>
    <font>
      <sz val="12"/>
      <color rgb="FFFF0000"/>
      <name val="Calibri (Body)"/>
    </font>
    <font>
      <sz val="11"/>
      <name val="Calibri"/>
      <family val="2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1" xfId="0" applyFont="1" applyBorder="1" applyAlignment="1">
      <alignment horizontal="center" vertical="top"/>
    </xf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2" fillId="0" borderId="0" xfId="0" applyFont="1"/>
    <xf numFmtId="0" fontId="7" fillId="3" borderId="2" xfId="0" applyFont="1" applyFill="1" applyBorder="1"/>
    <xf numFmtId="0" fontId="7" fillId="3" borderId="0" xfId="0" applyFont="1" applyFill="1"/>
    <xf numFmtId="0" fontId="8" fillId="2" borderId="0" xfId="0" applyFont="1" applyFill="1"/>
    <xf numFmtId="0" fontId="6" fillId="0" borderId="3" xfId="0" applyFont="1" applyBorder="1"/>
    <xf numFmtId="0" fontId="4" fillId="0" borderId="0" xfId="0" applyFont="1"/>
    <xf numFmtId="0" fontId="6" fillId="4" borderId="0" xfId="0" applyFont="1" applyFill="1"/>
    <xf numFmtId="0" fontId="9" fillId="4" borderId="0" xfId="0" applyFont="1" applyFill="1"/>
    <xf numFmtId="0" fontId="9" fillId="5" borderId="0" xfId="0" applyFont="1" applyFill="1"/>
    <xf numFmtId="0" fontId="9" fillId="2" borderId="0" xfId="0" applyFont="1" applyFill="1"/>
    <xf numFmtId="0" fontId="5" fillId="6" borderId="0" xfId="0" applyFont="1" applyFill="1"/>
    <xf numFmtId="0" fontId="5" fillId="3" borderId="0" xfId="0" applyFont="1" applyFill="1"/>
    <xf numFmtId="0" fontId="6" fillId="0" borderId="0" xfId="0" applyFont="1" applyAlignment="1">
      <alignment wrapText="1"/>
    </xf>
    <xf numFmtId="0" fontId="9" fillId="6" borderId="0" xfId="0" applyFont="1" applyFill="1"/>
    <xf numFmtId="0" fontId="6" fillId="0" borderId="4" xfId="0" applyFont="1" applyBorder="1"/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left"/>
    </xf>
    <xf numFmtId="0" fontId="6" fillId="3" borderId="5" xfId="0" applyFont="1" applyFill="1" applyBorder="1"/>
    <xf numFmtId="0" fontId="9" fillId="2" borderId="6" xfId="0" applyFont="1" applyFill="1" applyBorder="1"/>
    <xf numFmtId="0" fontId="9" fillId="5" borderId="6" xfId="0" applyFont="1" applyFill="1" applyBorder="1"/>
    <xf numFmtId="0" fontId="6" fillId="0" borderId="6" xfId="0" applyFont="1" applyBorder="1"/>
    <xf numFmtId="10" fontId="9" fillId="2" borderId="6" xfId="0" applyNumberFormat="1" applyFont="1" applyFill="1" applyBorder="1"/>
    <xf numFmtId="10" fontId="9" fillId="5" borderId="7" xfId="0" applyNumberFormat="1" applyFont="1" applyFill="1" applyBorder="1"/>
    <xf numFmtId="2" fontId="5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0" fontId="11" fillId="0" borderId="0" xfId="0" applyFont="1"/>
    <xf numFmtId="0" fontId="3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4" fillId="0" borderId="0" xfId="0" applyFont="1" applyAlignment="1">
      <alignment horizontal="left" vertical="top"/>
    </xf>
    <xf numFmtId="2" fontId="0" fillId="0" borderId="0" xfId="0" applyNumberFormat="1"/>
    <xf numFmtId="2" fontId="13" fillId="0" borderId="0" xfId="0" applyNumberFormat="1" applyFont="1"/>
    <xf numFmtId="2" fontId="4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 vertical="top"/>
    </xf>
    <xf numFmtId="0" fontId="12" fillId="0" borderId="0" xfId="0" applyFont="1"/>
    <xf numFmtId="2" fontId="17" fillId="0" borderId="0" xfId="0" applyNumberFormat="1" applyFont="1" applyAlignment="1">
      <alignment horizontal="center" vertical="top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7" borderId="0" xfId="0" applyFont="1" applyFill="1"/>
    <xf numFmtId="0" fontId="0" fillId="0" borderId="8" xfId="0" applyBorder="1"/>
    <xf numFmtId="0" fontId="0" fillId="0" borderId="0" xfId="0" applyAlignment="1">
      <alignment horizontal="righ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8" borderId="0" xfId="0" applyFill="1"/>
    <xf numFmtId="0" fontId="18" fillId="3" borderId="0" xfId="0" applyFont="1" applyFill="1"/>
    <xf numFmtId="0" fontId="18" fillId="0" borderId="0" xfId="0" applyFont="1"/>
    <xf numFmtId="2" fontId="0" fillId="0" borderId="0" xfId="0" applyNumberFormat="1" applyAlignment="1">
      <alignment wrapText="1"/>
    </xf>
    <xf numFmtId="0" fontId="4" fillId="0" borderId="0" xfId="0" applyFont="1" applyAlignment="1">
      <alignment horizontal="right" wrapText="1"/>
    </xf>
    <xf numFmtId="2" fontId="4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wrapText="1"/>
    </xf>
    <xf numFmtId="0" fontId="21" fillId="0" borderId="10" xfId="0" applyFont="1" applyBorder="1" applyAlignment="1">
      <alignment wrapText="1"/>
    </xf>
    <xf numFmtId="2" fontId="12" fillId="0" borderId="0" xfId="0" applyNumberFormat="1" applyFont="1" applyAlignment="1">
      <alignment horizontal="right" wrapText="1"/>
    </xf>
    <xf numFmtId="0" fontId="0" fillId="9" borderId="0" xfId="0" applyFill="1"/>
    <xf numFmtId="0" fontId="0" fillId="0" borderId="10" xfId="0" applyBorder="1"/>
    <xf numFmtId="0" fontId="0" fillId="10" borderId="0" xfId="0" applyFill="1"/>
    <xf numFmtId="0" fontId="0" fillId="7" borderId="0" xfId="0" applyFill="1"/>
    <xf numFmtId="2" fontId="4" fillId="0" borderId="0" xfId="0" applyNumberFormat="1" applyFont="1" applyAlignment="1">
      <alignment horizontal="right" wrapText="1"/>
    </xf>
    <xf numFmtId="2" fontId="0" fillId="7" borderId="0" xfId="0" applyNumberFormat="1" applyFill="1"/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0" xfId="0" applyFont="1"/>
    <xf numFmtId="2" fontId="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3" fillId="0" borderId="0" xfId="0" applyNumberFormat="1" applyFont="1" applyAlignment="1">
      <alignment horizontal="right"/>
    </xf>
    <xf numFmtId="2" fontId="16" fillId="0" borderId="0" xfId="0" applyNumberFormat="1" applyFont="1" applyAlignment="1">
      <alignment horizontal="right" vertical="center"/>
    </xf>
    <xf numFmtId="2" fontId="13" fillId="0" borderId="0" xfId="0" applyNumberFormat="1" applyFont="1" applyAlignment="1">
      <alignment horizontal="right" vertical="top"/>
    </xf>
    <xf numFmtId="0" fontId="22" fillId="0" borderId="0" xfId="0" applyFont="1"/>
    <xf numFmtId="2" fontId="22" fillId="0" borderId="0" xfId="0" applyNumberFormat="1" applyFont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2" fontId="1" fillId="3" borderId="0" xfId="0" applyNumberFormat="1" applyFont="1" applyFill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2" fontId="4" fillId="0" borderId="0" xfId="0" applyNumberFormat="1" applyFont="1"/>
    <xf numFmtId="0" fontId="22" fillId="3" borderId="0" xfId="0" applyFont="1" applyFill="1"/>
    <xf numFmtId="0" fontId="12" fillId="3" borderId="0" xfId="0" applyFont="1" applyFill="1"/>
    <xf numFmtId="2" fontId="0" fillId="3" borderId="0" xfId="0" applyNumberFormat="1" applyFill="1"/>
    <xf numFmtId="0" fontId="0" fillId="0" borderId="12" xfId="0" applyBorder="1"/>
    <xf numFmtId="0" fontId="0" fillId="0" borderId="13" xfId="0" applyBorder="1"/>
    <xf numFmtId="0" fontId="0" fillId="0" borderId="11" xfId="0" applyBorder="1"/>
    <xf numFmtId="2" fontId="0" fillId="0" borderId="12" xfId="0" applyNumberFormat="1" applyBorder="1"/>
    <xf numFmtId="10" fontId="0" fillId="0" borderId="1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8"/>
  <sheetViews>
    <sheetView tabSelected="1" workbookViewId="0">
      <pane xSplit="1" ySplit="1" topLeftCell="B167" activePane="bottomRight" state="frozen"/>
      <selection pane="topRight" activeCell="B1" sqref="B1"/>
      <selection pane="bottomLeft" activeCell="A2" sqref="A2"/>
      <selection pane="bottomRight" activeCell="B170" sqref="B170"/>
    </sheetView>
  </sheetViews>
  <sheetFormatPr baseColWidth="10" defaultColWidth="8.83203125" defaultRowHeight="16" x14ac:dyDescent="0.2"/>
  <cols>
    <col min="1" max="1" width="80" style="5" bestFit="1" customWidth="1"/>
    <col min="2" max="2" width="29.1640625" bestFit="1" customWidth="1"/>
    <col min="3" max="3" width="8.83203125" style="81"/>
    <col min="5" max="5" width="30.83203125" bestFit="1" customWidth="1"/>
    <col min="6" max="6" width="29.33203125" bestFit="1" customWidth="1"/>
  </cols>
  <sheetData>
    <row r="1" spans="1:4" x14ac:dyDescent="0.2">
      <c r="A1" s="2" t="s">
        <v>451</v>
      </c>
      <c r="B1" s="28" t="s">
        <v>452</v>
      </c>
      <c r="C1" s="29" t="s">
        <v>260</v>
      </c>
      <c r="D1" s="10" t="s">
        <v>453</v>
      </c>
    </row>
    <row r="2" spans="1:4" x14ac:dyDescent="0.2">
      <c r="A2" s="2" t="s">
        <v>322</v>
      </c>
    </row>
    <row r="3" spans="1:4" x14ac:dyDescent="0.2">
      <c r="A3" s="3" t="s">
        <v>323</v>
      </c>
    </row>
    <row r="4" spans="1:4" x14ac:dyDescent="0.2">
      <c r="A4" s="4" t="s">
        <v>324</v>
      </c>
    </row>
    <row r="5" spans="1:4" x14ac:dyDescent="0.2">
      <c r="A5" s="4" t="s">
        <v>325</v>
      </c>
    </row>
    <row r="6" spans="1:4" x14ac:dyDescent="0.2">
      <c r="A6" s="4" t="s">
        <v>326</v>
      </c>
    </row>
    <row r="7" spans="1:4" x14ac:dyDescent="0.2">
      <c r="A7" s="4" t="s">
        <v>327</v>
      </c>
    </row>
    <row r="8" spans="1:4" x14ac:dyDescent="0.2">
      <c r="A8" s="5" t="s">
        <v>328</v>
      </c>
    </row>
    <row r="9" spans="1:4" x14ac:dyDescent="0.2">
      <c r="A9" s="5" t="s">
        <v>329</v>
      </c>
    </row>
    <row r="10" spans="1:4" x14ac:dyDescent="0.2">
      <c r="A10" s="5" t="s">
        <v>330</v>
      </c>
    </row>
    <row r="11" spans="1:4" x14ac:dyDescent="0.2">
      <c r="A11" s="5" t="s">
        <v>331</v>
      </c>
    </row>
    <row r="12" spans="1:4" x14ac:dyDescent="0.2">
      <c r="A12" s="5" t="s">
        <v>332</v>
      </c>
    </row>
    <row r="13" spans="1:4" x14ac:dyDescent="0.2">
      <c r="A13" s="5" t="s">
        <v>333</v>
      </c>
    </row>
    <row r="14" spans="1:4" x14ac:dyDescent="0.2">
      <c r="A14" s="4" t="s">
        <v>334</v>
      </c>
    </row>
    <row r="15" spans="1:4" x14ac:dyDescent="0.2">
      <c r="A15" s="4" t="s">
        <v>335</v>
      </c>
    </row>
    <row r="16" spans="1:4" x14ac:dyDescent="0.2">
      <c r="A16" s="5" t="s">
        <v>336</v>
      </c>
    </row>
    <row r="17" spans="1:3" x14ac:dyDescent="0.2">
      <c r="A17" s="5" t="s">
        <v>337</v>
      </c>
    </row>
    <row r="18" spans="1:3" x14ac:dyDescent="0.2">
      <c r="A18" s="4" t="s">
        <v>338</v>
      </c>
    </row>
    <row r="19" spans="1:3" x14ac:dyDescent="0.2">
      <c r="A19" s="4" t="s">
        <v>339</v>
      </c>
    </row>
    <row r="20" spans="1:3" x14ac:dyDescent="0.2">
      <c r="A20" s="4" t="s">
        <v>340</v>
      </c>
    </row>
    <row r="21" spans="1:3" x14ac:dyDescent="0.2">
      <c r="A21" s="5" t="s">
        <v>341</v>
      </c>
    </row>
    <row r="22" spans="1:3" x14ac:dyDescent="0.2">
      <c r="A22" s="5" t="s">
        <v>342</v>
      </c>
    </row>
    <row r="23" spans="1:3" x14ac:dyDescent="0.2">
      <c r="A23" s="6" t="s">
        <v>343</v>
      </c>
      <c r="B23" s="36">
        <f>Receipts!F103</f>
        <v>24.86</v>
      </c>
    </row>
    <row r="24" spans="1:3" x14ac:dyDescent="0.2">
      <c r="A24" s="7" t="s">
        <v>344</v>
      </c>
      <c r="B24" s="36">
        <f>Receipts!F104</f>
        <v>24.86</v>
      </c>
    </row>
    <row r="25" spans="1:3" x14ac:dyDescent="0.2">
      <c r="A25" s="8" t="s">
        <v>345</v>
      </c>
      <c r="B25" s="36">
        <f>Receipts!F101</f>
        <v>24.95</v>
      </c>
      <c r="C25" s="82">
        <f>B25-B23</f>
        <v>8.9999999999999858E-2</v>
      </c>
    </row>
    <row r="26" spans="1:3" x14ac:dyDescent="0.2">
      <c r="A26" s="8" t="s">
        <v>346</v>
      </c>
    </row>
    <row r="27" spans="1:3" x14ac:dyDescent="0.2">
      <c r="A27" s="4"/>
    </row>
    <row r="28" spans="1:3" x14ac:dyDescent="0.2">
      <c r="A28" s="4"/>
    </row>
    <row r="29" spans="1:3" x14ac:dyDescent="0.2">
      <c r="A29" s="3" t="s">
        <v>347</v>
      </c>
    </row>
    <row r="30" spans="1:3" x14ac:dyDescent="0.2">
      <c r="A30" s="4" t="s">
        <v>348</v>
      </c>
    </row>
    <row r="31" spans="1:3" x14ac:dyDescent="0.2">
      <c r="A31" s="4" t="s">
        <v>349</v>
      </c>
    </row>
    <row r="32" spans="1:3" x14ac:dyDescent="0.2">
      <c r="A32" s="4" t="s">
        <v>350</v>
      </c>
    </row>
    <row r="33" spans="1:2" x14ac:dyDescent="0.2">
      <c r="A33" s="4" t="s">
        <v>351</v>
      </c>
    </row>
    <row r="34" spans="1:2" x14ac:dyDescent="0.2">
      <c r="A34" s="4" t="s">
        <v>352</v>
      </c>
    </row>
    <row r="35" spans="1:2" x14ac:dyDescent="0.2">
      <c r="A35" s="4" t="s">
        <v>353</v>
      </c>
    </row>
    <row r="36" spans="1:2" x14ac:dyDescent="0.2">
      <c r="A36" s="4" t="s">
        <v>354</v>
      </c>
    </row>
    <row r="37" spans="1:2" x14ac:dyDescent="0.2">
      <c r="A37" s="4" t="s">
        <v>355</v>
      </c>
    </row>
    <row r="38" spans="1:2" x14ac:dyDescent="0.2">
      <c r="A38" s="4" t="s">
        <v>356</v>
      </c>
    </row>
    <row r="39" spans="1:2" x14ac:dyDescent="0.2">
      <c r="A39" s="4" t="s">
        <v>357</v>
      </c>
    </row>
    <row r="40" spans="1:2" x14ac:dyDescent="0.2">
      <c r="A40" s="4" t="s">
        <v>358</v>
      </c>
    </row>
    <row r="41" spans="1:2" x14ac:dyDescent="0.2">
      <c r="A41" s="4" t="s">
        <v>359</v>
      </c>
    </row>
    <row r="42" spans="1:2" x14ac:dyDescent="0.2">
      <c r="A42" s="4" t="s">
        <v>360</v>
      </c>
    </row>
    <row r="43" spans="1:2" x14ac:dyDescent="0.2">
      <c r="A43" s="9" t="s">
        <v>361</v>
      </c>
    </row>
    <row r="44" spans="1:2" x14ac:dyDescent="0.2">
      <c r="A44" s="7" t="s">
        <v>362</v>
      </c>
      <c r="B44" s="36">
        <f>Expenses!F63</f>
        <v>7.86</v>
      </c>
    </row>
    <row r="45" spans="1:2" x14ac:dyDescent="0.2">
      <c r="A45" s="7" t="s">
        <v>363</v>
      </c>
      <c r="B45" s="36">
        <f>Expenses!F64</f>
        <v>7.7966666666666669</v>
      </c>
    </row>
    <row r="46" spans="1:2" x14ac:dyDescent="0.2">
      <c r="A46" s="7" t="s">
        <v>364</v>
      </c>
      <c r="B46" s="36">
        <f>Expenses!F65</f>
        <v>2.5366666666666675</v>
      </c>
    </row>
    <row r="47" spans="1:2" x14ac:dyDescent="0.2">
      <c r="A47" s="7" t="s">
        <v>365</v>
      </c>
      <c r="B47" s="36">
        <f>Expenses!F66</f>
        <v>2.5366666666666675</v>
      </c>
    </row>
    <row r="48" spans="1:2" x14ac:dyDescent="0.2">
      <c r="A48" s="10"/>
    </row>
    <row r="49" spans="1:6" x14ac:dyDescent="0.2">
      <c r="A49" s="11" t="s">
        <v>366</v>
      </c>
    </row>
    <row r="50" spans="1:6" x14ac:dyDescent="0.2">
      <c r="A50" s="11" t="s">
        <v>367</v>
      </c>
    </row>
    <row r="51" spans="1:6" x14ac:dyDescent="0.2">
      <c r="A51" s="4"/>
    </row>
    <row r="52" spans="1:6" x14ac:dyDescent="0.2">
      <c r="A52" s="11" t="s">
        <v>368</v>
      </c>
    </row>
    <row r="53" spans="1:6" x14ac:dyDescent="0.2">
      <c r="A53" s="11" t="s">
        <v>369</v>
      </c>
    </row>
    <row r="54" spans="1:6" x14ac:dyDescent="0.2">
      <c r="A54" s="12" t="s">
        <v>370</v>
      </c>
    </row>
    <row r="55" spans="1:6" x14ac:dyDescent="0.2">
      <c r="A55" s="13" t="s">
        <v>371</v>
      </c>
    </row>
    <row r="56" spans="1:6" x14ac:dyDescent="0.2">
      <c r="A56" s="4"/>
    </row>
    <row r="57" spans="1:6" x14ac:dyDescent="0.2">
      <c r="A57" s="11" t="s">
        <v>372</v>
      </c>
    </row>
    <row r="58" spans="1:6" x14ac:dyDescent="0.2">
      <c r="A58" s="11" t="s">
        <v>373</v>
      </c>
    </row>
    <row r="59" spans="1:6" x14ac:dyDescent="0.2">
      <c r="A59" s="4"/>
    </row>
    <row r="60" spans="1:6" x14ac:dyDescent="0.2">
      <c r="A60" s="3" t="s">
        <v>374</v>
      </c>
      <c r="B60" s="83" t="s">
        <v>562</v>
      </c>
      <c r="C60" s="83"/>
      <c r="D60" s="84"/>
      <c r="E60" s="84"/>
      <c r="F60" s="85"/>
    </row>
    <row r="61" spans="1:6" x14ac:dyDescent="0.2">
      <c r="A61" s="2" t="s">
        <v>375</v>
      </c>
      <c r="B61" s="86" t="s">
        <v>572</v>
      </c>
      <c r="C61" s="87"/>
      <c r="D61" s="71"/>
      <c r="E61" s="88" t="s">
        <v>573</v>
      </c>
      <c r="F61" s="88" t="s">
        <v>574</v>
      </c>
    </row>
    <row r="62" spans="1:6" ht="15" x14ac:dyDescent="0.2">
      <c r="A62" t="s">
        <v>82</v>
      </c>
      <c r="B62">
        <f>'Issues of the Grange'!B2</f>
        <v>9.75</v>
      </c>
      <c r="E62" s="36">
        <f>'Issues of the Grange'!I2</f>
        <v>1.8958333333333326</v>
      </c>
      <c r="F62" s="36">
        <f>'Issues of the Grange'!O14</f>
        <v>1.3812499999999994</v>
      </c>
    </row>
    <row r="63" spans="1:6" ht="15" x14ac:dyDescent="0.2">
      <c r="A63" t="s">
        <v>84</v>
      </c>
      <c r="B63">
        <f>'Issues of the Grange'!B3</f>
        <v>58.875</v>
      </c>
      <c r="E63" s="36">
        <f>'Issues of the Grange'!I3</f>
        <v>4.9375</v>
      </c>
      <c r="F63" s="36">
        <f>'Issues of the Grange'!O15</f>
        <v>3.609375</v>
      </c>
    </row>
    <row r="64" spans="1:6" ht="15" x14ac:dyDescent="0.2">
      <c r="A64" t="s">
        <v>87</v>
      </c>
      <c r="B64">
        <f>'Issues of the Grange'!B4</f>
        <v>19</v>
      </c>
      <c r="E64" s="36">
        <f>'Issues of the Grange'!I4</f>
        <v>2.375</v>
      </c>
      <c r="F64" s="36">
        <f>'Issues of the Grange'!O16</f>
        <v>1.453125</v>
      </c>
    </row>
    <row r="65" spans="1:6" ht="15" x14ac:dyDescent="0.2">
      <c r="A65" t="s">
        <v>205</v>
      </c>
      <c r="B65">
        <f>'Issues of the Grange'!B5</f>
        <v>20</v>
      </c>
      <c r="E65" s="36">
        <f>'Issues of the Grange'!I5</f>
        <v>3.3333333333333344</v>
      </c>
      <c r="F65" s="36">
        <f>'Issues of the Grange'!O17</f>
        <v>0</v>
      </c>
    </row>
    <row r="66" spans="1:6" x14ac:dyDescent="0.2">
      <c r="A66" s="14" t="s">
        <v>376</v>
      </c>
      <c r="B66" s="49"/>
      <c r="C66" s="89"/>
      <c r="D66" s="49"/>
      <c r="E66" s="91">
        <f>SUM(E62:E65)</f>
        <v>12.541666666666666</v>
      </c>
      <c r="F66" s="49"/>
    </row>
    <row r="67" spans="1:6" x14ac:dyDescent="0.2">
      <c r="A67" s="14" t="s">
        <v>377</v>
      </c>
      <c r="B67" s="49"/>
      <c r="C67" s="89"/>
      <c r="D67" s="49"/>
      <c r="E67" s="91">
        <f>SUM(F62:F65)</f>
        <v>6.4437499999999996</v>
      </c>
      <c r="F67" s="49"/>
    </row>
    <row r="68" spans="1:6" x14ac:dyDescent="0.2">
      <c r="A68" s="14" t="s">
        <v>378</v>
      </c>
      <c r="B68" s="49"/>
      <c r="C68" s="89"/>
      <c r="D68" s="49"/>
      <c r="E68" s="91">
        <f>Receipts!F58</f>
        <v>6.8899999999999988</v>
      </c>
      <c r="F68" s="49"/>
    </row>
    <row r="69" spans="1:6" x14ac:dyDescent="0.2">
      <c r="A69" s="4"/>
    </row>
    <row r="70" spans="1:6" x14ac:dyDescent="0.2">
      <c r="A70" s="3" t="s">
        <v>379</v>
      </c>
      <c r="B70" s="49"/>
      <c r="C70" s="89"/>
      <c r="D70" s="49"/>
      <c r="E70" s="49"/>
      <c r="F70" s="49"/>
    </row>
    <row r="71" spans="1:6" x14ac:dyDescent="0.2">
      <c r="A71" s="2" t="s">
        <v>380</v>
      </c>
    </row>
    <row r="72" spans="1:6" x14ac:dyDescent="0.2">
      <c r="A72" s="4" t="s">
        <v>182</v>
      </c>
    </row>
    <row r="73" spans="1:6" x14ac:dyDescent="0.2">
      <c r="A73" s="4" t="s">
        <v>312</v>
      </c>
    </row>
    <row r="74" spans="1:6" x14ac:dyDescent="0.2">
      <c r="A74" s="4" t="s">
        <v>381</v>
      </c>
    </row>
    <row r="75" spans="1:6" x14ac:dyDescent="0.2">
      <c r="A75" s="4" t="s">
        <v>382</v>
      </c>
    </row>
    <row r="76" spans="1:6" x14ac:dyDescent="0.2">
      <c r="A76" s="4" t="s">
        <v>311</v>
      </c>
    </row>
    <row r="77" spans="1:6" x14ac:dyDescent="0.2">
      <c r="A77" s="14" t="s">
        <v>383</v>
      </c>
      <c r="B77" s="49"/>
      <c r="C77" s="89"/>
      <c r="D77" s="49"/>
      <c r="E77" s="49"/>
      <c r="F77" s="49"/>
    </row>
    <row r="78" spans="1:6" x14ac:dyDescent="0.2">
      <c r="A78" s="14" t="s">
        <v>378</v>
      </c>
      <c r="B78" s="49"/>
      <c r="C78" s="89"/>
      <c r="D78" s="49"/>
      <c r="E78" s="49"/>
      <c r="F78" s="49"/>
    </row>
    <row r="79" spans="1:6" x14ac:dyDescent="0.2">
      <c r="A79" s="4"/>
    </row>
    <row r="80" spans="1:6" x14ac:dyDescent="0.2">
      <c r="A80" s="15" t="s">
        <v>384</v>
      </c>
      <c r="B80" s="49"/>
    </row>
    <row r="81" spans="1:2" x14ac:dyDescent="0.2">
      <c r="A81" s="16" t="s">
        <v>385</v>
      </c>
      <c r="B81" s="90" t="s">
        <v>575</v>
      </c>
    </row>
    <row r="82" spans="1:2" ht="17" x14ac:dyDescent="0.2">
      <c r="A82" s="17" t="s">
        <v>386</v>
      </c>
      <c r="B82">
        <f>Stock!R5</f>
        <v>0</v>
      </c>
    </row>
    <row r="83" spans="1:2" ht="17" x14ac:dyDescent="0.2">
      <c r="A83" s="17" t="s">
        <v>387</v>
      </c>
      <c r="B83">
        <f>Stock!R6</f>
        <v>0</v>
      </c>
    </row>
    <row r="84" spans="1:2" x14ac:dyDescent="0.2">
      <c r="A84" s="4" t="s">
        <v>388</v>
      </c>
      <c r="B84">
        <f>Stock!R7</f>
        <v>0</v>
      </c>
    </row>
    <row r="85" spans="1:2" x14ac:dyDescent="0.2">
      <c r="A85" s="4" t="s">
        <v>389</v>
      </c>
      <c r="B85">
        <f>Stock!R8</f>
        <v>0</v>
      </c>
    </row>
    <row r="86" spans="1:2" x14ac:dyDescent="0.2">
      <c r="A86" s="4" t="s">
        <v>389</v>
      </c>
      <c r="B86">
        <f>Stock!R9</f>
        <v>0</v>
      </c>
    </row>
    <row r="87" spans="1:2" x14ac:dyDescent="0.2">
      <c r="A87" s="4" t="s">
        <v>390</v>
      </c>
      <c r="B87">
        <f>Stock!R10</f>
        <v>0</v>
      </c>
    </row>
    <row r="88" spans="1:2" x14ac:dyDescent="0.2">
      <c r="A88" s="4" t="s">
        <v>391</v>
      </c>
      <c r="B88">
        <f>Stock!R11</f>
        <v>0</v>
      </c>
    </row>
    <row r="89" spans="1:2" x14ac:dyDescent="0.2">
      <c r="A89" s="4" t="s">
        <v>270</v>
      </c>
      <c r="B89">
        <f>Stock!R12</f>
        <v>1.03</v>
      </c>
    </row>
    <row r="90" spans="1:2" x14ac:dyDescent="0.2">
      <c r="A90" s="4" t="s">
        <v>271</v>
      </c>
      <c r="B90">
        <f>Stock!R13</f>
        <v>0</v>
      </c>
    </row>
    <row r="91" spans="1:2" x14ac:dyDescent="0.2">
      <c r="A91" s="4" t="s">
        <v>272</v>
      </c>
      <c r="B91">
        <f>Stock!R14</f>
        <v>0.8</v>
      </c>
    </row>
    <row r="92" spans="1:2" x14ac:dyDescent="0.2">
      <c r="A92" s="4" t="s">
        <v>273</v>
      </c>
      <c r="B92">
        <f>Stock!R15</f>
        <v>0</v>
      </c>
    </row>
    <row r="93" spans="1:2" x14ac:dyDescent="0.2">
      <c r="A93" s="4" t="s">
        <v>274</v>
      </c>
      <c r="B93">
        <f>Stock!R16</f>
        <v>0</v>
      </c>
    </row>
    <row r="94" spans="1:2" x14ac:dyDescent="0.2">
      <c r="A94" s="4" t="s">
        <v>275</v>
      </c>
      <c r="B94">
        <f>Stock!R17</f>
        <v>0</v>
      </c>
    </row>
    <row r="95" spans="1:2" x14ac:dyDescent="0.2">
      <c r="A95" s="4" t="s">
        <v>276</v>
      </c>
      <c r="B95">
        <f>Stock!R18</f>
        <v>0.83</v>
      </c>
    </row>
    <row r="96" spans="1:2" x14ac:dyDescent="0.2">
      <c r="A96" s="4" t="s">
        <v>277</v>
      </c>
      <c r="B96">
        <f>Stock!R19</f>
        <v>1.02</v>
      </c>
    </row>
    <row r="97" spans="1:2" x14ac:dyDescent="0.2">
      <c r="A97" s="4" t="s">
        <v>392</v>
      </c>
      <c r="B97">
        <f>Stock!R20</f>
        <v>0</v>
      </c>
    </row>
    <row r="98" spans="1:2" x14ac:dyDescent="0.2">
      <c r="A98" s="4" t="s">
        <v>393</v>
      </c>
      <c r="B98">
        <f>Stock!R21</f>
        <v>0</v>
      </c>
    </row>
    <row r="99" spans="1:2" x14ac:dyDescent="0.2">
      <c r="A99" s="4" t="s">
        <v>394</v>
      </c>
      <c r="B99">
        <f>Stock!R22</f>
        <v>0</v>
      </c>
    </row>
    <row r="100" spans="1:2" x14ac:dyDescent="0.2">
      <c r="A100" s="4" t="s">
        <v>395</v>
      </c>
      <c r="B100">
        <f>Stock!R23</f>
        <v>0</v>
      </c>
    </row>
    <row r="101" spans="1:2" x14ac:dyDescent="0.2">
      <c r="A101" s="4" t="s">
        <v>396</v>
      </c>
      <c r="B101">
        <f>Stock!R24</f>
        <v>0</v>
      </c>
    </row>
    <row r="102" spans="1:2" x14ac:dyDescent="0.2">
      <c r="A102" s="4" t="s">
        <v>397</v>
      </c>
      <c r="B102">
        <f>Stock!R25</f>
        <v>0</v>
      </c>
    </row>
    <row r="103" spans="1:2" x14ac:dyDescent="0.2">
      <c r="A103" s="4" t="s">
        <v>398</v>
      </c>
      <c r="B103">
        <f>Stock!R26</f>
        <v>0</v>
      </c>
    </row>
    <row r="104" spans="1:2" x14ac:dyDescent="0.2">
      <c r="A104" s="4" t="s">
        <v>399</v>
      </c>
      <c r="B104">
        <f>Stock!R27</f>
        <v>0</v>
      </c>
    </row>
    <row r="105" spans="1:2" x14ac:dyDescent="0.2">
      <c r="A105" s="4" t="s">
        <v>400</v>
      </c>
      <c r="B105">
        <f>Stock!R28</f>
        <v>0</v>
      </c>
    </row>
    <row r="106" spans="1:2" x14ac:dyDescent="0.2">
      <c r="A106" s="4" t="s">
        <v>401</v>
      </c>
      <c r="B106">
        <f>Stock!R29</f>
        <v>0</v>
      </c>
    </row>
    <row r="107" spans="1:2" x14ac:dyDescent="0.2">
      <c r="A107" s="4" t="s">
        <v>402</v>
      </c>
      <c r="B107">
        <f>Stock!R30</f>
        <v>0</v>
      </c>
    </row>
    <row r="108" spans="1:2" x14ac:dyDescent="0.2">
      <c r="A108" s="14" t="s">
        <v>403</v>
      </c>
      <c r="B108" s="49"/>
    </row>
    <row r="109" spans="1:2" x14ac:dyDescent="0.2">
      <c r="A109" s="14" t="s">
        <v>404</v>
      </c>
      <c r="B109" s="49"/>
    </row>
    <row r="110" spans="1:2" x14ac:dyDescent="0.2">
      <c r="A110" s="14" t="s">
        <v>378</v>
      </c>
      <c r="B110" s="49">
        <f>Stock!R31</f>
        <v>3.68</v>
      </c>
    </row>
    <row r="111" spans="1:2" x14ac:dyDescent="0.2">
      <c r="A111" s="4"/>
    </row>
    <row r="112" spans="1:2" x14ac:dyDescent="0.2">
      <c r="A112" s="3" t="s">
        <v>405</v>
      </c>
      <c r="B112" s="90" t="s">
        <v>576</v>
      </c>
    </row>
    <row r="113" spans="1:2" ht="17" x14ac:dyDescent="0.2">
      <c r="A113" s="17" t="s">
        <v>406</v>
      </c>
      <c r="B113">
        <f>Stock!T35</f>
        <v>1.74</v>
      </c>
    </row>
    <row r="114" spans="1:2" x14ac:dyDescent="0.2">
      <c r="A114" s="4" t="s">
        <v>407</v>
      </c>
      <c r="B114">
        <f>Stock!T36</f>
        <v>0</v>
      </c>
    </row>
    <row r="115" spans="1:2" x14ac:dyDescent="0.2">
      <c r="A115" s="4" t="s">
        <v>408</v>
      </c>
      <c r="B115">
        <f>Stock!T37</f>
        <v>0</v>
      </c>
    </row>
    <row r="116" spans="1:2" x14ac:dyDescent="0.2">
      <c r="A116" s="4" t="s">
        <v>409</v>
      </c>
      <c r="B116">
        <f>Stock!T38</f>
        <v>0</v>
      </c>
    </row>
    <row r="117" spans="1:2" x14ac:dyDescent="0.2">
      <c r="A117" s="4" t="s">
        <v>410</v>
      </c>
      <c r="B117">
        <f>Stock!T39</f>
        <v>0</v>
      </c>
    </row>
    <row r="118" spans="1:2" x14ac:dyDescent="0.2">
      <c r="A118" s="18" t="s">
        <v>383</v>
      </c>
      <c r="B118" s="49">
        <f>Stock!T40</f>
        <v>1.74</v>
      </c>
    </row>
    <row r="119" spans="1:2" x14ac:dyDescent="0.2">
      <c r="A119" s="18" t="s">
        <v>378</v>
      </c>
      <c r="B119" s="49"/>
    </row>
    <row r="120" spans="1:2" x14ac:dyDescent="0.2">
      <c r="A120" s="2"/>
    </row>
    <row r="121" spans="1:2" x14ac:dyDescent="0.2">
      <c r="A121" s="3" t="s">
        <v>411</v>
      </c>
      <c r="B121" s="90" t="s">
        <v>576</v>
      </c>
    </row>
    <row r="122" spans="1:2" x14ac:dyDescent="0.2">
      <c r="A122" s="4" t="s">
        <v>412</v>
      </c>
      <c r="B122">
        <f>Stock!T44</f>
        <v>0</v>
      </c>
    </row>
    <row r="123" spans="1:2" x14ac:dyDescent="0.2">
      <c r="A123" s="4" t="s">
        <v>413</v>
      </c>
      <c r="B123">
        <f>Stock!T45</f>
        <v>0</v>
      </c>
    </row>
    <row r="124" spans="1:2" x14ac:dyDescent="0.2">
      <c r="A124" s="4" t="s">
        <v>414</v>
      </c>
      <c r="B124">
        <f>Stock!T46</f>
        <v>0</v>
      </c>
    </row>
    <row r="125" spans="1:2" x14ac:dyDescent="0.2">
      <c r="A125" s="4" t="s">
        <v>415</v>
      </c>
      <c r="B125">
        <f>Stock!T47</f>
        <v>0</v>
      </c>
    </row>
    <row r="126" spans="1:2" x14ac:dyDescent="0.2">
      <c r="A126" s="4" t="s">
        <v>416</v>
      </c>
      <c r="B126">
        <f>Stock!T48</f>
        <v>0</v>
      </c>
    </row>
    <row r="127" spans="1:2" x14ac:dyDescent="0.2">
      <c r="A127" s="4" t="s">
        <v>417</v>
      </c>
      <c r="B127">
        <f>Stock!T49</f>
        <v>0</v>
      </c>
    </row>
    <row r="128" spans="1:2" x14ac:dyDescent="0.2">
      <c r="A128" s="19" t="s">
        <v>418</v>
      </c>
      <c r="B128">
        <f>Stock!T50</f>
        <v>0</v>
      </c>
    </row>
    <row r="129" spans="1:2" x14ac:dyDescent="0.2">
      <c r="A129" s="20" t="s">
        <v>419</v>
      </c>
      <c r="B129">
        <f>Stock!T51</f>
        <v>0</v>
      </c>
    </row>
    <row r="130" spans="1:2" x14ac:dyDescent="0.2">
      <c r="A130" s="20" t="s">
        <v>420</v>
      </c>
      <c r="B130">
        <f>Stock!T52</f>
        <v>0</v>
      </c>
    </row>
    <row r="131" spans="1:2" x14ac:dyDescent="0.2">
      <c r="A131" s="20" t="s">
        <v>421</v>
      </c>
      <c r="B131">
        <f>Stock!T53</f>
        <v>0</v>
      </c>
    </row>
    <row r="132" spans="1:2" x14ac:dyDescent="0.2">
      <c r="A132" s="20" t="s">
        <v>422</v>
      </c>
      <c r="B132">
        <f>Stock!T54</f>
        <v>0</v>
      </c>
    </row>
    <row r="133" spans="1:2" x14ac:dyDescent="0.2">
      <c r="A133" s="21" t="s">
        <v>423</v>
      </c>
      <c r="B133">
        <f>Stock!T55</f>
        <v>0</v>
      </c>
    </row>
    <row r="134" spans="1:2" x14ac:dyDescent="0.2">
      <c r="A134" s="20" t="s">
        <v>424</v>
      </c>
      <c r="B134">
        <f>Stock!T56</f>
        <v>0</v>
      </c>
    </row>
    <row r="135" spans="1:2" x14ac:dyDescent="0.2">
      <c r="A135" s="20" t="s">
        <v>425</v>
      </c>
      <c r="B135">
        <f>Stock!T57</f>
        <v>0</v>
      </c>
    </row>
    <row r="136" spans="1:2" x14ac:dyDescent="0.2">
      <c r="A136" s="20" t="s">
        <v>426</v>
      </c>
      <c r="B136">
        <f>Stock!T58</f>
        <v>0</v>
      </c>
    </row>
    <row r="137" spans="1:2" x14ac:dyDescent="0.2">
      <c r="A137" s="20" t="s">
        <v>427</v>
      </c>
      <c r="B137">
        <f>Stock!T59</f>
        <v>0</v>
      </c>
    </row>
    <row r="138" spans="1:2" x14ac:dyDescent="0.2">
      <c r="A138" s="21" t="s">
        <v>428</v>
      </c>
      <c r="B138">
        <f>Stock!T60</f>
        <v>0</v>
      </c>
    </row>
    <row r="139" spans="1:2" x14ac:dyDescent="0.2">
      <c r="A139" s="4" t="s">
        <v>429</v>
      </c>
      <c r="B139">
        <f>Stock!T61</f>
        <v>0</v>
      </c>
    </row>
    <row r="140" spans="1:2" x14ac:dyDescent="0.2">
      <c r="A140" s="4" t="s">
        <v>430</v>
      </c>
      <c r="B140">
        <f>Stock!T62</f>
        <v>0</v>
      </c>
    </row>
    <row r="141" spans="1:2" x14ac:dyDescent="0.2">
      <c r="A141" s="4" t="s">
        <v>431</v>
      </c>
      <c r="B141">
        <f>Stock!T63</f>
        <v>0</v>
      </c>
    </row>
    <row r="142" spans="1:2" x14ac:dyDescent="0.2">
      <c r="A142" s="14" t="s">
        <v>383</v>
      </c>
      <c r="B142" s="49"/>
    </row>
    <row r="143" spans="1:2" x14ac:dyDescent="0.2">
      <c r="A143" s="14" t="s">
        <v>378</v>
      </c>
      <c r="B143" s="49"/>
    </row>
    <row r="144" spans="1:2" x14ac:dyDescent="0.2">
      <c r="A144" s="4"/>
    </row>
    <row r="145" spans="1:2" x14ac:dyDescent="0.2">
      <c r="A145" s="3" t="s">
        <v>280</v>
      </c>
      <c r="B145" s="90" t="s">
        <v>576</v>
      </c>
    </row>
    <row r="146" spans="1:2" ht="17" x14ac:dyDescent="0.2">
      <c r="A146" s="17" t="s">
        <v>432</v>
      </c>
      <c r="B146">
        <f>Stock!T68</f>
        <v>0</v>
      </c>
    </row>
    <row r="147" spans="1:2" x14ac:dyDescent="0.2">
      <c r="A147" s="4" t="s">
        <v>433</v>
      </c>
      <c r="B147">
        <f>Stock!T69</f>
        <v>0</v>
      </c>
    </row>
    <row r="148" spans="1:2" x14ac:dyDescent="0.2">
      <c r="A148" s="4" t="s">
        <v>434</v>
      </c>
      <c r="B148">
        <f>Stock!T70</f>
        <v>0</v>
      </c>
    </row>
    <row r="149" spans="1:2" x14ac:dyDescent="0.2">
      <c r="A149" s="4" t="s">
        <v>435</v>
      </c>
      <c r="B149">
        <f>Stock!T71</f>
        <v>0</v>
      </c>
    </row>
    <row r="150" spans="1:2" x14ac:dyDescent="0.2">
      <c r="A150" s="18" t="s">
        <v>383</v>
      </c>
      <c r="B150" s="49"/>
    </row>
    <row r="151" spans="1:2" x14ac:dyDescent="0.2">
      <c r="A151" s="18" t="s">
        <v>378</v>
      </c>
      <c r="B151" s="49"/>
    </row>
    <row r="152" spans="1:2" x14ac:dyDescent="0.2">
      <c r="A152" s="4"/>
    </row>
    <row r="153" spans="1:2" x14ac:dyDescent="0.2">
      <c r="A153" s="3" t="s">
        <v>436</v>
      </c>
      <c r="B153" s="90" t="s">
        <v>576</v>
      </c>
    </row>
    <row r="154" spans="1:2" x14ac:dyDescent="0.2">
      <c r="A154" s="4" t="s">
        <v>437</v>
      </c>
      <c r="B154">
        <f>Stock!T76</f>
        <v>0</v>
      </c>
    </row>
    <row r="155" spans="1:2" x14ac:dyDescent="0.2">
      <c r="A155" s="4" t="s">
        <v>438</v>
      </c>
      <c r="B155">
        <f>Stock!T77</f>
        <v>7.0000000000000007E-2</v>
      </c>
    </row>
    <row r="156" spans="1:2" x14ac:dyDescent="0.2">
      <c r="A156" s="4" t="s">
        <v>439</v>
      </c>
      <c r="B156">
        <f>Stock!T78</f>
        <v>0</v>
      </c>
    </row>
    <row r="157" spans="1:2" x14ac:dyDescent="0.2">
      <c r="A157" s="14" t="s">
        <v>440</v>
      </c>
      <c r="B157" s="49">
        <f>B155</f>
        <v>7.0000000000000007E-2</v>
      </c>
    </row>
    <row r="158" spans="1:2" x14ac:dyDescent="0.2">
      <c r="A158" s="14" t="s">
        <v>378</v>
      </c>
      <c r="B158" s="49"/>
    </row>
    <row r="159" spans="1:2" x14ac:dyDescent="0.2">
      <c r="A159" s="4"/>
    </row>
    <row r="160" spans="1:2" x14ac:dyDescent="0.2">
      <c r="A160" s="3" t="s">
        <v>441</v>
      </c>
      <c r="B160" s="90" t="s">
        <v>576</v>
      </c>
    </row>
    <row r="161" spans="1:2" x14ac:dyDescent="0.2">
      <c r="A161" s="4" t="s">
        <v>279</v>
      </c>
      <c r="B161" s="36">
        <f>Stock!T94</f>
        <v>0.5</v>
      </c>
    </row>
    <row r="162" spans="1:2" x14ac:dyDescent="0.2">
      <c r="A162" s="4" t="s">
        <v>442</v>
      </c>
      <c r="B162" s="36">
        <f>Stock!T89</f>
        <v>0.21764705882352942</v>
      </c>
    </row>
    <row r="163" spans="1:2" x14ac:dyDescent="0.2">
      <c r="A163" s="4" t="s">
        <v>443</v>
      </c>
      <c r="B163" s="36">
        <f>Stock!T90</f>
        <v>3.5024475524475522</v>
      </c>
    </row>
    <row r="164" spans="1:2" x14ac:dyDescent="0.2">
      <c r="A164" s="14" t="s">
        <v>383</v>
      </c>
      <c r="B164" s="91">
        <f>SUM(B161:B163)</f>
        <v>4.2200946112710813</v>
      </c>
    </row>
    <row r="165" spans="1:2" x14ac:dyDescent="0.2">
      <c r="A165" s="14" t="s">
        <v>378</v>
      </c>
      <c r="B165" s="91">
        <f>Stock!R95+Stock!R91</f>
        <v>3.85</v>
      </c>
    </row>
    <row r="166" spans="1:2" x14ac:dyDescent="0.2">
      <c r="A166" s="4"/>
    </row>
    <row r="167" spans="1:2" x14ac:dyDescent="0.2">
      <c r="A167" s="4"/>
    </row>
    <row r="168" spans="1:2" ht="17" thickBot="1" x14ac:dyDescent="0.25"/>
    <row r="169" spans="1:2" ht="17" thickBot="1" x14ac:dyDescent="0.25">
      <c r="A169" s="22"/>
      <c r="B169" s="94"/>
    </row>
    <row r="170" spans="1:2" x14ac:dyDescent="0.2">
      <c r="A170" s="23" t="s">
        <v>444</v>
      </c>
      <c r="B170" s="95">
        <f>B164+B157+B150+B142+B118+B110+E67</f>
        <v>16.153844611271083</v>
      </c>
    </row>
    <row r="171" spans="1:2" x14ac:dyDescent="0.2">
      <c r="A171" s="24" t="s">
        <v>445</v>
      </c>
      <c r="B171" s="95">
        <f>B165+B158+B151+B143+B119+B110+E68</f>
        <v>14.419999999999998</v>
      </c>
    </row>
    <row r="172" spans="1:2" x14ac:dyDescent="0.2">
      <c r="A172" s="24" t="s">
        <v>446</v>
      </c>
      <c r="B172" s="95">
        <f>Receipts!F51+Receipts!F58</f>
        <v>17.64</v>
      </c>
    </row>
    <row r="173" spans="1:2" x14ac:dyDescent="0.2">
      <c r="A173" s="24" t="s">
        <v>447</v>
      </c>
      <c r="B173" s="95">
        <f>B170+Receipts!F19+Receipts!F24+Receipts!F28+Receipts!F67+Receipts!F96+Receipts!F99</f>
        <v>23.373844611271082</v>
      </c>
    </row>
    <row r="174" spans="1:2" x14ac:dyDescent="0.2">
      <c r="A174" s="25"/>
      <c r="B174" s="92"/>
    </row>
    <row r="175" spans="1:2" x14ac:dyDescent="0.2">
      <c r="A175" s="26" t="s">
        <v>448</v>
      </c>
      <c r="B175" s="96">
        <f>B47/B170</f>
        <v>0.15703176102713959</v>
      </c>
    </row>
    <row r="176" spans="1:2" x14ac:dyDescent="0.2">
      <c r="A176" s="24" t="s">
        <v>449</v>
      </c>
      <c r="B176" s="96">
        <f>B47/B173</f>
        <v>0.10852586336795718</v>
      </c>
    </row>
    <row r="177" spans="1:2" x14ac:dyDescent="0.2">
      <c r="A177" s="25"/>
      <c r="B177" s="92"/>
    </row>
    <row r="178" spans="1:2" ht="17" thickBot="1" x14ac:dyDescent="0.25">
      <c r="A178" s="27" t="s">
        <v>450</v>
      </c>
      <c r="B178" s="93"/>
    </row>
  </sheetData>
  <mergeCells count="1">
    <mergeCell ref="B60:C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workbookViewId="0">
      <pane xSplit="1" ySplit="2" topLeftCell="B78" activePane="bottomRight" state="frozen"/>
      <selection pane="topRight" activeCell="B1" sqref="B1"/>
      <selection pane="bottomLeft" activeCell="A3" sqref="A3"/>
      <selection pane="bottomRight" activeCell="F111" sqref="F111"/>
    </sheetView>
  </sheetViews>
  <sheetFormatPr baseColWidth="10" defaultColWidth="8.83203125" defaultRowHeight="15" x14ac:dyDescent="0.2"/>
  <cols>
    <col min="1" max="1" width="32.83203125" bestFit="1" customWidth="1"/>
    <col min="6" max="6" width="8.83203125" style="36"/>
    <col min="7" max="7" width="8.83203125" style="37"/>
  </cols>
  <sheetData>
    <row r="1" spans="1:8" ht="16" x14ac:dyDescent="0.2">
      <c r="A1" s="30" t="s">
        <v>454</v>
      </c>
    </row>
    <row r="2" spans="1:8" ht="16" x14ac:dyDescent="0.2">
      <c r="A2" s="32" t="s">
        <v>0</v>
      </c>
      <c r="B2" s="33" t="s">
        <v>456</v>
      </c>
      <c r="C2" s="34" t="s">
        <v>457</v>
      </c>
      <c r="D2" s="34" t="s">
        <v>458</v>
      </c>
      <c r="E2" s="34"/>
      <c r="F2" s="38" t="s">
        <v>452</v>
      </c>
      <c r="G2" s="39" t="s">
        <v>260</v>
      </c>
      <c r="H2" s="35" t="s">
        <v>459</v>
      </c>
    </row>
    <row r="3" spans="1:8" x14ac:dyDescent="0.2">
      <c r="A3" t="s">
        <v>38</v>
      </c>
      <c r="B3">
        <v>2</v>
      </c>
      <c r="C3">
        <v>1</v>
      </c>
      <c r="D3">
        <v>0</v>
      </c>
      <c r="F3" s="36">
        <v>2.0499999999999998</v>
      </c>
      <c r="H3" t="s">
        <v>39</v>
      </c>
    </row>
    <row r="4" spans="1:8" x14ac:dyDescent="0.2">
      <c r="A4" t="s">
        <v>38</v>
      </c>
      <c r="B4">
        <v>2</v>
      </c>
      <c r="C4">
        <v>1</v>
      </c>
      <c r="D4">
        <v>0</v>
      </c>
      <c r="F4" s="36">
        <v>2.0499999999999998</v>
      </c>
      <c r="H4" t="s">
        <v>40</v>
      </c>
    </row>
    <row r="5" spans="1:8" x14ac:dyDescent="0.2">
      <c r="A5" t="s">
        <v>38</v>
      </c>
      <c r="B5">
        <v>4</v>
      </c>
      <c r="C5">
        <v>2</v>
      </c>
      <c r="D5">
        <v>1</v>
      </c>
      <c r="F5" s="36">
        <v>4.0999999999999996</v>
      </c>
      <c r="H5" t="s">
        <v>41</v>
      </c>
    </row>
    <row r="6" spans="1:8" x14ac:dyDescent="0.2">
      <c r="A6" t="s">
        <v>38</v>
      </c>
      <c r="F6" s="36">
        <v>4.0999999999999996</v>
      </c>
      <c r="G6" s="37">
        <v>0</v>
      </c>
      <c r="H6" t="s">
        <v>261</v>
      </c>
    </row>
    <row r="8" spans="1:8" x14ac:dyDescent="0.2">
      <c r="A8" t="s">
        <v>42</v>
      </c>
      <c r="B8">
        <v>0</v>
      </c>
      <c r="C8">
        <v>0</v>
      </c>
      <c r="D8">
        <v>0</v>
      </c>
      <c r="F8" s="36">
        <v>0</v>
      </c>
      <c r="H8" t="s">
        <v>43</v>
      </c>
    </row>
    <row r="9" spans="1:8" x14ac:dyDescent="0.2">
      <c r="A9" t="s">
        <v>42</v>
      </c>
      <c r="F9" s="36">
        <v>0</v>
      </c>
      <c r="G9" s="37">
        <v>0</v>
      </c>
      <c r="H9" t="s">
        <v>261</v>
      </c>
    </row>
    <row r="11" spans="1:8" x14ac:dyDescent="0.2">
      <c r="A11" t="s">
        <v>44</v>
      </c>
      <c r="B11">
        <v>0</v>
      </c>
      <c r="C11">
        <v>1</v>
      </c>
      <c r="D11">
        <v>0</v>
      </c>
      <c r="F11" s="36">
        <v>0.05</v>
      </c>
      <c r="H11" t="s">
        <v>45</v>
      </c>
    </row>
    <row r="12" spans="1:8" x14ac:dyDescent="0.2">
      <c r="A12" t="s">
        <v>44</v>
      </c>
      <c r="B12">
        <v>0</v>
      </c>
      <c r="C12">
        <v>0</v>
      </c>
      <c r="D12">
        <v>6</v>
      </c>
      <c r="F12" s="36">
        <v>0.03</v>
      </c>
      <c r="H12" t="s">
        <v>46</v>
      </c>
    </row>
    <row r="13" spans="1:8" x14ac:dyDescent="0.2">
      <c r="A13" t="s">
        <v>44</v>
      </c>
      <c r="B13">
        <v>0</v>
      </c>
      <c r="C13">
        <v>0</v>
      </c>
      <c r="D13">
        <v>6</v>
      </c>
      <c r="F13" s="36">
        <v>0.03</v>
      </c>
      <c r="H13" t="s">
        <v>47</v>
      </c>
    </row>
    <row r="14" spans="1:8" x14ac:dyDescent="0.2">
      <c r="A14" t="s">
        <v>44</v>
      </c>
      <c r="B14">
        <v>0</v>
      </c>
      <c r="C14">
        <v>0</v>
      </c>
      <c r="D14">
        <v>6</v>
      </c>
      <c r="F14" s="36">
        <f>B14+C14/20+D14/240</f>
        <v>2.5000000000000001E-2</v>
      </c>
      <c r="H14" t="s">
        <v>460</v>
      </c>
    </row>
    <row r="15" spans="1:8" x14ac:dyDescent="0.2">
      <c r="A15" t="s">
        <v>44</v>
      </c>
      <c r="B15">
        <v>0</v>
      </c>
      <c r="C15">
        <v>2</v>
      </c>
      <c r="D15">
        <v>6</v>
      </c>
      <c r="F15" s="36">
        <f>B15+C15/20+D15/240</f>
        <v>0.125</v>
      </c>
      <c r="H15" t="s">
        <v>461</v>
      </c>
    </row>
    <row r="16" spans="1:8" x14ac:dyDescent="0.2">
      <c r="A16" t="s">
        <v>44</v>
      </c>
      <c r="F16" s="36">
        <f>SUM(F11:F14)</f>
        <v>0.13500000000000001</v>
      </c>
      <c r="G16" s="37">
        <f>F16-F15</f>
        <v>1.0000000000000009E-2</v>
      </c>
      <c r="H16" t="s">
        <v>261</v>
      </c>
    </row>
    <row r="18" spans="1:8" x14ac:dyDescent="0.2">
      <c r="A18" t="s">
        <v>49</v>
      </c>
      <c r="B18">
        <v>3</v>
      </c>
      <c r="C18">
        <v>19</v>
      </c>
      <c r="D18">
        <v>7</v>
      </c>
      <c r="F18" s="36">
        <v>3.98</v>
      </c>
      <c r="H18" t="s">
        <v>50</v>
      </c>
    </row>
    <row r="19" spans="1:8" x14ac:dyDescent="0.2">
      <c r="A19" t="s">
        <v>49</v>
      </c>
      <c r="F19" s="36">
        <v>3.98</v>
      </c>
      <c r="G19" s="37">
        <f>F19-F18</f>
        <v>0</v>
      </c>
      <c r="H19" t="s">
        <v>261</v>
      </c>
    </row>
    <row r="21" spans="1:8" x14ac:dyDescent="0.2">
      <c r="A21" t="s">
        <v>51</v>
      </c>
      <c r="B21">
        <v>0</v>
      </c>
      <c r="C21">
        <v>9</v>
      </c>
      <c r="D21">
        <v>0.5</v>
      </c>
      <c r="F21" s="36">
        <v>0.45</v>
      </c>
      <c r="H21" t="s">
        <v>52</v>
      </c>
    </row>
    <row r="22" spans="1:8" x14ac:dyDescent="0.2">
      <c r="A22" t="s">
        <v>51</v>
      </c>
      <c r="B22">
        <v>0</v>
      </c>
      <c r="C22">
        <v>9</v>
      </c>
      <c r="D22">
        <v>0.5</v>
      </c>
      <c r="F22" s="36">
        <v>0.45</v>
      </c>
      <c r="H22" t="s">
        <v>53</v>
      </c>
    </row>
    <row r="23" spans="1:8" x14ac:dyDescent="0.2">
      <c r="A23" t="s">
        <v>51</v>
      </c>
      <c r="B23">
        <v>0</v>
      </c>
      <c r="C23">
        <v>18</v>
      </c>
      <c r="D23">
        <v>1</v>
      </c>
      <c r="F23" s="36">
        <v>0.9</v>
      </c>
      <c r="H23" t="s">
        <v>54</v>
      </c>
    </row>
    <row r="24" spans="1:8" x14ac:dyDescent="0.2">
      <c r="A24" t="s">
        <v>51</v>
      </c>
      <c r="F24" s="36">
        <v>0.9</v>
      </c>
      <c r="G24" s="37">
        <v>0</v>
      </c>
      <c r="H24" t="s">
        <v>261</v>
      </c>
    </row>
    <row r="26" spans="1:8" x14ac:dyDescent="0.2">
      <c r="A26" t="s">
        <v>55</v>
      </c>
      <c r="B26">
        <v>0</v>
      </c>
      <c r="C26">
        <v>0</v>
      </c>
      <c r="D26">
        <v>6</v>
      </c>
      <c r="F26" s="36">
        <v>0.03</v>
      </c>
      <c r="H26" t="s">
        <v>56</v>
      </c>
    </row>
    <row r="27" spans="1:8" x14ac:dyDescent="0.2">
      <c r="A27" t="s">
        <v>55</v>
      </c>
      <c r="B27">
        <v>0</v>
      </c>
      <c r="C27">
        <v>0</v>
      </c>
      <c r="D27">
        <v>6</v>
      </c>
      <c r="F27" s="36">
        <v>0.03</v>
      </c>
      <c r="H27" t="s">
        <v>57</v>
      </c>
    </row>
    <row r="28" spans="1:8" x14ac:dyDescent="0.2">
      <c r="A28" t="s">
        <v>55</v>
      </c>
      <c r="F28" s="36">
        <v>0.03</v>
      </c>
      <c r="G28" s="37">
        <v>0</v>
      </c>
      <c r="H28" t="s">
        <v>261</v>
      </c>
    </row>
    <row r="30" spans="1:8" x14ac:dyDescent="0.2">
      <c r="A30" t="s">
        <v>58</v>
      </c>
      <c r="B30">
        <v>0</v>
      </c>
      <c r="C30">
        <v>3</v>
      </c>
      <c r="D30">
        <v>0.5</v>
      </c>
      <c r="F30" s="36">
        <v>0.15</v>
      </c>
      <c r="H30" t="s">
        <v>59</v>
      </c>
    </row>
    <row r="31" spans="1:8" x14ac:dyDescent="0.2">
      <c r="A31" t="s">
        <v>58</v>
      </c>
      <c r="B31">
        <v>0</v>
      </c>
      <c r="C31">
        <v>9</v>
      </c>
      <c r="D31">
        <v>6</v>
      </c>
      <c r="F31" s="36">
        <v>0.48</v>
      </c>
      <c r="H31" t="s">
        <v>60</v>
      </c>
    </row>
    <row r="32" spans="1:8" x14ac:dyDescent="0.2">
      <c r="A32" t="s">
        <v>58</v>
      </c>
      <c r="B32">
        <v>1</v>
      </c>
      <c r="C32">
        <v>0</v>
      </c>
      <c r="D32">
        <v>8</v>
      </c>
      <c r="F32" s="36">
        <v>1.03</v>
      </c>
      <c r="H32" t="s">
        <v>61</v>
      </c>
    </row>
    <row r="33" spans="1:8" x14ac:dyDescent="0.2">
      <c r="A33" t="s">
        <v>58</v>
      </c>
      <c r="B33">
        <v>0</v>
      </c>
      <c r="C33">
        <v>16</v>
      </c>
      <c r="D33">
        <v>0</v>
      </c>
      <c r="F33" s="36">
        <v>0.8</v>
      </c>
      <c r="H33" t="s">
        <v>62</v>
      </c>
    </row>
    <row r="34" spans="1:8" x14ac:dyDescent="0.2">
      <c r="A34" t="s">
        <v>58</v>
      </c>
      <c r="B34">
        <v>0</v>
      </c>
      <c r="C34">
        <v>16</v>
      </c>
      <c r="D34">
        <v>8</v>
      </c>
      <c r="F34" s="36">
        <v>0.83</v>
      </c>
      <c r="H34" t="s">
        <v>63</v>
      </c>
    </row>
    <row r="35" spans="1:8" x14ac:dyDescent="0.2">
      <c r="A35" t="s">
        <v>58</v>
      </c>
      <c r="B35">
        <v>1</v>
      </c>
      <c r="C35">
        <v>0</v>
      </c>
      <c r="D35">
        <v>6</v>
      </c>
      <c r="F35" s="36">
        <v>1.02</v>
      </c>
      <c r="H35" t="s">
        <v>64</v>
      </c>
    </row>
    <row r="36" spans="1:8" x14ac:dyDescent="0.2">
      <c r="A36" t="s">
        <v>58</v>
      </c>
      <c r="B36">
        <v>0</v>
      </c>
      <c r="C36">
        <v>1</v>
      </c>
      <c r="D36">
        <v>7</v>
      </c>
      <c r="F36" s="36">
        <v>0.08</v>
      </c>
      <c r="H36" t="s">
        <v>65</v>
      </c>
    </row>
    <row r="37" spans="1:8" x14ac:dyDescent="0.2">
      <c r="A37" t="s">
        <v>58</v>
      </c>
      <c r="B37">
        <v>0</v>
      </c>
      <c r="C37">
        <v>2</v>
      </c>
      <c r="D37">
        <v>3</v>
      </c>
      <c r="F37" s="36">
        <v>0.11</v>
      </c>
      <c r="H37" t="s">
        <v>66</v>
      </c>
    </row>
    <row r="38" spans="1:8" x14ac:dyDescent="0.2">
      <c r="A38" t="s">
        <v>58</v>
      </c>
      <c r="B38">
        <v>0</v>
      </c>
      <c r="C38">
        <v>0</v>
      </c>
      <c r="D38">
        <v>1</v>
      </c>
      <c r="F38" s="36">
        <v>0</v>
      </c>
      <c r="H38" t="s">
        <v>67</v>
      </c>
    </row>
    <row r="39" spans="1:8" x14ac:dyDescent="0.2">
      <c r="A39" t="s">
        <v>58</v>
      </c>
      <c r="B39">
        <v>0</v>
      </c>
      <c r="C39">
        <v>1</v>
      </c>
      <c r="D39">
        <v>5.5</v>
      </c>
      <c r="F39" s="36">
        <v>7.0000000000000007E-2</v>
      </c>
      <c r="H39" t="s">
        <v>68</v>
      </c>
    </row>
    <row r="40" spans="1:8" x14ac:dyDescent="0.2">
      <c r="A40" t="s">
        <v>58</v>
      </c>
      <c r="B40">
        <v>0</v>
      </c>
      <c r="C40">
        <v>0</v>
      </c>
      <c r="D40">
        <v>9</v>
      </c>
      <c r="F40" s="36">
        <v>0.04</v>
      </c>
      <c r="H40" t="s">
        <v>69</v>
      </c>
    </row>
    <row r="41" spans="1:8" x14ac:dyDescent="0.2">
      <c r="A41" t="s">
        <v>58</v>
      </c>
      <c r="B41">
        <v>0</v>
      </c>
      <c r="C41">
        <v>3</v>
      </c>
      <c r="D41">
        <v>11</v>
      </c>
      <c r="F41" s="36">
        <v>0.2</v>
      </c>
      <c r="H41" t="s">
        <v>70</v>
      </c>
    </row>
    <row r="42" spans="1:8" x14ac:dyDescent="0.2">
      <c r="A42" t="s">
        <v>58</v>
      </c>
      <c r="B42">
        <v>3</v>
      </c>
      <c r="C42">
        <v>3</v>
      </c>
      <c r="D42">
        <v>0</v>
      </c>
      <c r="F42" s="36">
        <v>3.15</v>
      </c>
      <c r="H42" t="s">
        <v>71</v>
      </c>
    </row>
    <row r="43" spans="1:8" x14ac:dyDescent="0.2">
      <c r="A43" t="s">
        <v>58</v>
      </c>
      <c r="B43">
        <v>0</v>
      </c>
      <c r="C43">
        <v>10</v>
      </c>
      <c r="D43">
        <v>0</v>
      </c>
      <c r="F43" s="36">
        <v>0.5</v>
      </c>
      <c r="H43" t="s">
        <v>72</v>
      </c>
    </row>
    <row r="44" spans="1:8" x14ac:dyDescent="0.2">
      <c r="A44" t="s">
        <v>58</v>
      </c>
      <c r="B44">
        <v>0</v>
      </c>
      <c r="C44">
        <v>1</v>
      </c>
      <c r="D44">
        <v>4</v>
      </c>
      <c r="F44" s="36">
        <v>7.0000000000000007E-2</v>
      </c>
      <c r="H44" t="s">
        <v>73</v>
      </c>
    </row>
    <row r="45" spans="1:8" x14ac:dyDescent="0.2">
      <c r="A45" t="s">
        <v>58</v>
      </c>
      <c r="B45">
        <v>0</v>
      </c>
      <c r="C45">
        <v>7</v>
      </c>
      <c r="D45">
        <v>6</v>
      </c>
      <c r="F45" s="36">
        <v>0.38</v>
      </c>
      <c r="H45" t="s">
        <v>74</v>
      </c>
    </row>
    <row r="46" spans="1:8" x14ac:dyDescent="0.2">
      <c r="A46" t="s">
        <v>58</v>
      </c>
      <c r="B46">
        <v>0</v>
      </c>
      <c r="C46">
        <v>2</v>
      </c>
      <c r="D46">
        <v>8</v>
      </c>
      <c r="F46" s="36">
        <v>0.13</v>
      </c>
      <c r="H46" t="s">
        <v>75</v>
      </c>
    </row>
    <row r="47" spans="1:8" x14ac:dyDescent="0.2">
      <c r="A47" t="s">
        <v>58</v>
      </c>
      <c r="B47">
        <v>0</v>
      </c>
      <c r="C47">
        <v>0</v>
      </c>
      <c r="D47">
        <v>6</v>
      </c>
      <c r="F47" s="36">
        <v>0.03</v>
      </c>
      <c r="H47" t="s">
        <v>76</v>
      </c>
    </row>
    <row r="48" spans="1:8" x14ac:dyDescent="0.2">
      <c r="A48" t="s">
        <v>58</v>
      </c>
      <c r="B48">
        <v>0</v>
      </c>
      <c r="C48">
        <v>1</v>
      </c>
      <c r="D48">
        <v>4</v>
      </c>
      <c r="F48" s="36">
        <v>7.0000000000000007E-2</v>
      </c>
      <c r="H48" t="s">
        <v>77</v>
      </c>
    </row>
    <row r="49" spans="1:8" x14ac:dyDescent="0.2">
      <c r="A49" t="s">
        <v>58</v>
      </c>
      <c r="B49">
        <v>1</v>
      </c>
      <c r="C49">
        <v>12</v>
      </c>
      <c r="D49">
        <v>3</v>
      </c>
      <c r="F49" s="36">
        <v>1.61</v>
      </c>
      <c r="H49" t="s">
        <v>78</v>
      </c>
    </row>
    <row r="50" spans="1:8" x14ac:dyDescent="0.2">
      <c r="A50" t="s">
        <v>58</v>
      </c>
      <c r="B50">
        <v>10</v>
      </c>
      <c r="C50">
        <v>17</v>
      </c>
      <c r="D50">
        <v>0</v>
      </c>
      <c r="F50" s="36">
        <v>10.85</v>
      </c>
      <c r="H50" t="s">
        <v>79</v>
      </c>
    </row>
    <row r="51" spans="1:8" x14ac:dyDescent="0.2">
      <c r="A51" t="s">
        <v>58</v>
      </c>
      <c r="F51" s="36">
        <v>10.75</v>
      </c>
      <c r="G51" s="37">
        <v>-9.9999999999999645E-2</v>
      </c>
      <c r="H51" t="s">
        <v>261</v>
      </c>
    </row>
    <row r="53" spans="1:8" x14ac:dyDescent="0.2">
      <c r="A53" t="s">
        <v>80</v>
      </c>
      <c r="B53">
        <v>1</v>
      </c>
      <c r="C53">
        <v>7</v>
      </c>
      <c r="D53">
        <v>7.5</v>
      </c>
      <c r="F53" s="36">
        <v>1.38</v>
      </c>
      <c r="H53" t="s">
        <v>262</v>
      </c>
    </row>
    <row r="54" spans="1:8" x14ac:dyDescent="0.2">
      <c r="A54" t="s">
        <v>80</v>
      </c>
      <c r="B54">
        <v>3</v>
      </c>
      <c r="C54">
        <v>10</v>
      </c>
      <c r="D54">
        <v>11.25</v>
      </c>
      <c r="F54" s="36">
        <v>3.55</v>
      </c>
      <c r="H54" t="s">
        <v>263</v>
      </c>
    </row>
    <row r="55" spans="1:8" x14ac:dyDescent="0.2">
      <c r="A55" t="s">
        <v>80</v>
      </c>
      <c r="B55">
        <v>0</v>
      </c>
      <c r="C55">
        <v>0</v>
      </c>
      <c r="D55">
        <v>3.75</v>
      </c>
      <c r="F55" s="36">
        <v>0.02</v>
      </c>
      <c r="H55" t="s">
        <v>85</v>
      </c>
    </row>
    <row r="56" spans="1:8" x14ac:dyDescent="0.2">
      <c r="A56" t="s">
        <v>80</v>
      </c>
      <c r="B56">
        <v>1</v>
      </c>
      <c r="C56">
        <v>18</v>
      </c>
      <c r="D56">
        <v>9</v>
      </c>
      <c r="F56" s="36">
        <v>1.94</v>
      </c>
      <c r="H56" t="s">
        <v>264</v>
      </c>
    </row>
    <row r="57" spans="1:8" x14ac:dyDescent="0.2">
      <c r="A57" t="s">
        <v>80</v>
      </c>
      <c r="B57">
        <v>6</v>
      </c>
      <c r="C57">
        <v>17</v>
      </c>
      <c r="D57">
        <v>7.5</v>
      </c>
      <c r="F57" s="36">
        <v>6.88</v>
      </c>
      <c r="H57" t="s">
        <v>88</v>
      </c>
    </row>
    <row r="58" spans="1:8" x14ac:dyDescent="0.2">
      <c r="A58" t="s">
        <v>80</v>
      </c>
      <c r="F58" s="36">
        <v>6.8899999999999988</v>
      </c>
      <c r="G58" s="37">
        <v>9.9999999999988987E-3</v>
      </c>
      <c r="H58" t="s">
        <v>261</v>
      </c>
    </row>
    <row r="60" spans="1:8" x14ac:dyDescent="0.2">
      <c r="A60" t="s">
        <v>89</v>
      </c>
      <c r="B60">
        <v>0</v>
      </c>
      <c r="C60">
        <v>3</v>
      </c>
      <c r="D60">
        <v>0.5</v>
      </c>
      <c r="F60" s="36">
        <v>0.15</v>
      </c>
      <c r="H60" t="s">
        <v>90</v>
      </c>
    </row>
    <row r="61" spans="1:8" x14ac:dyDescent="0.2">
      <c r="A61" t="s">
        <v>89</v>
      </c>
      <c r="B61">
        <v>0</v>
      </c>
      <c r="C61">
        <v>3</v>
      </c>
      <c r="D61">
        <v>0.5</v>
      </c>
      <c r="F61" s="36">
        <v>0.15</v>
      </c>
      <c r="H61" t="s">
        <v>91</v>
      </c>
    </row>
    <row r="62" spans="1:8" x14ac:dyDescent="0.2">
      <c r="A62" t="s">
        <v>89</v>
      </c>
      <c r="B62">
        <v>0</v>
      </c>
      <c r="C62">
        <v>13</v>
      </c>
      <c r="D62">
        <v>4</v>
      </c>
      <c r="F62" s="36">
        <v>0.67</v>
      </c>
      <c r="H62" t="s">
        <v>92</v>
      </c>
    </row>
    <row r="63" spans="1:8" x14ac:dyDescent="0.2">
      <c r="A63" t="s">
        <v>89</v>
      </c>
      <c r="B63">
        <v>0</v>
      </c>
      <c r="C63">
        <v>2</v>
      </c>
      <c r="D63">
        <v>0</v>
      </c>
      <c r="F63" s="36">
        <v>0.1</v>
      </c>
      <c r="H63" t="s">
        <v>93</v>
      </c>
    </row>
    <row r="64" spans="1:8" x14ac:dyDescent="0.2">
      <c r="A64" t="s">
        <v>89</v>
      </c>
      <c r="B64">
        <v>0</v>
      </c>
      <c r="C64">
        <v>3</v>
      </c>
      <c r="D64">
        <v>0</v>
      </c>
      <c r="F64" s="36">
        <v>0.15</v>
      </c>
      <c r="H64" t="s">
        <v>94</v>
      </c>
    </row>
    <row r="65" spans="1:8" x14ac:dyDescent="0.2">
      <c r="A65" t="s">
        <v>89</v>
      </c>
      <c r="B65">
        <v>0</v>
      </c>
      <c r="C65">
        <v>2</v>
      </c>
      <c r="D65">
        <v>0</v>
      </c>
      <c r="F65" s="36">
        <v>0.1</v>
      </c>
      <c r="H65" t="s">
        <v>95</v>
      </c>
    </row>
    <row r="66" spans="1:8" x14ac:dyDescent="0.2">
      <c r="A66" t="s">
        <v>89</v>
      </c>
      <c r="B66">
        <v>1</v>
      </c>
      <c r="C66">
        <v>6</v>
      </c>
      <c r="D66">
        <v>5</v>
      </c>
      <c r="F66" s="36">
        <v>1.32</v>
      </c>
      <c r="H66" t="s">
        <v>96</v>
      </c>
    </row>
    <row r="67" spans="1:8" x14ac:dyDescent="0.2">
      <c r="A67" t="s">
        <v>89</v>
      </c>
      <c r="F67" s="36">
        <v>1.32</v>
      </c>
      <c r="G67" s="37">
        <v>0</v>
      </c>
      <c r="H67" t="s">
        <v>261</v>
      </c>
    </row>
    <row r="69" spans="1:8" x14ac:dyDescent="0.2">
      <c r="A69" t="s">
        <v>97</v>
      </c>
      <c r="B69">
        <v>0</v>
      </c>
      <c r="C69">
        <v>1</v>
      </c>
      <c r="D69">
        <v>0</v>
      </c>
      <c r="F69" s="36">
        <v>0.05</v>
      </c>
      <c r="H69" t="s">
        <v>98</v>
      </c>
    </row>
    <row r="70" spans="1:8" x14ac:dyDescent="0.2">
      <c r="A70" t="s">
        <v>97</v>
      </c>
      <c r="B70">
        <v>0</v>
      </c>
      <c r="C70">
        <v>0</v>
      </c>
      <c r="D70">
        <v>3</v>
      </c>
      <c r="F70" s="36">
        <v>0.01</v>
      </c>
      <c r="H70" t="s">
        <v>99</v>
      </c>
    </row>
    <row r="71" spans="1:8" x14ac:dyDescent="0.2">
      <c r="A71" t="s">
        <v>97</v>
      </c>
      <c r="B71">
        <v>0</v>
      </c>
      <c r="C71">
        <v>0</v>
      </c>
      <c r="D71">
        <v>3</v>
      </c>
      <c r="F71" s="36">
        <v>0.01</v>
      </c>
      <c r="H71" t="s">
        <v>100</v>
      </c>
    </row>
    <row r="72" spans="1:8" x14ac:dyDescent="0.2">
      <c r="A72" t="s">
        <v>97</v>
      </c>
      <c r="B72">
        <v>0</v>
      </c>
      <c r="C72">
        <v>0</v>
      </c>
      <c r="D72">
        <v>3</v>
      </c>
      <c r="F72" s="36">
        <v>0.01</v>
      </c>
      <c r="H72" t="s">
        <v>101</v>
      </c>
    </row>
    <row r="73" spans="1:8" x14ac:dyDescent="0.2">
      <c r="A73" t="s">
        <v>97</v>
      </c>
      <c r="B73">
        <v>0</v>
      </c>
      <c r="C73">
        <v>0</v>
      </c>
      <c r="D73">
        <v>3</v>
      </c>
      <c r="F73" s="36">
        <v>0.01</v>
      </c>
      <c r="H73" t="s">
        <v>102</v>
      </c>
    </row>
    <row r="74" spans="1:8" x14ac:dyDescent="0.2">
      <c r="A74" t="s">
        <v>97</v>
      </c>
      <c r="B74">
        <v>0</v>
      </c>
      <c r="C74">
        <v>0</v>
      </c>
      <c r="D74">
        <v>6</v>
      </c>
      <c r="F74" s="36">
        <v>0.03</v>
      </c>
      <c r="H74" t="s">
        <v>103</v>
      </c>
    </row>
    <row r="75" spans="1:8" x14ac:dyDescent="0.2">
      <c r="A75" t="s">
        <v>97</v>
      </c>
      <c r="B75">
        <v>0</v>
      </c>
      <c r="C75">
        <v>0</v>
      </c>
      <c r="D75">
        <v>3</v>
      </c>
      <c r="F75" s="36">
        <v>0.01</v>
      </c>
      <c r="H75" t="s">
        <v>104</v>
      </c>
    </row>
    <row r="76" spans="1:8" x14ac:dyDescent="0.2">
      <c r="A76" t="s">
        <v>97</v>
      </c>
      <c r="B76">
        <v>0</v>
      </c>
      <c r="C76">
        <v>1</v>
      </c>
      <c r="D76">
        <v>0</v>
      </c>
      <c r="F76" s="36">
        <v>0.05</v>
      </c>
      <c r="H76" t="s">
        <v>105</v>
      </c>
    </row>
    <row r="77" spans="1:8" x14ac:dyDescent="0.2">
      <c r="A77" t="s">
        <v>97</v>
      </c>
      <c r="B77">
        <v>0</v>
      </c>
      <c r="C77">
        <v>1</v>
      </c>
      <c r="D77">
        <v>0</v>
      </c>
      <c r="F77" s="36">
        <v>0.05</v>
      </c>
      <c r="H77" t="s">
        <v>106</v>
      </c>
    </row>
    <row r="78" spans="1:8" x14ac:dyDescent="0.2">
      <c r="A78" t="s">
        <v>97</v>
      </c>
      <c r="B78">
        <v>0</v>
      </c>
      <c r="C78">
        <v>0</v>
      </c>
      <c r="D78">
        <v>3</v>
      </c>
      <c r="F78" s="36">
        <v>0.01</v>
      </c>
      <c r="H78" t="s">
        <v>107</v>
      </c>
    </row>
    <row r="79" spans="1:8" x14ac:dyDescent="0.2">
      <c r="A79" t="s">
        <v>97</v>
      </c>
      <c r="B79">
        <v>0</v>
      </c>
      <c r="C79">
        <v>0</v>
      </c>
      <c r="D79">
        <v>9</v>
      </c>
      <c r="F79" s="36">
        <v>0.04</v>
      </c>
      <c r="H79" t="s">
        <v>108</v>
      </c>
    </row>
    <row r="80" spans="1:8" x14ac:dyDescent="0.2">
      <c r="A80" t="s">
        <v>97</v>
      </c>
      <c r="B80">
        <v>0</v>
      </c>
      <c r="C80">
        <v>0</v>
      </c>
      <c r="D80">
        <v>6</v>
      </c>
      <c r="F80" s="36">
        <v>0.03</v>
      </c>
      <c r="H80" t="s">
        <v>109</v>
      </c>
    </row>
    <row r="81" spans="1:8" x14ac:dyDescent="0.2">
      <c r="A81" t="s">
        <v>97</v>
      </c>
      <c r="B81">
        <v>0</v>
      </c>
      <c r="C81">
        <v>0</v>
      </c>
      <c r="D81">
        <v>3</v>
      </c>
      <c r="F81" s="36">
        <v>0.01</v>
      </c>
      <c r="H81" t="s">
        <v>110</v>
      </c>
    </row>
    <row r="82" spans="1:8" x14ac:dyDescent="0.2">
      <c r="A82" t="s">
        <v>97</v>
      </c>
      <c r="B82">
        <v>0</v>
      </c>
      <c r="C82">
        <v>1</v>
      </c>
      <c r="D82">
        <v>0</v>
      </c>
      <c r="F82" s="36">
        <v>0.05</v>
      </c>
      <c r="H82" t="s">
        <v>111</v>
      </c>
    </row>
    <row r="83" spans="1:8" x14ac:dyDescent="0.2">
      <c r="A83" t="s">
        <v>97</v>
      </c>
      <c r="B83">
        <v>0</v>
      </c>
      <c r="C83">
        <v>0</v>
      </c>
      <c r="D83">
        <v>3</v>
      </c>
      <c r="F83" s="36">
        <v>0.01</v>
      </c>
      <c r="H83" t="s">
        <v>112</v>
      </c>
    </row>
    <row r="84" spans="1:8" x14ac:dyDescent="0.2">
      <c r="A84" t="s">
        <v>97</v>
      </c>
      <c r="B84">
        <v>0</v>
      </c>
      <c r="C84">
        <v>6</v>
      </c>
      <c r="D84">
        <v>8</v>
      </c>
      <c r="F84" s="36">
        <v>0.33</v>
      </c>
      <c r="H84" t="s">
        <v>113</v>
      </c>
    </row>
    <row r="85" spans="1:8" x14ac:dyDescent="0.2">
      <c r="A85" t="s">
        <v>97</v>
      </c>
      <c r="B85">
        <v>0</v>
      </c>
      <c r="C85">
        <v>1</v>
      </c>
      <c r="D85">
        <v>0</v>
      </c>
      <c r="F85" s="36">
        <v>0.05</v>
      </c>
      <c r="H85" t="s">
        <v>114</v>
      </c>
    </row>
    <row r="86" spans="1:8" x14ac:dyDescent="0.2">
      <c r="A86" t="s">
        <v>97</v>
      </c>
      <c r="B86">
        <v>0</v>
      </c>
      <c r="C86">
        <v>1</v>
      </c>
      <c r="D86">
        <v>0</v>
      </c>
      <c r="F86" s="36">
        <v>0.05</v>
      </c>
      <c r="H86" t="s">
        <v>115</v>
      </c>
    </row>
    <row r="87" spans="1:8" x14ac:dyDescent="0.2">
      <c r="A87" t="s">
        <v>97</v>
      </c>
      <c r="B87">
        <v>0</v>
      </c>
      <c r="C87">
        <v>0</v>
      </c>
      <c r="D87">
        <v>6</v>
      </c>
      <c r="F87" s="36">
        <v>0.03</v>
      </c>
      <c r="H87" t="s">
        <v>116</v>
      </c>
    </row>
    <row r="88" spans="1:8" x14ac:dyDescent="0.2">
      <c r="A88" t="s">
        <v>97</v>
      </c>
      <c r="B88">
        <v>0</v>
      </c>
      <c r="C88">
        <v>1</v>
      </c>
      <c r="D88">
        <v>0</v>
      </c>
      <c r="F88" s="36">
        <v>0.05</v>
      </c>
      <c r="H88" t="s">
        <v>117</v>
      </c>
    </row>
    <row r="89" spans="1:8" x14ac:dyDescent="0.2">
      <c r="A89" t="s">
        <v>97</v>
      </c>
      <c r="B89">
        <v>0</v>
      </c>
      <c r="C89">
        <v>0</v>
      </c>
      <c r="D89">
        <v>6</v>
      </c>
      <c r="F89" s="36">
        <v>0.03</v>
      </c>
      <c r="H89" t="s">
        <v>118</v>
      </c>
    </row>
    <row r="90" spans="1:8" x14ac:dyDescent="0.2">
      <c r="A90" t="s">
        <v>97</v>
      </c>
      <c r="B90">
        <v>0</v>
      </c>
      <c r="C90">
        <v>0</v>
      </c>
      <c r="D90">
        <v>3</v>
      </c>
      <c r="F90" s="36">
        <v>0.01</v>
      </c>
      <c r="H90" t="s">
        <v>119</v>
      </c>
    </row>
    <row r="91" spans="1:8" x14ac:dyDescent="0.2">
      <c r="A91" t="s">
        <v>97</v>
      </c>
      <c r="B91">
        <v>0</v>
      </c>
      <c r="C91">
        <v>0</v>
      </c>
      <c r="D91">
        <v>6</v>
      </c>
      <c r="F91" s="36">
        <v>0.03</v>
      </c>
      <c r="H91" t="s">
        <v>120</v>
      </c>
    </row>
    <row r="92" spans="1:8" x14ac:dyDescent="0.2">
      <c r="A92" t="s">
        <v>97</v>
      </c>
      <c r="B92">
        <v>0</v>
      </c>
      <c r="C92">
        <v>0</v>
      </c>
      <c r="D92">
        <v>3</v>
      </c>
      <c r="F92" s="36">
        <v>0.01</v>
      </c>
      <c r="H92" t="s">
        <v>107</v>
      </c>
    </row>
    <row r="93" spans="1:8" x14ac:dyDescent="0.2">
      <c r="A93" t="s">
        <v>97</v>
      </c>
      <c r="B93">
        <v>0</v>
      </c>
      <c r="C93">
        <v>0</v>
      </c>
      <c r="D93">
        <v>2</v>
      </c>
      <c r="F93" s="36">
        <v>0.01</v>
      </c>
      <c r="H93" t="s">
        <v>121</v>
      </c>
    </row>
    <row r="94" spans="1:8" x14ac:dyDescent="0.2">
      <c r="A94" t="s">
        <v>97</v>
      </c>
      <c r="B94">
        <v>0</v>
      </c>
      <c r="C94">
        <v>0</v>
      </c>
      <c r="D94">
        <v>2</v>
      </c>
      <c r="F94" s="36">
        <v>0.01</v>
      </c>
      <c r="H94" t="s">
        <v>122</v>
      </c>
    </row>
    <row r="95" spans="1:8" x14ac:dyDescent="0.2">
      <c r="A95" t="s">
        <v>97</v>
      </c>
      <c r="B95">
        <v>0</v>
      </c>
      <c r="C95">
        <v>19</v>
      </c>
      <c r="D95">
        <v>9</v>
      </c>
      <c r="F95" s="36">
        <v>0.99</v>
      </c>
      <c r="H95" t="s">
        <v>123</v>
      </c>
    </row>
    <row r="96" spans="1:8" x14ac:dyDescent="0.2">
      <c r="A96" t="s">
        <v>97</v>
      </c>
      <c r="F96" s="36">
        <v>0.99000000000000021</v>
      </c>
      <c r="G96" s="37">
        <v>2.2204460492503131E-16</v>
      </c>
      <c r="H96" t="s">
        <v>261</v>
      </c>
    </row>
    <row r="98" spans="1:8" x14ac:dyDescent="0.2">
      <c r="A98" t="s">
        <v>126</v>
      </c>
      <c r="B98">
        <v>0</v>
      </c>
      <c r="C98">
        <v>0</v>
      </c>
      <c r="D98">
        <v>0</v>
      </c>
      <c r="F98" s="36">
        <v>0</v>
      </c>
      <c r="H98" t="s">
        <v>127</v>
      </c>
    </row>
    <row r="99" spans="1:8" x14ac:dyDescent="0.2">
      <c r="A99" t="s">
        <v>126</v>
      </c>
      <c r="F99" s="36">
        <v>0</v>
      </c>
      <c r="G99" s="37">
        <v>0</v>
      </c>
      <c r="H99" t="s">
        <v>261</v>
      </c>
    </row>
    <row r="101" spans="1:8" x14ac:dyDescent="0.2">
      <c r="A101" t="s">
        <v>128</v>
      </c>
      <c r="B101">
        <v>24</v>
      </c>
      <c r="C101">
        <v>18</v>
      </c>
      <c r="D101">
        <v>11.5</v>
      </c>
      <c r="F101" s="36">
        <v>24.95</v>
      </c>
      <c r="H101" t="s">
        <v>129</v>
      </c>
    </row>
    <row r="102" spans="1:8" x14ac:dyDescent="0.2">
      <c r="A102" s="40" t="s">
        <v>566</v>
      </c>
      <c r="F102" s="36">
        <v>24.95</v>
      </c>
      <c r="G102" s="37">
        <f>F102-F101</f>
        <v>0</v>
      </c>
      <c r="H102" t="s">
        <v>261</v>
      </c>
    </row>
    <row r="103" spans="1:8" ht="16" x14ac:dyDescent="0.2">
      <c r="A103" s="71" t="s">
        <v>567</v>
      </c>
      <c r="F103" s="36">
        <f>F99+F96+F67+F58+F51+F28+F24+F19</f>
        <v>24.86</v>
      </c>
      <c r="G103" s="37">
        <f>F103-F102</f>
        <v>-8.9999999999999858E-2</v>
      </c>
    </row>
    <row r="104" spans="1:8" ht="16" x14ac:dyDescent="0.2">
      <c r="A104" s="71" t="s">
        <v>568</v>
      </c>
      <c r="F104" s="36">
        <f>F103</f>
        <v>24.86</v>
      </c>
      <c r="H104" t="s">
        <v>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6"/>
  <sheetViews>
    <sheetView topLeftCell="A35" workbookViewId="0">
      <selection activeCell="H11" sqref="H11"/>
    </sheetView>
  </sheetViews>
  <sheetFormatPr baseColWidth="10" defaultColWidth="8.83203125" defaultRowHeight="15" x14ac:dyDescent="0.2"/>
  <cols>
    <col min="1" max="1" width="33.1640625" bestFit="1" customWidth="1"/>
    <col min="6" max="6" width="8.83203125" style="36"/>
    <col min="7" max="7" width="8.83203125" style="78"/>
    <col min="8" max="8" width="38" customWidth="1"/>
    <col min="10" max="10" width="15.1640625" customWidth="1"/>
    <col min="11" max="11" width="20.1640625" customWidth="1"/>
  </cols>
  <sheetData>
    <row r="1" spans="1:11" x14ac:dyDescent="0.2">
      <c r="A1" s="40" t="s">
        <v>455</v>
      </c>
    </row>
    <row r="2" spans="1:11" ht="34" x14ac:dyDescent="0.2">
      <c r="A2" s="73" t="s">
        <v>0</v>
      </c>
      <c r="B2" s="74" t="s">
        <v>456</v>
      </c>
      <c r="C2" s="75" t="s">
        <v>457</v>
      </c>
      <c r="D2" s="75" t="s">
        <v>458</v>
      </c>
      <c r="E2" s="75"/>
      <c r="F2" s="76" t="s">
        <v>452</v>
      </c>
      <c r="G2" s="79" t="s">
        <v>260</v>
      </c>
      <c r="H2" s="73" t="s">
        <v>459</v>
      </c>
      <c r="I2" s="77"/>
      <c r="J2" s="72" t="s">
        <v>570</v>
      </c>
      <c r="K2" s="72" t="s">
        <v>571</v>
      </c>
    </row>
    <row r="3" spans="1:11" x14ac:dyDescent="0.2">
      <c r="A3" t="s">
        <v>130</v>
      </c>
      <c r="B3">
        <v>0</v>
      </c>
      <c r="C3">
        <v>7</v>
      </c>
      <c r="D3">
        <v>5</v>
      </c>
      <c r="E3" s="31"/>
      <c r="F3" s="36">
        <v>0.37</v>
      </c>
      <c r="G3" s="80"/>
      <c r="H3" t="s">
        <v>131</v>
      </c>
      <c r="J3" s="36">
        <f>F3</f>
        <v>0.37</v>
      </c>
      <c r="K3" s="36">
        <f>J3</f>
        <v>0.37</v>
      </c>
    </row>
    <row r="4" spans="1:11" x14ac:dyDescent="0.2">
      <c r="A4" t="s">
        <v>130</v>
      </c>
      <c r="B4">
        <v>0</v>
      </c>
      <c r="C4">
        <v>3</v>
      </c>
      <c r="D4">
        <v>0</v>
      </c>
      <c r="E4" s="31"/>
      <c r="F4" s="36">
        <v>0.15</v>
      </c>
      <c r="G4" s="80"/>
      <c r="H4" t="s">
        <v>132</v>
      </c>
      <c r="J4" s="36">
        <f t="shared" ref="J4:J9" si="0">F4</f>
        <v>0.15</v>
      </c>
      <c r="K4" s="36">
        <f t="shared" ref="K4:K11" si="1">J4</f>
        <v>0.15</v>
      </c>
    </row>
    <row r="5" spans="1:11" x14ac:dyDescent="0.2">
      <c r="A5" t="s">
        <v>130</v>
      </c>
      <c r="B5">
        <v>0</v>
      </c>
      <c r="C5">
        <v>9</v>
      </c>
      <c r="D5">
        <v>8</v>
      </c>
      <c r="E5" s="31"/>
      <c r="F5" s="36">
        <v>0.48</v>
      </c>
      <c r="G5" s="80"/>
      <c r="H5" t="s">
        <v>133</v>
      </c>
      <c r="J5" s="36">
        <f t="shared" si="0"/>
        <v>0.48</v>
      </c>
      <c r="K5" s="36">
        <f t="shared" si="1"/>
        <v>0.48</v>
      </c>
    </row>
    <row r="6" spans="1:11" x14ac:dyDescent="0.2">
      <c r="A6" t="s">
        <v>130</v>
      </c>
      <c r="B6">
        <v>0</v>
      </c>
      <c r="C6">
        <v>1</v>
      </c>
      <c r="D6">
        <v>5</v>
      </c>
      <c r="E6" s="31"/>
      <c r="F6" s="36">
        <v>7.0000000000000007E-2</v>
      </c>
      <c r="G6" s="80"/>
      <c r="H6" t="s">
        <v>134</v>
      </c>
      <c r="J6" s="36">
        <f t="shared" si="0"/>
        <v>7.0000000000000007E-2</v>
      </c>
      <c r="K6" s="36">
        <f t="shared" si="1"/>
        <v>7.0000000000000007E-2</v>
      </c>
    </row>
    <row r="7" spans="1:11" x14ac:dyDescent="0.2">
      <c r="A7" t="s">
        <v>130</v>
      </c>
      <c r="B7">
        <v>0</v>
      </c>
      <c r="C7">
        <v>1</v>
      </c>
      <c r="D7">
        <v>0</v>
      </c>
      <c r="E7" s="31"/>
      <c r="F7" s="36">
        <v>0.05</v>
      </c>
      <c r="G7" s="80"/>
      <c r="H7" t="s">
        <v>135</v>
      </c>
      <c r="J7" s="36">
        <f t="shared" si="0"/>
        <v>0.05</v>
      </c>
      <c r="K7" s="36">
        <f t="shared" si="1"/>
        <v>0.05</v>
      </c>
    </row>
    <row r="8" spans="1:11" x14ac:dyDescent="0.2">
      <c r="A8" t="s">
        <v>130</v>
      </c>
      <c r="B8">
        <v>0</v>
      </c>
      <c r="C8">
        <v>0</v>
      </c>
      <c r="D8">
        <v>6</v>
      </c>
      <c r="E8" s="31"/>
      <c r="F8" s="36">
        <v>0.03</v>
      </c>
      <c r="G8" s="80"/>
      <c r="H8" t="s">
        <v>136</v>
      </c>
      <c r="J8" s="36">
        <f t="shared" si="0"/>
        <v>0.03</v>
      </c>
      <c r="K8" s="36">
        <f t="shared" si="1"/>
        <v>0.03</v>
      </c>
    </row>
    <row r="9" spans="1:11" x14ac:dyDescent="0.2">
      <c r="A9" t="s">
        <v>130</v>
      </c>
      <c r="B9">
        <v>0</v>
      </c>
      <c r="C9">
        <v>0</v>
      </c>
      <c r="D9">
        <v>2.5</v>
      </c>
      <c r="E9" s="31"/>
      <c r="F9" s="36">
        <v>0.01</v>
      </c>
      <c r="G9" s="80"/>
      <c r="H9" t="s">
        <v>137</v>
      </c>
      <c r="J9" s="36">
        <f t="shared" si="0"/>
        <v>0.01</v>
      </c>
      <c r="K9" s="36">
        <f t="shared" si="1"/>
        <v>0.01</v>
      </c>
    </row>
    <row r="10" spans="1:11" x14ac:dyDescent="0.2">
      <c r="A10" t="s">
        <v>130</v>
      </c>
      <c r="B10">
        <v>0</v>
      </c>
      <c r="C10">
        <v>4</v>
      </c>
      <c r="D10">
        <v>6</v>
      </c>
      <c r="E10" s="31"/>
      <c r="F10" s="36">
        <v>0.23</v>
      </c>
      <c r="G10" s="80"/>
      <c r="H10" t="s">
        <v>138</v>
      </c>
      <c r="K10" s="36"/>
    </row>
    <row r="11" spans="1:11" x14ac:dyDescent="0.2">
      <c r="A11" t="s">
        <v>130</v>
      </c>
      <c r="B11">
        <v>0</v>
      </c>
      <c r="C11">
        <v>0</v>
      </c>
      <c r="D11">
        <v>9</v>
      </c>
      <c r="F11" s="36">
        <f>B11+C11/20+D11/240</f>
        <v>3.7499999999999999E-2</v>
      </c>
      <c r="G11" s="80"/>
      <c r="H11" t="s">
        <v>462</v>
      </c>
      <c r="J11" s="36">
        <f>F11</f>
        <v>3.7499999999999999E-2</v>
      </c>
      <c r="K11" s="36">
        <f t="shared" si="1"/>
        <v>3.7499999999999999E-2</v>
      </c>
    </row>
    <row r="12" spans="1:11" x14ac:dyDescent="0.2">
      <c r="A12" t="s">
        <v>130</v>
      </c>
      <c r="B12">
        <v>1</v>
      </c>
      <c r="C12">
        <v>8</v>
      </c>
      <c r="D12">
        <v>5.5</v>
      </c>
      <c r="E12" s="31"/>
      <c r="F12" s="36">
        <f>B12+C12/20+D12/240</f>
        <v>1.4229166666666666</v>
      </c>
      <c r="G12" s="80"/>
      <c r="H12" t="s">
        <v>463</v>
      </c>
    </row>
    <row r="13" spans="1:11" x14ac:dyDescent="0.2">
      <c r="A13" t="s">
        <v>130</v>
      </c>
      <c r="E13" s="31"/>
      <c r="F13" s="36">
        <f>SUM(F3:F11)</f>
        <v>1.4275000000000002</v>
      </c>
      <c r="G13" s="80">
        <f>F13-F12</f>
        <v>4.5833333333336057E-3</v>
      </c>
      <c r="H13" t="s">
        <v>261</v>
      </c>
    </row>
    <row r="14" spans="1:11" x14ac:dyDescent="0.2">
      <c r="A14" s="31"/>
      <c r="B14" s="31"/>
      <c r="C14" s="31"/>
      <c r="D14" s="31"/>
      <c r="E14" s="31"/>
      <c r="F14" s="41"/>
      <c r="G14" s="80"/>
      <c r="H14" s="31"/>
    </row>
    <row r="15" spans="1:11" x14ac:dyDescent="0.2">
      <c r="A15" t="s">
        <v>144</v>
      </c>
      <c r="B15">
        <v>0</v>
      </c>
      <c r="C15">
        <v>2</v>
      </c>
      <c r="D15">
        <v>2</v>
      </c>
      <c r="F15" s="36">
        <v>0.11</v>
      </c>
      <c r="H15" t="s">
        <v>145</v>
      </c>
      <c r="J15" s="36">
        <f>F15</f>
        <v>0.11</v>
      </c>
      <c r="K15" s="36">
        <f>J15</f>
        <v>0.11</v>
      </c>
    </row>
    <row r="16" spans="1:11" x14ac:dyDescent="0.2">
      <c r="A16" t="s">
        <v>144</v>
      </c>
      <c r="B16">
        <v>0</v>
      </c>
      <c r="C16">
        <v>0</v>
      </c>
      <c r="D16">
        <v>10.5</v>
      </c>
      <c r="F16" s="36">
        <v>0.04</v>
      </c>
      <c r="H16" t="s">
        <v>146</v>
      </c>
      <c r="J16" s="36">
        <f t="shared" ref="J16:J20" si="2">F16</f>
        <v>0.04</v>
      </c>
      <c r="K16" s="36">
        <f t="shared" ref="K16:K20" si="3">J16</f>
        <v>0.04</v>
      </c>
    </row>
    <row r="17" spans="1:11" x14ac:dyDescent="0.2">
      <c r="A17" t="s">
        <v>144</v>
      </c>
      <c r="B17">
        <v>0</v>
      </c>
      <c r="C17">
        <v>0</v>
      </c>
      <c r="D17">
        <v>5</v>
      </c>
      <c r="F17" s="36">
        <v>0.02</v>
      </c>
      <c r="H17" t="s">
        <v>148</v>
      </c>
      <c r="J17" s="36">
        <f t="shared" si="2"/>
        <v>0.02</v>
      </c>
      <c r="K17" s="36">
        <f t="shared" si="3"/>
        <v>0.02</v>
      </c>
    </row>
    <row r="18" spans="1:11" x14ac:dyDescent="0.2">
      <c r="A18" t="s">
        <v>144</v>
      </c>
      <c r="B18">
        <v>0</v>
      </c>
      <c r="C18">
        <v>0</v>
      </c>
      <c r="D18">
        <v>3</v>
      </c>
      <c r="F18" s="36">
        <v>0.01</v>
      </c>
      <c r="H18" t="s">
        <v>149</v>
      </c>
      <c r="J18" s="36">
        <f t="shared" si="2"/>
        <v>0.01</v>
      </c>
      <c r="K18" s="36">
        <f t="shared" si="3"/>
        <v>0.01</v>
      </c>
    </row>
    <row r="19" spans="1:11" x14ac:dyDescent="0.2">
      <c r="A19" t="s">
        <v>144</v>
      </c>
      <c r="B19">
        <v>0</v>
      </c>
      <c r="C19">
        <v>0</v>
      </c>
      <c r="D19">
        <v>4.5</v>
      </c>
      <c r="F19" s="36">
        <v>0.02</v>
      </c>
      <c r="H19" t="s">
        <v>150</v>
      </c>
      <c r="J19" s="36">
        <f t="shared" si="2"/>
        <v>0.02</v>
      </c>
      <c r="K19" s="36">
        <f t="shared" si="3"/>
        <v>0.02</v>
      </c>
    </row>
    <row r="20" spans="1:11" x14ac:dyDescent="0.2">
      <c r="A20" t="s">
        <v>144</v>
      </c>
      <c r="B20">
        <v>0</v>
      </c>
      <c r="C20">
        <v>0</v>
      </c>
      <c r="D20">
        <v>6</v>
      </c>
      <c r="F20" s="36">
        <f>B20+C20/20+D20/240</f>
        <v>2.5000000000000001E-2</v>
      </c>
      <c r="H20" t="s">
        <v>464</v>
      </c>
      <c r="J20" s="36">
        <f t="shared" si="2"/>
        <v>2.5000000000000001E-2</v>
      </c>
      <c r="K20" s="36">
        <f t="shared" si="3"/>
        <v>2.5000000000000001E-2</v>
      </c>
    </row>
    <row r="21" spans="1:11" x14ac:dyDescent="0.2">
      <c r="A21" t="s">
        <v>144</v>
      </c>
      <c r="B21">
        <v>0</v>
      </c>
      <c r="C21">
        <v>4</v>
      </c>
      <c r="D21">
        <v>7</v>
      </c>
      <c r="F21" s="36">
        <f>B21+C21/20+D21/240</f>
        <v>0.22916666666666669</v>
      </c>
      <c r="H21" t="s">
        <v>465</v>
      </c>
    </row>
    <row r="22" spans="1:11" x14ac:dyDescent="0.2">
      <c r="A22" t="s">
        <v>144</v>
      </c>
      <c r="F22" s="36">
        <f>SUM(F15:F20)</f>
        <v>0.22499999999999998</v>
      </c>
      <c r="G22" s="78">
        <f>F22-F21</f>
        <v>-4.1666666666667074E-3</v>
      </c>
      <c r="H22" t="s">
        <v>261</v>
      </c>
    </row>
    <row r="24" spans="1:11" x14ac:dyDescent="0.2">
      <c r="A24" t="s">
        <v>152</v>
      </c>
      <c r="B24">
        <v>0</v>
      </c>
      <c r="C24">
        <v>1</v>
      </c>
      <c r="D24">
        <v>4</v>
      </c>
      <c r="F24" s="36">
        <v>7.0000000000000007E-2</v>
      </c>
      <c r="H24" t="s">
        <v>153</v>
      </c>
      <c r="J24" s="36">
        <f>F24</f>
        <v>7.0000000000000007E-2</v>
      </c>
      <c r="K24" s="36">
        <f>J24</f>
        <v>7.0000000000000007E-2</v>
      </c>
    </row>
    <row r="25" spans="1:11" x14ac:dyDescent="0.2">
      <c r="A25" t="s">
        <v>152</v>
      </c>
      <c r="B25">
        <v>0</v>
      </c>
      <c r="C25">
        <v>0</v>
      </c>
      <c r="D25">
        <v>7</v>
      </c>
      <c r="F25" s="36">
        <v>0.03</v>
      </c>
      <c r="H25" t="s">
        <v>154</v>
      </c>
      <c r="J25" s="36">
        <f t="shared" ref="J25:J28" si="4">F25</f>
        <v>0.03</v>
      </c>
      <c r="K25" s="36">
        <f t="shared" ref="K25:K28" si="5">J25</f>
        <v>0.03</v>
      </c>
    </row>
    <row r="26" spans="1:11" x14ac:dyDescent="0.2">
      <c r="A26" t="s">
        <v>152</v>
      </c>
      <c r="B26">
        <v>0</v>
      </c>
      <c r="C26">
        <v>0</v>
      </c>
      <c r="D26">
        <v>9.5</v>
      </c>
      <c r="F26" s="36">
        <v>0.04</v>
      </c>
      <c r="H26" t="s">
        <v>155</v>
      </c>
      <c r="J26" s="36">
        <f t="shared" si="4"/>
        <v>0.04</v>
      </c>
      <c r="K26" s="36">
        <f t="shared" si="5"/>
        <v>0.04</v>
      </c>
    </row>
    <row r="27" spans="1:11" x14ac:dyDescent="0.2">
      <c r="A27" t="s">
        <v>152</v>
      </c>
      <c r="B27">
        <v>0</v>
      </c>
      <c r="C27">
        <v>0</v>
      </c>
      <c r="D27">
        <v>2</v>
      </c>
      <c r="F27" s="36">
        <v>0.01</v>
      </c>
      <c r="H27" t="s">
        <v>156</v>
      </c>
      <c r="J27" s="36">
        <f t="shared" si="4"/>
        <v>0.01</v>
      </c>
      <c r="K27" s="36">
        <f t="shared" si="5"/>
        <v>0.01</v>
      </c>
    </row>
    <row r="28" spans="1:11" x14ac:dyDescent="0.2">
      <c r="A28" t="s">
        <v>152</v>
      </c>
      <c r="D28">
        <v>1</v>
      </c>
      <c r="F28" s="36">
        <f>B28+C28/20+D28/240</f>
        <v>4.1666666666666666E-3</v>
      </c>
      <c r="H28" t="s">
        <v>466</v>
      </c>
      <c r="J28" s="36">
        <f t="shared" si="4"/>
        <v>4.1666666666666666E-3</v>
      </c>
      <c r="K28" s="36">
        <f t="shared" si="5"/>
        <v>4.1666666666666666E-3</v>
      </c>
    </row>
    <row r="29" spans="1:11" x14ac:dyDescent="0.2">
      <c r="A29" t="s">
        <v>152</v>
      </c>
      <c r="B29">
        <v>0</v>
      </c>
      <c r="C29">
        <v>2</v>
      </c>
      <c r="D29">
        <v>11.5</v>
      </c>
      <c r="F29" s="36">
        <f>B29+C29/20+D29/240</f>
        <v>0.14791666666666667</v>
      </c>
      <c r="H29" t="s">
        <v>467</v>
      </c>
    </row>
    <row r="30" spans="1:11" x14ac:dyDescent="0.2">
      <c r="A30" t="s">
        <v>152</v>
      </c>
      <c r="F30" s="36">
        <f>SUM(F24:F28)</f>
        <v>0.1541666666666667</v>
      </c>
      <c r="G30" s="78">
        <f>F30-F29</f>
        <v>6.2500000000000333E-3</v>
      </c>
      <c r="H30" t="s">
        <v>261</v>
      </c>
    </row>
    <row r="32" spans="1:11" x14ac:dyDescent="0.2">
      <c r="A32" t="s">
        <v>158</v>
      </c>
      <c r="B32">
        <v>0</v>
      </c>
      <c r="C32">
        <v>0</v>
      </c>
      <c r="D32">
        <v>4</v>
      </c>
      <c r="F32" s="36">
        <v>0.02</v>
      </c>
      <c r="H32" t="s">
        <v>159</v>
      </c>
      <c r="J32" s="36">
        <f>F32</f>
        <v>0.02</v>
      </c>
      <c r="K32" s="36">
        <f>J32</f>
        <v>0.02</v>
      </c>
    </row>
    <row r="33" spans="1:11" x14ac:dyDescent="0.2">
      <c r="A33" t="s">
        <v>158</v>
      </c>
      <c r="B33">
        <v>0</v>
      </c>
      <c r="C33">
        <v>1</v>
      </c>
      <c r="D33">
        <v>8</v>
      </c>
      <c r="F33" s="36">
        <v>0.08</v>
      </c>
      <c r="H33" t="s">
        <v>160</v>
      </c>
      <c r="J33" s="36">
        <f t="shared" ref="J33:J40" si="6">F33</f>
        <v>0.08</v>
      </c>
      <c r="K33" s="36">
        <f t="shared" ref="K33:K40" si="7">J33</f>
        <v>0.08</v>
      </c>
    </row>
    <row r="34" spans="1:11" x14ac:dyDescent="0.2">
      <c r="A34" t="s">
        <v>158</v>
      </c>
      <c r="B34">
        <v>0</v>
      </c>
      <c r="C34">
        <v>0</v>
      </c>
      <c r="D34">
        <v>4</v>
      </c>
      <c r="F34" s="36">
        <v>0.02</v>
      </c>
      <c r="H34" t="s">
        <v>161</v>
      </c>
      <c r="J34" s="36">
        <f t="shared" si="6"/>
        <v>0.02</v>
      </c>
      <c r="K34" s="36">
        <f t="shared" si="7"/>
        <v>0.02</v>
      </c>
    </row>
    <row r="35" spans="1:11" x14ac:dyDescent="0.2">
      <c r="A35" t="s">
        <v>158</v>
      </c>
      <c r="B35">
        <v>0</v>
      </c>
      <c r="C35">
        <v>1</v>
      </c>
      <c r="D35">
        <v>4</v>
      </c>
      <c r="F35" s="36">
        <v>7.0000000000000007E-2</v>
      </c>
      <c r="H35" t="s">
        <v>162</v>
      </c>
      <c r="J35" s="36">
        <f t="shared" si="6"/>
        <v>7.0000000000000007E-2</v>
      </c>
      <c r="K35" s="36">
        <f t="shared" si="7"/>
        <v>7.0000000000000007E-2</v>
      </c>
    </row>
    <row r="36" spans="1:11" x14ac:dyDescent="0.2">
      <c r="A36" t="s">
        <v>158</v>
      </c>
      <c r="B36">
        <v>0</v>
      </c>
      <c r="C36">
        <v>0</v>
      </c>
      <c r="D36">
        <v>4</v>
      </c>
      <c r="F36" s="36">
        <v>0.02</v>
      </c>
      <c r="H36" t="s">
        <v>163</v>
      </c>
      <c r="J36" s="36">
        <f t="shared" si="6"/>
        <v>0.02</v>
      </c>
      <c r="K36" s="36">
        <f t="shared" si="7"/>
        <v>0.02</v>
      </c>
    </row>
    <row r="37" spans="1:11" x14ac:dyDescent="0.2">
      <c r="A37" t="s">
        <v>158</v>
      </c>
      <c r="B37">
        <v>0</v>
      </c>
      <c r="C37">
        <v>6</v>
      </c>
      <c r="D37">
        <v>0.5</v>
      </c>
      <c r="F37" s="36">
        <v>0.3</v>
      </c>
      <c r="H37" t="s">
        <v>164</v>
      </c>
      <c r="J37" s="36">
        <f t="shared" si="6"/>
        <v>0.3</v>
      </c>
      <c r="K37" s="36">
        <f t="shared" si="7"/>
        <v>0.3</v>
      </c>
    </row>
    <row r="38" spans="1:11" x14ac:dyDescent="0.2">
      <c r="A38" t="s">
        <v>158</v>
      </c>
      <c r="B38">
        <v>0</v>
      </c>
      <c r="C38">
        <v>4</v>
      </c>
      <c r="D38">
        <v>4</v>
      </c>
      <c r="F38" s="36">
        <v>0.22</v>
      </c>
      <c r="H38" t="s">
        <v>165</v>
      </c>
      <c r="J38" s="36"/>
      <c r="K38" s="36"/>
    </row>
    <row r="39" spans="1:11" x14ac:dyDescent="0.2">
      <c r="A39" t="s">
        <v>158</v>
      </c>
      <c r="B39">
        <v>1</v>
      </c>
      <c r="C39">
        <v>0</v>
      </c>
      <c r="D39">
        <v>2.5</v>
      </c>
      <c r="F39" s="36">
        <v>1.01</v>
      </c>
      <c r="H39" t="s">
        <v>166</v>
      </c>
      <c r="J39" s="36"/>
      <c r="K39" s="36"/>
    </row>
    <row r="40" spans="1:11" x14ac:dyDescent="0.2">
      <c r="A40" t="s">
        <v>158</v>
      </c>
      <c r="B40">
        <v>0</v>
      </c>
      <c r="C40">
        <v>9</v>
      </c>
      <c r="D40">
        <v>0</v>
      </c>
      <c r="F40" s="36">
        <v>0.45</v>
      </c>
      <c r="H40" t="s">
        <v>167</v>
      </c>
      <c r="J40" s="36">
        <f t="shared" si="6"/>
        <v>0.45</v>
      </c>
      <c r="K40" s="36">
        <f t="shared" si="7"/>
        <v>0.45</v>
      </c>
    </row>
    <row r="41" spans="1:11" x14ac:dyDescent="0.2">
      <c r="A41" t="s">
        <v>158</v>
      </c>
      <c r="B41">
        <v>0</v>
      </c>
      <c r="C41">
        <v>3</v>
      </c>
      <c r="D41">
        <v>0</v>
      </c>
      <c r="F41">
        <f>B41+C41/20+D41/240</f>
        <v>0.15</v>
      </c>
      <c r="H41" t="s">
        <v>468</v>
      </c>
    </row>
    <row r="42" spans="1:11" x14ac:dyDescent="0.2">
      <c r="A42" t="s">
        <v>158</v>
      </c>
      <c r="B42">
        <v>2</v>
      </c>
      <c r="C42">
        <v>6</v>
      </c>
      <c r="D42">
        <v>7</v>
      </c>
      <c r="F42" s="36">
        <v>2.33</v>
      </c>
      <c r="H42" t="s">
        <v>469</v>
      </c>
    </row>
    <row r="43" spans="1:11" x14ac:dyDescent="0.2">
      <c r="A43" t="s">
        <v>158</v>
      </c>
      <c r="F43" s="36">
        <f>SUM(F32:F41)</f>
        <v>2.34</v>
      </c>
      <c r="G43" s="78">
        <f>F43-F42</f>
        <v>9.9999999999997868E-3</v>
      </c>
      <c r="H43" t="s">
        <v>261</v>
      </c>
    </row>
    <row r="45" spans="1:11" x14ac:dyDescent="0.2">
      <c r="A45" t="s">
        <v>169</v>
      </c>
      <c r="B45">
        <v>0</v>
      </c>
      <c r="C45">
        <v>5</v>
      </c>
      <c r="D45">
        <v>5.5</v>
      </c>
      <c r="F45" s="36">
        <v>0.27</v>
      </c>
      <c r="H45" t="s">
        <v>267</v>
      </c>
    </row>
    <row r="46" spans="1:11" x14ac:dyDescent="0.2">
      <c r="A46" t="s">
        <v>169</v>
      </c>
      <c r="F46" s="36">
        <v>0.27</v>
      </c>
      <c r="G46" s="78">
        <v>0</v>
      </c>
      <c r="H46" t="s">
        <v>261</v>
      </c>
    </row>
    <row r="48" spans="1:11" x14ac:dyDescent="0.2">
      <c r="A48" t="s">
        <v>175</v>
      </c>
      <c r="B48">
        <v>0</v>
      </c>
      <c r="C48">
        <v>6</v>
      </c>
      <c r="D48">
        <v>4.5</v>
      </c>
      <c r="F48" s="36">
        <v>0.32</v>
      </c>
      <c r="H48" t="s">
        <v>176</v>
      </c>
    </row>
    <row r="49" spans="1:8" x14ac:dyDescent="0.2">
      <c r="A49" t="s">
        <v>175</v>
      </c>
      <c r="B49">
        <v>0</v>
      </c>
      <c r="C49">
        <v>3</v>
      </c>
      <c r="D49">
        <v>10.5</v>
      </c>
      <c r="F49" s="36">
        <v>0.19</v>
      </c>
      <c r="H49" t="s">
        <v>470</v>
      </c>
    </row>
    <row r="50" spans="1:8" x14ac:dyDescent="0.2">
      <c r="A50" t="s">
        <v>175</v>
      </c>
      <c r="C50">
        <v>10</v>
      </c>
      <c r="D50">
        <v>3</v>
      </c>
      <c r="F50" s="36">
        <f>B50+C50/20+D50/240</f>
        <v>0.51249999999999996</v>
      </c>
      <c r="H50" t="s">
        <v>471</v>
      </c>
    </row>
    <row r="51" spans="1:8" x14ac:dyDescent="0.2">
      <c r="A51" t="s">
        <v>175</v>
      </c>
      <c r="F51" s="36">
        <v>0.51</v>
      </c>
      <c r="G51" s="78">
        <f>F51-F50</f>
        <v>-2.4999999999999467E-3</v>
      </c>
      <c r="H51" t="s">
        <v>261</v>
      </c>
    </row>
    <row r="53" spans="1:8" x14ac:dyDescent="0.2">
      <c r="A53" t="s">
        <v>140</v>
      </c>
      <c r="B53">
        <v>0</v>
      </c>
      <c r="C53">
        <v>4</v>
      </c>
      <c r="D53">
        <v>4</v>
      </c>
      <c r="F53" s="36">
        <v>0.22</v>
      </c>
      <c r="H53" t="s">
        <v>265</v>
      </c>
    </row>
    <row r="54" spans="1:8" x14ac:dyDescent="0.2">
      <c r="A54" t="s">
        <v>140</v>
      </c>
      <c r="B54">
        <v>2</v>
      </c>
      <c r="C54">
        <v>13</v>
      </c>
      <c r="D54">
        <v>0</v>
      </c>
      <c r="F54" s="36">
        <v>2.65</v>
      </c>
      <c r="H54" t="s">
        <v>266</v>
      </c>
    </row>
    <row r="55" spans="1:8" x14ac:dyDescent="0.2">
      <c r="A55" t="s">
        <v>140</v>
      </c>
      <c r="B55">
        <v>2</v>
      </c>
      <c r="C55">
        <v>17</v>
      </c>
      <c r="D55">
        <v>4</v>
      </c>
      <c r="F55" s="36">
        <v>2.87</v>
      </c>
      <c r="H55" t="s">
        <v>143</v>
      </c>
    </row>
    <row r="56" spans="1:8" x14ac:dyDescent="0.2">
      <c r="F56" s="36">
        <f>SUM(F53:F54)</f>
        <v>2.87</v>
      </c>
      <c r="G56" s="78">
        <f>F56-F55</f>
        <v>0</v>
      </c>
      <c r="H56" t="s">
        <v>261</v>
      </c>
    </row>
    <row r="58" spans="1:8" x14ac:dyDescent="0.2">
      <c r="A58" t="s">
        <v>178</v>
      </c>
      <c r="B58">
        <v>7</v>
      </c>
      <c r="C58">
        <v>17</v>
      </c>
      <c r="D58">
        <v>1.5</v>
      </c>
      <c r="F58" s="36">
        <v>7.86</v>
      </c>
      <c r="H58" t="s">
        <v>179</v>
      </c>
    </row>
    <row r="59" spans="1:8" x14ac:dyDescent="0.2">
      <c r="A59" t="s">
        <v>178</v>
      </c>
      <c r="F59" s="36">
        <v>7.86</v>
      </c>
      <c r="G59" s="78">
        <f>F59-F58</f>
        <v>0</v>
      </c>
      <c r="H59" t="s">
        <v>261</v>
      </c>
    </row>
    <row r="61" spans="1:8" x14ac:dyDescent="0.2">
      <c r="A61" t="s">
        <v>180</v>
      </c>
      <c r="B61">
        <v>17</v>
      </c>
      <c r="C61">
        <v>1</v>
      </c>
      <c r="D61">
        <v>10</v>
      </c>
      <c r="F61" s="36">
        <v>17.09</v>
      </c>
      <c r="H61" t="s">
        <v>181</v>
      </c>
    </row>
    <row r="63" spans="1:8" ht="16" x14ac:dyDescent="0.2">
      <c r="A63" s="10" t="s">
        <v>362</v>
      </c>
      <c r="F63" s="36">
        <f>F59</f>
        <v>7.86</v>
      </c>
    </row>
    <row r="64" spans="1:8" ht="16" x14ac:dyDescent="0.2">
      <c r="A64" s="10" t="s">
        <v>363</v>
      </c>
      <c r="F64" s="36">
        <f>F55+F51+F46+F43+F30+F22+F13</f>
        <v>7.7966666666666669</v>
      </c>
      <c r="G64" s="78">
        <f>F64-F63</f>
        <v>-6.3333333333333464E-2</v>
      </c>
    </row>
    <row r="65" spans="1:6" ht="16" x14ac:dyDescent="0.2">
      <c r="A65" s="10" t="s">
        <v>364</v>
      </c>
      <c r="F65" s="36">
        <f>SUM(J3:J41)</f>
        <v>2.5366666666666675</v>
      </c>
    </row>
    <row r="66" spans="1:6" ht="16" x14ac:dyDescent="0.2">
      <c r="A66" s="10" t="s">
        <v>365</v>
      </c>
      <c r="F66" s="36">
        <f>SUM(K3:K41)</f>
        <v>2.5366666666666675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A2" sqref="A2:A5"/>
    </sheetView>
  </sheetViews>
  <sheetFormatPr baseColWidth="10" defaultColWidth="8.83203125" defaultRowHeight="15" x14ac:dyDescent="0.2"/>
  <cols>
    <col min="1" max="1" width="30" bestFit="1" customWidth="1"/>
    <col min="2" max="9" width="19.6640625" customWidth="1"/>
    <col min="10" max="12" width="23.1640625" customWidth="1"/>
    <col min="13" max="13" width="13" customWidth="1"/>
    <col min="14" max="14" width="8.1640625" bestFit="1" customWidth="1"/>
    <col min="15" max="15" width="14.5" customWidth="1"/>
    <col min="16" max="16" width="23.1640625" customWidth="1"/>
  </cols>
  <sheetData>
    <row r="1" spans="1:16" s="40" customFormat="1" ht="32" x14ac:dyDescent="0.2">
      <c r="A1" s="31" t="s">
        <v>306</v>
      </c>
      <c r="B1" s="31" t="s">
        <v>544</v>
      </c>
      <c r="C1" s="31" t="s">
        <v>301</v>
      </c>
      <c r="D1" s="31" t="s">
        <v>289</v>
      </c>
      <c r="E1" s="57" t="s">
        <v>545</v>
      </c>
      <c r="F1" s="31" t="s">
        <v>298</v>
      </c>
      <c r="G1" s="57" t="s">
        <v>307</v>
      </c>
      <c r="H1" s="57" t="s">
        <v>308</v>
      </c>
      <c r="I1" s="58" t="s">
        <v>310</v>
      </c>
    </row>
    <row r="2" spans="1:16" x14ac:dyDescent="0.2">
      <c r="A2" t="s">
        <v>82</v>
      </c>
      <c r="B2">
        <v>9.75</v>
      </c>
      <c r="C2">
        <v>8.75</v>
      </c>
      <c r="D2">
        <v>1</v>
      </c>
      <c r="F2">
        <v>6.375</v>
      </c>
      <c r="G2">
        <f>B2-F2</f>
        <v>3.375</v>
      </c>
      <c r="H2" s="36">
        <v>0.21666666666666659</v>
      </c>
      <c r="I2" s="36">
        <f>H2*C2</f>
        <v>1.8958333333333326</v>
      </c>
    </row>
    <row r="3" spans="1:16" x14ac:dyDescent="0.2">
      <c r="A3" t="s">
        <v>84</v>
      </c>
      <c r="B3">
        <v>58.875</v>
      </c>
      <c r="C3">
        <v>39.5</v>
      </c>
      <c r="D3">
        <v>19</v>
      </c>
      <c r="F3">
        <v>28.375</v>
      </c>
      <c r="G3">
        <f t="shared" ref="G3:G5" si="0">B3-F3</f>
        <v>30.5</v>
      </c>
      <c r="H3" s="36">
        <v>0.125</v>
      </c>
      <c r="I3" s="36">
        <f t="shared" ref="I3:I5" si="1">H3*C3</f>
        <v>4.9375</v>
      </c>
    </row>
    <row r="4" spans="1:16" x14ac:dyDescent="0.2">
      <c r="A4" t="s">
        <v>87</v>
      </c>
      <c r="B4">
        <v>19</v>
      </c>
      <c r="C4">
        <v>19</v>
      </c>
      <c r="D4">
        <v>0</v>
      </c>
      <c r="F4">
        <v>0.125</v>
      </c>
      <c r="G4">
        <f t="shared" si="0"/>
        <v>18.875</v>
      </c>
      <c r="H4" s="36">
        <v>0.125</v>
      </c>
      <c r="I4" s="36">
        <f t="shared" si="1"/>
        <v>2.375</v>
      </c>
    </row>
    <row r="5" spans="1:16" x14ac:dyDescent="0.2">
      <c r="A5" t="s">
        <v>205</v>
      </c>
      <c r="B5">
        <v>20</v>
      </c>
      <c r="C5">
        <v>20</v>
      </c>
      <c r="D5">
        <v>0</v>
      </c>
      <c r="F5">
        <v>11.625</v>
      </c>
      <c r="G5">
        <f t="shared" si="0"/>
        <v>8.375</v>
      </c>
      <c r="H5" s="36">
        <v>0.16666666666666671</v>
      </c>
      <c r="I5" s="36">
        <f t="shared" si="1"/>
        <v>3.3333333333333344</v>
      </c>
    </row>
    <row r="9" spans="1:16" x14ac:dyDescent="0.2">
      <c r="A9" s="63" t="s">
        <v>562</v>
      </c>
    </row>
    <row r="10" spans="1:16" x14ac:dyDescent="0.2">
      <c r="A10" s="63" t="s">
        <v>563</v>
      </c>
    </row>
    <row r="13" spans="1:16" ht="32" x14ac:dyDescent="0.2">
      <c r="A13" s="40" t="s">
        <v>546</v>
      </c>
      <c r="B13" s="59" t="s">
        <v>547</v>
      </c>
      <c r="C13" s="60" t="s">
        <v>548</v>
      </c>
      <c r="D13" s="60" t="s">
        <v>549</v>
      </c>
      <c r="E13" s="60" t="s">
        <v>550</v>
      </c>
      <c r="F13" s="40" t="s">
        <v>551</v>
      </c>
      <c r="G13" s="60" t="s">
        <v>552</v>
      </c>
      <c r="H13" s="60" t="s">
        <v>553</v>
      </c>
      <c r="I13" s="60" t="s">
        <v>554</v>
      </c>
      <c r="J13" s="60" t="s">
        <v>555</v>
      </c>
      <c r="K13" s="61" t="s">
        <v>556</v>
      </c>
      <c r="L13" s="60" t="s">
        <v>557</v>
      </c>
      <c r="M13" s="60" t="s">
        <v>558</v>
      </c>
      <c r="N13" s="62" t="s">
        <v>559</v>
      </c>
      <c r="O13" s="62" t="s">
        <v>560</v>
      </c>
      <c r="P13" s="59" t="s">
        <v>561</v>
      </c>
    </row>
    <row r="14" spans="1:16" x14ac:dyDescent="0.2">
      <c r="A14" t="s">
        <v>82</v>
      </c>
      <c r="B14">
        <f>B2</f>
        <v>9.75</v>
      </c>
      <c r="C14">
        <v>3</v>
      </c>
      <c r="D14">
        <v>3</v>
      </c>
      <c r="E14">
        <f>C14+D14/8</f>
        <v>3.375</v>
      </c>
      <c r="K14" s="64">
        <f>I14+J14/8</f>
        <v>0</v>
      </c>
      <c r="L14">
        <f>B14-E14-H14-K14</f>
        <v>6.375</v>
      </c>
      <c r="N14" s="36">
        <f>H2</f>
        <v>0.21666666666666659</v>
      </c>
      <c r="O14" s="36">
        <f>N14*L14</f>
        <v>1.3812499999999994</v>
      </c>
    </row>
    <row r="15" spans="1:16" x14ac:dyDescent="0.2">
      <c r="A15" t="s">
        <v>84</v>
      </c>
      <c r="B15">
        <f t="shared" ref="B15:B17" si="2">B3</f>
        <v>58.875</v>
      </c>
      <c r="C15">
        <v>19</v>
      </c>
      <c r="E15">
        <f t="shared" ref="E15:E17" si="3">C15+D15/8</f>
        <v>19</v>
      </c>
      <c r="I15">
        <f>10</f>
        <v>10</v>
      </c>
      <c r="J15">
        <f>3+5</f>
        <v>8</v>
      </c>
      <c r="K15" s="64">
        <f t="shared" ref="K15:K17" si="4">I15+J15/8</f>
        <v>11</v>
      </c>
      <c r="L15">
        <f t="shared" ref="L15:L17" si="5">B15-E15-H15-K15</f>
        <v>28.875</v>
      </c>
      <c r="N15" s="36">
        <f t="shared" ref="N15:N17" si="6">H3</f>
        <v>0.125</v>
      </c>
      <c r="O15" s="36">
        <f t="shared" ref="O15:O17" si="7">N15*L15</f>
        <v>3.609375</v>
      </c>
    </row>
    <row r="16" spans="1:16" x14ac:dyDescent="0.2">
      <c r="A16" t="s">
        <v>87</v>
      </c>
      <c r="B16">
        <f t="shared" si="2"/>
        <v>19</v>
      </c>
      <c r="C16">
        <v>7</v>
      </c>
      <c r="D16">
        <v>3</v>
      </c>
      <c r="E16">
        <f t="shared" si="3"/>
        <v>7.375</v>
      </c>
      <c r="K16" s="64">
        <f t="shared" si="4"/>
        <v>0</v>
      </c>
      <c r="L16">
        <f t="shared" si="5"/>
        <v>11.625</v>
      </c>
      <c r="N16" s="36">
        <f t="shared" si="6"/>
        <v>0.125</v>
      </c>
      <c r="O16" s="36">
        <f t="shared" si="7"/>
        <v>1.453125</v>
      </c>
    </row>
    <row r="17" spans="1:15" x14ac:dyDescent="0.2">
      <c r="A17" t="s">
        <v>205</v>
      </c>
      <c r="B17">
        <f t="shared" si="2"/>
        <v>20</v>
      </c>
      <c r="C17">
        <v>15.5</v>
      </c>
      <c r="D17">
        <v>3</v>
      </c>
      <c r="E17">
        <f t="shared" si="3"/>
        <v>15.875</v>
      </c>
      <c r="I17">
        <v>4</v>
      </c>
      <c r="J17">
        <v>1</v>
      </c>
      <c r="K17" s="64">
        <f t="shared" si="4"/>
        <v>4.125</v>
      </c>
      <c r="L17">
        <f t="shared" si="5"/>
        <v>0</v>
      </c>
      <c r="N17" s="36">
        <f t="shared" si="6"/>
        <v>0.16666666666666671</v>
      </c>
      <c r="O17" s="36">
        <f t="shared" si="7"/>
        <v>0</v>
      </c>
    </row>
    <row r="19" spans="1:15" x14ac:dyDescent="0.2">
      <c r="A19" s="65" t="s">
        <v>261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9"/>
  <sheetViews>
    <sheetView workbookViewId="0">
      <pane xSplit="1" ySplit="4" topLeftCell="O80" activePane="bottomRight" state="frozen"/>
      <selection pane="topRight" activeCell="B1" sqref="B1"/>
      <selection pane="bottomLeft" activeCell="A5" sqref="A5"/>
      <selection pane="bottomRight" activeCell="T95" sqref="T95"/>
    </sheetView>
  </sheetViews>
  <sheetFormatPr baseColWidth="10" defaultColWidth="8.83203125" defaultRowHeight="15" x14ac:dyDescent="0.2"/>
  <cols>
    <col min="1" max="1" width="44.33203125" bestFit="1" customWidth="1"/>
    <col min="6" max="6" width="10.83203125" bestFit="1" customWidth="1"/>
    <col min="10" max="10" width="16.6640625" customWidth="1"/>
    <col min="11" max="11" width="14.83203125" customWidth="1"/>
    <col min="14" max="14" width="12.83203125" customWidth="1"/>
    <col min="15" max="15" width="8.83203125" style="36"/>
    <col min="16" max="16" width="15.6640625" customWidth="1"/>
    <col min="17" max="17" width="16.33203125" customWidth="1"/>
    <col min="19" max="19" width="18.83203125" customWidth="1"/>
    <col min="20" max="20" width="19" customWidth="1"/>
  </cols>
  <sheetData>
    <row r="1" spans="1:21" ht="16" x14ac:dyDescent="0.2">
      <c r="A1" s="10" t="s">
        <v>543</v>
      </c>
      <c r="B1" s="31"/>
      <c r="C1" s="31"/>
      <c r="D1" s="31"/>
      <c r="E1" s="31"/>
      <c r="F1" s="31"/>
      <c r="G1" s="31"/>
      <c r="H1" s="31"/>
      <c r="I1" s="31"/>
    </row>
    <row r="2" spans="1:21" ht="16" x14ac:dyDescent="0.2">
      <c r="A2" s="10"/>
    </row>
    <row r="3" spans="1:21" x14ac:dyDescent="0.2">
      <c r="A3" s="42"/>
      <c r="B3" s="42"/>
      <c r="C3" s="69" t="s">
        <v>268</v>
      </c>
      <c r="D3" s="69"/>
      <c r="E3" s="69"/>
      <c r="F3" s="69"/>
      <c r="G3" s="70" t="s">
        <v>524</v>
      </c>
      <c r="H3" s="69"/>
      <c r="I3" s="69"/>
      <c r="J3" s="69"/>
      <c r="K3" s="42"/>
      <c r="L3" s="42"/>
      <c r="M3" s="42"/>
      <c r="N3" s="42"/>
      <c r="O3" s="53"/>
      <c r="P3" s="53"/>
      <c r="Q3" s="42"/>
      <c r="R3" s="42"/>
      <c r="S3" s="42"/>
      <c r="T3" s="42"/>
    </row>
    <row r="4" spans="1:21" ht="34" x14ac:dyDescent="0.2">
      <c r="A4" s="43" t="s">
        <v>385</v>
      </c>
      <c r="B4" s="54" t="s">
        <v>525</v>
      </c>
      <c r="C4" s="54" t="s">
        <v>268</v>
      </c>
      <c r="D4" s="10" t="s">
        <v>526</v>
      </c>
      <c r="E4" s="10" t="s">
        <v>527</v>
      </c>
      <c r="F4" s="43" t="s">
        <v>528</v>
      </c>
      <c r="G4" s="10" t="s">
        <v>529</v>
      </c>
      <c r="H4" s="54" t="s">
        <v>269</v>
      </c>
      <c r="I4" s="54" t="s">
        <v>530</v>
      </c>
      <c r="J4" s="54" t="s">
        <v>531</v>
      </c>
      <c r="K4" s="54" t="s">
        <v>532</v>
      </c>
      <c r="L4" s="54" t="s">
        <v>533</v>
      </c>
      <c r="M4" s="54" t="s">
        <v>534</v>
      </c>
      <c r="N4" s="54" t="s">
        <v>535</v>
      </c>
      <c r="O4" s="67" t="s">
        <v>536</v>
      </c>
      <c r="P4" s="55" t="s">
        <v>537</v>
      </c>
      <c r="Q4" s="43" t="s">
        <v>538</v>
      </c>
      <c r="R4" s="43" t="s">
        <v>539</v>
      </c>
      <c r="S4" s="43" t="s">
        <v>540</v>
      </c>
      <c r="T4" s="56" t="s">
        <v>541</v>
      </c>
      <c r="U4" s="54" t="s">
        <v>542</v>
      </c>
    </row>
    <row r="5" spans="1:21" ht="16" x14ac:dyDescent="0.2">
      <c r="A5" s="42" t="s">
        <v>386</v>
      </c>
    </row>
    <row r="6" spans="1:21" ht="16" x14ac:dyDescent="0.2">
      <c r="A6" s="42" t="s">
        <v>387</v>
      </c>
    </row>
    <row r="7" spans="1:21" x14ac:dyDescent="0.2">
      <c r="A7" t="s">
        <v>388</v>
      </c>
      <c r="B7">
        <v>7</v>
      </c>
      <c r="K7">
        <v>7</v>
      </c>
    </row>
    <row r="8" spans="1:21" x14ac:dyDescent="0.2">
      <c r="A8" t="s">
        <v>472</v>
      </c>
    </row>
    <row r="9" spans="1:21" x14ac:dyDescent="0.2">
      <c r="A9" t="s">
        <v>389</v>
      </c>
    </row>
    <row r="10" spans="1:21" x14ac:dyDescent="0.2">
      <c r="A10" t="s">
        <v>390</v>
      </c>
    </row>
    <row r="11" spans="1:21" x14ac:dyDescent="0.2">
      <c r="A11" t="s">
        <v>391</v>
      </c>
    </row>
    <row r="12" spans="1:21" x14ac:dyDescent="0.2">
      <c r="A12" t="s">
        <v>270</v>
      </c>
      <c r="B12">
        <v>3</v>
      </c>
      <c r="C12">
        <v>2</v>
      </c>
      <c r="H12">
        <v>3</v>
      </c>
      <c r="K12">
        <v>2</v>
      </c>
      <c r="O12" s="36">
        <f>R12/H12</f>
        <v>0.34333333333333332</v>
      </c>
      <c r="R12" s="36">
        <f>Receipts!F32</f>
        <v>1.03</v>
      </c>
    </row>
    <row r="13" spans="1:21" x14ac:dyDescent="0.2">
      <c r="A13" t="s">
        <v>271</v>
      </c>
      <c r="B13">
        <v>1</v>
      </c>
      <c r="K13">
        <v>1</v>
      </c>
    </row>
    <row r="14" spans="1:21" x14ac:dyDescent="0.2">
      <c r="A14" t="s">
        <v>272</v>
      </c>
      <c r="B14">
        <v>23</v>
      </c>
      <c r="C14">
        <f>2+3</f>
        <v>5</v>
      </c>
      <c r="H14">
        <v>2</v>
      </c>
      <c r="I14">
        <f>1</f>
        <v>1</v>
      </c>
      <c r="K14">
        <v>25</v>
      </c>
      <c r="O14" s="36">
        <f t="shared" ref="O14:O19" si="0">R14/H14</f>
        <v>0.4</v>
      </c>
      <c r="R14" s="36">
        <f>Receipts!F33</f>
        <v>0.8</v>
      </c>
    </row>
    <row r="15" spans="1:21" x14ac:dyDescent="0.2">
      <c r="A15" t="s">
        <v>273</v>
      </c>
      <c r="B15">
        <v>4</v>
      </c>
      <c r="J15">
        <v>4</v>
      </c>
      <c r="K15">
        <v>0</v>
      </c>
    </row>
    <row r="16" spans="1:21" x14ac:dyDescent="0.2">
      <c r="A16" t="s">
        <v>274</v>
      </c>
      <c r="B16">
        <v>9</v>
      </c>
      <c r="I16">
        <v>3</v>
      </c>
      <c r="K16">
        <v>6</v>
      </c>
    </row>
    <row r="17" spans="1:18" x14ac:dyDescent="0.2">
      <c r="A17" t="s">
        <v>275</v>
      </c>
      <c r="B17">
        <v>6</v>
      </c>
      <c r="I17">
        <v>3</v>
      </c>
      <c r="K17">
        <v>3</v>
      </c>
    </row>
    <row r="18" spans="1:18" x14ac:dyDescent="0.2">
      <c r="A18" t="s">
        <v>276</v>
      </c>
      <c r="B18">
        <v>22</v>
      </c>
      <c r="H18">
        <v>14</v>
      </c>
      <c r="I18">
        <v>1</v>
      </c>
      <c r="J18">
        <f>2</f>
        <v>2</v>
      </c>
      <c r="K18">
        <v>5</v>
      </c>
      <c r="O18" s="36">
        <f t="shared" si="0"/>
        <v>5.9285714285714282E-2</v>
      </c>
      <c r="R18" s="36">
        <f>Receipts!F34</f>
        <v>0.83</v>
      </c>
    </row>
    <row r="19" spans="1:18" x14ac:dyDescent="0.2">
      <c r="A19" t="s">
        <v>277</v>
      </c>
      <c r="B19">
        <v>112</v>
      </c>
      <c r="H19">
        <v>20</v>
      </c>
      <c r="I19">
        <f>5+6+1</f>
        <v>12</v>
      </c>
      <c r="K19">
        <v>80</v>
      </c>
      <c r="O19" s="36">
        <f t="shared" si="0"/>
        <v>5.1000000000000004E-2</v>
      </c>
      <c r="R19" s="36">
        <f>Receipts!F35</f>
        <v>1.02</v>
      </c>
    </row>
    <row r="20" spans="1:18" x14ac:dyDescent="0.2">
      <c r="A20" t="s">
        <v>392</v>
      </c>
    </row>
    <row r="21" spans="1:18" x14ac:dyDescent="0.2">
      <c r="A21" t="s">
        <v>393</v>
      </c>
    </row>
    <row r="22" spans="1:18" x14ac:dyDescent="0.2">
      <c r="A22" t="s">
        <v>394</v>
      </c>
    </row>
    <row r="23" spans="1:18" x14ac:dyDescent="0.2">
      <c r="A23" t="s">
        <v>395</v>
      </c>
    </row>
    <row r="24" spans="1:18" x14ac:dyDescent="0.2">
      <c r="A24" t="s">
        <v>396</v>
      </c>
    </row>
    <row r="25" spans="1:18" x14ac:dyDescent="0.2">
      <c r="A25" t="s">
        <v>397</v>
      </c>
    </row>
    <row r="26" spans="1:18" x14ac:dyDescent="0.2">
      <c r="A26" t="s">
        <v>398</v>
      </c>
    </row>
    <row r="27" spans="1:18" x14ac:dyDescent="0.2">
      <c r="A27" t="s">
        <v>399</v>
      </c>
    </row>
    <row r="28" spans="1:18" x14ac:dyDescent="0.2">
      <c r="A28" t="s">
        <v>400</v>
      </c>
    </row>
    <row r="29" spans="1:18" x14ac:dyDescent="0.2">
      <c r="A29" t="s">
        <v>401</v>
      </c>
    </row>
    <row r="30" spans="1:18" x14ac:dyDescent="0.2">
      <c r="A30" t="s">
        <v>402</v>
      </c>
    </row>
    <row r="31" spans="1:18" s="66" customFormat="1" ht="16" x14ac:dyDescent="0.2">
      <c r="A31" s="44" t="s">
        <v>473</v>
      </c>
      <c r="O31" s="68"/>
      <c r="R31" s="66">
        <f>SUM(R5:R29)</f>
        <v>3.68</v>
      </c>
    </row>
    <row r="34" spans="1:20" ht="17" x14ac:dyDescent="0.2">
      <c r="A34" s="43" t="s">
        <v>405</v>
      </c>
    </row>
    <row r="35" spans="1:20" x14ac:dyDescent="0.2">
      <c r="A35" t="s">
        <v>564</v>
      </c>
      <c r="C35">
        <v>87</v>
      </c>
      <c r="J35">
        <f>8+79</f>
        <v>87</v>
      </c>
      <c r="K35">
        <v>0</v>
      </c>
      <c r="O35" s="36">
        <v>0.02</v>
      </c>
      <c r="T35">
        <f>O35*J35</f>
        <v>1.74</v>
      </c>
    </row>
    <row r="36" spans="1:20" x14ac:dyDescent="0.2">
      <c r="A36" t="s">
        <v>407</v>
      </c>
    </row>
    <row r="37" spans="1:20" x14ac:dyDescent="0.2">
      <c r="A37" t="s">
        <v>408</v>
      </c>
    </row>
    <row r="38" spans="1:20" x14ac:dyDescent="0.2">
      <c r="A38" t="s">
        <v>409</v>
      </c>
    </row>
    <row r="39" spans="1:20" x14ac:dyDescent="0.2">
      <c r="A39" t="s">
        <v>410</v>
      </c>
    </row>
    <row r="40" spans="1:20" s="66" customFormat="1" ht="16" x14ac:dyDescent="0.2">
      <c r="A40" s="44" t="s">
        <v>474</v>
      </c>
      <c r="O40" s="68"/>
      <c r="T40" s="66">
        <f>SUM(T35:T39)</f>
        <v>1.74</v>
      </c>
    </row>
    <row r="43" spans="1:20" ht="17" x14ac:dyDescent="0.2">
      <c r="A43" s="43" t="s">
        <v>411</v>
      </c>
    </row>
    <row r="44" spans="1:20" x14ac:dyDescent="0.2">
      <c r="A44" t="s">
        <v>412</v>
      </c>
    </row>
    <row r="45" spans="1:20" x14ac:dyDescent="0.2">
      <c r="A45" t="s">
        <v>475</v>
      </c>
    </row>
    <row r="46" spans="1:20" x14ac:dyDescent="0.2">
      <c r="A46" t="s">
        <v>476</v>
      </c>
    </row>
    <row r="47" spans="1:20" x14ac:dyDescent="0.2">
      <c r="A47" t="s">
        <v>477</v>
      </c>
    </row>
    <row r="48" spans="1:20" x14ac:dyDescent="0.2">
      <c r="A48" s="45" t="s">
        <v>478</v>
      </c>
    </row>
    <row r="49" spans="1:15" x14ac:dyDescent="0.2">
      <c r="A49" t="s">
        <v>479</v>
      </c>
    </row>
    <row r="50" spans="1:15" x14ac:dyDescent="0.2">
      <c r="A50" s="46" t="s">
        <v>480</v>
      </c>
    </row>
    <row r="51" spans="1:15" x14ac:dyDescent="0.2">
      <c r="A51" s="46" t="s">
        <v>481</v>
      </c>
    </row>
    <row r="52" spans="1:15" x14ac:dyDescent="0.2">
      <c r="A52" s="46" t="s">
        <v>482</v>
      </c>
    </row>
    <row r="53" spans="1:15" x14ac:dyDescent="0.2">
      <c r="A53" s="46" t="s">
        <v>483</v>
      </c>
    </row>
    <row r="54" spans="1:15" x14ac:dyDescent="0.2">
      <c r="A54" s="47" t="s">
        <v>484</v>
      </c>
    </row>
    <row r="55" spans="1:15" x14ac:dyDescent="0.2">
      <c r="A55" s="48" t="s">
        <v>485</v>
      </c>
    </row>
    <row r="56" spans="1:15" x14ac:dyDescent="0.2">
      <c r="A56" s="46" t="s">
        <v>480</v>
      </c>
    </row>
    <row r="57" spans="1:15" x14ac:dyDescent="0.2">
      <c r="A57" s="46" t="s">
        <v>481</v>
      </c>
    </row>
    <row r="58" spans="1:15" x14ac:dyDescent="0.2">
      <c r="A58" s="46" t="s">
        <v>482</v>
      </c>
    </row>
    <row r="59" spans="1:15" x14ac:dyDescent="0.2">
      <c r="A59" s="46" t="s">
        <v>483</v>
      </c>
    </row>
    <row r="60" spans="1:15" x14ac:dyDescent="0.2">
      <c r="A60" s="47" t="s">
        <v>428</v>
      </c>
    </row>
    <row r="61" spans="1:15" x14ac:dyDescent="0.2">
      <c r="A61" t="s">
        <v>486</v>
      </c>
    </row>
    <row r="62" spans="1:15" x14ac:dyDescent="0.2">
      <c r="A62" t="s">
        <v>430</v>
      </c>
    </row>
    <row r="63" spans="1:15" x14ac:dyDescent="0.2">
      <c r="A63" t="s">
        <v>431</v>
      </c>
    </row>
    <row r="64" spans="1:15" s="66" customFormat="1" x14ac:dyDescent="0.2">
      <c r="A64" s="66" t="s">
        <v>487</v>
      </c>
      <c r="O64" s="68"/>
    </row>
    <row r="67" spans="1:20" ht="17" x14ac:dyDescent="0.2">
      <c r="A67" s="43" t="s">
        <v>280</v>
      </c>
    </row>
    <row r="68" spans="1:20" ht="16" x14ac:dyDescent="0.2">
      <c r="A68" s="42" t="s">
        <v>432</v>
      </c>
    </row>
    <row r="69" spans="1:20" x14ac:dyDescent="0.2">
      <c r="A69" t="s">
        <v>433</v>
      </c>
    </row>
    <row r="70" spans="1:20" x14ac:dyDescent="0.2">
      <c r="A70" t="s">
        <v>434</v>
      </c>
    </row>
    <row r="71" spans="1:20" x14ac:dyDescent="0.2">
      <c r="A71" t="s">
        <v>435</v>
      </c>
    </row>
    <row r="72" spans="1:20" x14ac:dyDescent="0.2">
      <c r="A72" s="49" t="s">
        <v>488</v>
      </c>
    </row>
    <row r="73" spans="1:20" x14ac:dyDescent="0.2">
      <c r="A73" s="50" t="s">
        <v>489</v>
      </c>
    </row>
    <row r="75" spans="1:20" ht="16" x14ac:dyDescent="0.2">
      <c r="A75" s="10" t="s">
        <v>436</v>
      </c>
    </row>
    <row r="76" spans="1:20" x14ac:dyDescent="0.2">
      <c r="A76" t="s">
        <v>437</v>
      </c>
    </row>
    <row r="77" spans="1:20" x14ac:dyDescent="0.2">
      <c r="A77" t="s">
        <v>438</v>
      </c>
      <c r="F77">
        <v>20</v>
      </c>
      <c r="G77">
        <v>4</v>
      </c>
      <c r="H77">
        <v>16</v>
      </c>
      <c r="K77">
        <v>0</v>
      </c>
      <c r="O77" s="36">
        <f>R77/H77</f>
        <v>4.3750000000000004E-3</v>
      </c>
      <c r="R77" s="36">
        <f>Receipts!F44</f>
        <v>7.0000000000000007E-2</v>
      </c>
      <c r="T77">
        <f>O77*H77</f>
        <v>7.0000000000000007E-2</v>
      </c>
    </row>
    <row r="78" spans="1:20" x14ac:dyDescent="0.2">
      <c r="A78" t="s">
        <v>439</v>
      </c>
    </row>
    <row r="79" spans="1:20" s="66" customFormat="1" x14ac:dyDescent="0.2">
      <c r="A79" s="66" t="s">
        <v>261</v>
      </c>
      <c r="O79" s="68"/>
      <c r="R79" s="66">
        <f>SUM(R76:R78)</f>
        <v>7.0000000000000007E-2</v>
      </c>
      <c r="T79" s="66">
        <f>T77</f>
        <v>7.0000000000000007E-2</v>
      </c>
    </row>
    <row r="82" spans="1:21" ht="16" x14ac:dyDescent="0.2">
      <c r="A82" s="10" t="s">
        <v>490</v>
      </c>
    </row>
    <row r="83" spans="1:21" x14ac:dyDescent="0.2">
      <c r="A83" t="s">
        <v>491</v>
      </c>
    </row>
    <row r="84" spans="1:21" x14ac:dyDescent="0.2">
      <c r="A84" t="s">
        <v>492</v>
      </c>
    </row>
    <row r="85" spans="1:21" x14ac:dyDescent="0.2">
      <c r="A85" t="s">
        <v>493</v>
      </c>
    </row>
    <row r="86" spans="1:21" ht="16" x14ac:dyDescent="0.2">
      <c r="A86" s="51" t="s">
        <v>487</v>
      </c>
    </row>
    <row r="88" spans="1:21" ht="16" x14ac:dyDescent="0.2">
      <c r="A88" s="10" t="s">
        <v>278</v>
      </c>
    </row>
    <row r="89" spans="1:21" x14ac:dyDescent="0.2">
      <c r="A89" t="s">
        <v>494</v>
      </c>
      <c r="C89">
        <v>37</v>
      </c>
      <c r="H89">
        <v>34</v>
      </c>
      <c r="J89">
        <f>3</f>
        <v>3</v>
      </c>
      <c r="K89">
        <v>0</v>
      </c>
      <c r="O89" s="36">
        <f>R89/H89</f>
        <v>5.8823529411764705E-3</v>
      </c>
      <c r="R89" s="36">
        <f>Receipts!F41</f>
        <v>0.2</v>
      </c>
      <c r="T89" s="36">
        <f>O89*C89</f>
        <v>0.21764705882352942</v>
      </c>
    </row>
    <row r="90" spans="1:21" x14ac:dyDescent="0.2">
      <c r="A90" t="s">
        <v>495</v>
      </c>
      <c r="C90">
        <v>159</v>
      </c>
      <c r="H90">
        <v>143</v>
      </c>
      <c r="J90">
        <f>15+1</f>
        <v>16</v>
      </c>
      <c r="K90">
        <v>0</v>
      </c>
      <c r="O90" s="36">
        <f>R90/H90</f>
        <v>2.2027972027972027E-2</v>
      </c>
      <c r="R90" s="36">
        <f>Receipts!F42</f>
        <v>3.15</v>
      </c>
      <c r="T90" s="36">
        <f>O90*C90</f>
        <v>3.5024475524475522</v>
      </c>
    </row>
    <row r="91" spans="1:21" s="66" customFormat="1" ht="16" x14ac:dyDescent="0.2">
      <c r="A91" s="44" t="s">
        <v>261</v>
      </c>
      <c r="O91" s="68"/>
      <c r="R91" s="68">
        <f>SUM(R89:R90)</f>
        <v>3.35</v>
      </c>
      <c r="T91" s="68">
        <f>SUM(T89:T90)</f>
        <v>3.7200946112710818</v>
      </c>
    </row>
    <row r="93" spans="1:21" ht="16" x14ac:dyDescent="0.2">
      <c r="A93" s="10" t="s">
        <v>279</v>
      </c>
    </row>
    <row r="94" spans="1:21" x14ac:dyDescent="0.2">
      <c r="A94" t="s">
        <v>279</v>
      </c>
      <c r="C94">
        <v>20</v>
      </c>
      <c r="H94">
        <v>20</v>
      </c>
      <c r="K94">
        <v>0</v>
      </c>
      <c r="O94" s="36">
        <f>R94/H94</f>
        <v>2.5000000000000001E-2</v>
      </c>
      <c r="R94" s="36">
        <f>Receipts!F43</f>
        <v>0.5</v>
      </c>
      <c r="T94" s="36">
        <f>R94</f>
        <v>0.5</v>
      </c>
      <c r="U94" t="s">
        <v>565</v>
      </c>
    </row>
    <row r="95" spans="1:21" s="66" customFormat="1" ht="16" x14ac:dyDescent="0.2">
      <c r="A95" s="44" t="s">
        <v>261</v>
      </c>
      <c r="O95" s="68"/>
      <c r="R95" s="68">
        <f>SUM(R94)</f>
        <v>0.5</v>
      </c>
      <c r="T95" s="68">
        <f>R95</f>
        <v>0.5</v>
      </c>
    </row>
    <row r="96" spans="1:21" ht="16" x14ac:dyDescent="0.2">
      <c r="A96" s="52"/>
    </row>
    <row r="97" spans="1:1" ht="16" x14ac:dyDescent="0.2">
      <c r="A97" s="51" t="s">
        <v>496</v>
      </c>
    </row>
    <row r="100" spans="1:1" ht="16" x14ac:dyDescent="0.2">
      <c r="A100" s="10" t="s">
        <v>497</v>
      </c>
    </row>
    <row r="103" spans="1:1" ht="16" x14ac:dyDescent="0.2">
      <c r="A103" s="52" t="s">
        <v>498</v>
      </c>
    </row>
    <row r="104" spans="1:1" ht="16" x14ac:dyDescent="0.2">
      <c r="A104" s="10" t="s">
        <v>281</v>
      </c>
    </row>
    <row r="105" spans="1:1" x14ac:dyDescent="0.2">
      <c r="A105" t="s">
        <v>499</v>
      </c>
    </row>
    <row r="106" spans="1:1" x14ac:dyDescent="0.2">
      <c r="A106" t="s">
        <v>500</v>
      </c>
    </row>
    <row r="107" spans="1:1" x14ac:dyDescent="0.2">
      <c r="A107" t="s">
        <v>501</v>
      </c>
    </row>
    <row r="108" spans="1:1" x14ac:dyDescent="0.2">
      <c r="A108" t="s">
        <v>502</v>
      </c>
    </row>
    <row r="109" spans="1:1" x14ac:dyDescent="0.2">
      <c r="A109" t="s">
        <v>503</v>
      </c>
    </row>
    <row r="110" spans="1:1" x14ac:dyDescent="0.2">
      <c r="A110" t="s">
        <v>504</v>
      </c>
    </row>
    <row r="111" spans="1:1" x14ac:dyDescent="0.2">
      <c r="A111" t="s">
        <v>505</v>
      </c>
    </row>
    <row r="112" spans="1:1" x14ac:dyDescent="0.2">
      <c r="A112" t="s">
        <v>506</v>
      </c>
    </row>
    <row r="113" spans="1:1" x14ac:dyDescent="0.2">
      <c r="A113" t="s">
        <v>507</v>
      </c>
    </row>
    <row r="114" spans="1:1" x14ac:dyDescent="0.2">
      <c r="A114" t="s">
        <v>508</v>
      </c>
    </row>
    <row r="115" spans="1:1" x14ac:dyDescent="0.2">
      <c r="A115" t="s">
        <v>509</v>
      </c>
    </row>
    <row r="116" spans="1:1" x14ac:dyDescent="0.2">
      <c r="A116" t="s">
        <v>510</v>
      </c>
    </row>
    <row r="117" spans="1:1" x14ac:dyDescent="0.2">
      <c r="A117" t="s">
        <v>511</v>
      </c>
    </row>
    <row r="118" spans="1:1" x14ac:dyDescent="0.2">
      <c r="A118" t="s">
        <v>512</v>
      </c>
    </row>
    <row r="119" spans="1:1" x14ac:dyDescent="0.2">
      <c r="A119" t="s">
        <v>513</v>
      </c>
    </row>
    <row r="120" spans="1:1" x14ac:dyDescent="0.2">
      <c r="A120" t="s">
        <v>514</v>
      </c>
    </row>
    <row r="121" spans="1:1" x14ac:dyDescent="0.2">
      <c r="A121" t="s">
        <v>515</v>
      </c>
    </row>
    <row r="122" spans="1:1" x14ac:dyDescent="0.2">
      <c r="A122" t="s">
        <v>516</v>
      </c>
    </row>
    <row r="123" spans="1:1" x14ac:dyDescent="0.2">
      <c r="A123" t="s">
        <v>517</v>
      </c>
    </row>
    <row r="124" spans="1:1" x14ac:dyDescent="0.2">
      <c r="A124" t="s">
        <v>518</v>
      </c>
    </row>
    <row r="125" spans="1:1" x14ac:dyDescent="0.2">
      <c r="A125" t="s">
        <v>519</v>
      </c>
    </row>
    <row r="126" spans="1:1" x14ac:dyDescent="0.2">
      <c r="A126" t="s">
        <v>520</v>
      </c>
    </row>
    <row r="127" spans="1:1" x14ac:dyDescent="0.2">
      <c r="A127" t="s">
        <v>521</v>
      </c>
    </row>
    <row r="128" spans="1:1" x14ac:dyDescent="0.2">
      <c r="A128" t="s">
        <v>522</v>
      </c>
    </row>
    <row r="129" spans="1:1" x14ac:dyDescent="0.2">
      <c r="A129" t="s">
        <v>523</v>
      </c>
    </row>
  </sheetData>
  <mergeCells count="2">
    <mergeCell ref="C3:F3"/>
    <mergeCell ref="G3:J3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99"/>
  <sheetViews>
    <sheetView topLeftCell="A70" workbookViewId="0">
      <selection activeCell="D79" sqref="D79:F87"/>
    </sheetView>
  </sheetViews>
  <sheetFormatPr baseColWidth="10" defaultColWidth="8.83203125" defaultRowHeight="15" x14ac:dyDescent="0.2"/>
  <cols>
    <col min="1" max="1" width="31.33203125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38</v>
      </c>
      <c r="B2" t="s">
        <v>39</v>
      </c>
      <c r="C2">
        <v>2.0499999999999998</v>
      </c>
      <c r="D2">
        <v>2</v>
      </c>
      <c r="E2">
        <v>1</v>
      </c>
      <c r="F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8" x14ac:dyDescent="0.2">
      <c r="A3" t="s">
        <v>38</v>
      </c>
      <c r="B3" t="s">
        <v>40</v>
      </c>
      <c r="C3">
        <v>2.0499999999999998</v>
      </c>
      <c r="D3">
        <v>2</v>
      </c>
      <c r="E3">
        <v>1</v>
      </c>
      <c r="F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8" x14ac:dyDescent="0.2">
      <c r="A4" t="s">
        <v>38</v>
      </c>
      <c r="B4" t="s">
        <v>41</v>
      </c>
      <c r="C4">
        <v>4.0999999999999996</v>
      </c>
      <c r="D4">
        <v>4</v>
      </c>
      <c r="E4">
        <v>2</v>
      </c>
      <c r="F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8" x14ac:dyDescent="0.2">
      <c r="A5" t="s">
        <v>42</v>
      </c>
      <c r="B5" t="s">
        <v>43</v>
      </c>
      <c r="C5">
        <v>0</v>
      </c>
      <c r="D5">
        <v>0</v>
      </c>
      <c r="E5">
        <v>0</v>
      </c>
      <c r="F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8" x14ac:dyDescent="0.2">
      <c r="A6" t="s">
        <v>44</v>
      </c>
      <c r="B6" t="s">
        <v>45</v>
      </c>
      <c r="C6">
        <v>0.05</v>
      </c>
      <c r="D6">
        <v>0</v>
      </c>
      <c r="E6">
        <v>1</v>
      </c>
      <c r="F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8" x14ac:dyDescent="0.2">
      <c r="A7" t="s">
        <v>44</v>
      </c>
      <c r="B7" t="s">
        <v>46</v>
      </c>
      <c r="C7">
        <v>0.03</v>
      </c>
      <c r="D7">
        <v>0</v>
      </c>
      <c r="E7">
        <v>0</v>
      </c>
      <c r="F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8" x14ac:dyDescent="0.2">
      <c r="A8" t="s">
        <v>44</v>
      </c>
      <c r="B8" t="s">
        <v>47</v>
      </c>
      <c r="C8">
        <v>0.03</v>
      </c>
      <c r="D8">
        <v>0</v>
      </c>
      <c r="E8">
        <v>0</v>
      </c>
      <c r="F8">
        <v>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8" x14ac:dyDescent="0.2">
      <c r="A9" t="s">
        <v>44</v>
      </c>
      <c r="B9" t="s">
        <v>48</v>
      </c>
      <c r="C9">
        <v>0.12</v>
      </c>
      <c r="D9">
        <v>0</v>
      </c>
      <c r="E9">
        <v>2</v>
      </c>
      <c r="F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8" x14ac:dyDescent="0.2">
      <c r="A10" t="s">
        <v>49</v>
      </c>
      <c r="B10" t="s">
        <v>50</v>
      </c>
      <c r="C10">
        <v>3.98</v>
      </c>
      <c r="D10">
        <v>3</v>
      </c>
      <c r="E10">
        <v>19</v>
      </c>
      <c r="F10">
        <v>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8" x14ac:dyDescent="0.2">
      <c r="A11" t="s">
        <v>51</v>
      </c>
      <c r="B11" t="s">
        <v>52</v>
      </c>
      <c r="C11">
        <v>0.45</v>
      </c>
      <c r="D11">
        <v>0</v>
      </c>
      <c r="E11">
        <v>9</v>
      </c>
      <c r="F11">
        <v>0.5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8" x14ac:dyDescent="0.2">
      <c r="A12" t="s">
        <v>51</v>
      </c>
      <c r="B12" t="s">
        <v>53</v>
      </c>
      <c r="C12">
        <v>0.45</v>
      </c>
      <c r="D12">
        <v>0</v>
      </c>
      <c r="E12">
        <v>9</v>
      </c>
      <c r="F12">
        <v>0.5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8" x14ac:dyDescent="0.2">
      <c r="A13" t="s">
        <v>51</v>
      </c>
      <c r="B13" t="s">
        <v>54</v>
      </c>
      <c r="C13">
        <v>0.9</v>
      </c>
      <c r="D13">
        <v>0</v>
      </c>
      <c r="E13">
        <v>18</v>
      </c>
      <c r="F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8" x14ac:dyDescent="0.2">
      <c r="A14" t="s">
        <v>55</v>
      </c>
      <c r="B14" t="s">
        <v>56</v>
      </c>
      <c r="C14">
        <v>0.03</v>
      </c>
      <c r="D14">
        <v>0</v>
      </c>
      <c r="E14">
        <v>0</v>
      </c>
      <c r="F14">
        <v>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8" x14ac:dyDescent="0.2">
      <c r="A15" t="s">
        <v>55</v>
      </c>
      <c r="B15" t="s">
        <v>57</v>
      </c>
      <c r="C15">
        <v>0.03</v>
      </c>
      <c r="D15">
        <v>0</v>
      </c>
      <c r="E15">
        <v>0</v>
      </c>
      <c r="F15">
        <v>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8" x14ac:dyDescent="0.2">
      <c r="A16" t="s">
        <v>58</v>
      </c>
      <c r="B16" t="s">
        <v>59</v>
      </c>
      <c r="C16">
        <v>0.15</v>
      </c>
      <c r="D16">
        <v>0</v>
      </c>
      <c r="E16">
        <v>3</v>
      </c>
      <c r="F16">
        <v>0.5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58</v>
      </c>
      <c r="B17" t="s">
        <v>60</v>
      </c>
      <c r="C17">
        <v>0.48</v>
      </c>
      <c r="D17">
        <v>0</v>
      </c>
      <c r="E17">
        <v>9</v>
      </c>
      <c r="F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58</v>
      </c>
      <c r="B18" t="s">
        <v>61</v>
      </c>
      <c r="C18">
        <v>1.03</v>
      </c>
      <c r="D18">
        <v>1</v>
      </c>
      <c r="E18">
        <v>0</v>
      </c>
      <c r="F18">
        <v>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58</v>
      </c>
      <c r="B19" t="s">
        <v>62</v>
      </c>
      <c r="C19">
        <v>0.8</v>
      </c>
      <c r="D19">
        <v>0</v>
      </c>
      <c r="E19">
        <v>16</v>
      </c>
      <c r="F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58</v>
      </c>
      <c r="B20" t="s">
        <v>63</v>
      </c>
      <c r="C20">
        <v>0.83</v>
      </c>
      <c r="D20">
        <v>0</v>
      </c>
      <c r="E20">
        <v>16</v>
      </c>
      <c r="F20">
        <v>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58</v>
      </c>
      <c r="B21" t="s">
        <v>64</v>
      </c>
      <c r="C21">
        <v>1.02</v>
      </c>
      <c r="D21">
        <v>1</v>
      </c>
      <c r="E21">
        <v>0</v>
      </c>
      <c r="F21">
        <v>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58</v>
      </c>
      <c r="B22" t="s">
        <v>65</v>
      </c>
      <c r="C22">
        <v>0.08</v>
      </c>
      <c r="D22">
        <v>0</v>
      </c>
      <c r="E22">
        <v>1</v>
      </c>
      <c r="F22">
        <v>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58</v>
      </c>
      <c r="B23" t="s">
        <v>66</v>
      </c>
      <c r="C23">
        <v>0.11</v>
      </c>
      <c r="D23">
        <v>0</v>
      </c>
      <c r="E23">
        <v>2</v>
      </c>
      <c r="F23">
        <v>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58</v>
      </c>
      <c r="B24" t="s">
        <v>67</v>
      </c>
      <c r="C24">
        <v>0</v>
      </c>
      <c r="D24">
        <v>0</v>
      </c>
      <c r="E24">
        <v>0</v>
      </c>
      <c r="F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58</v>
      </c>
      <c r="B25" t="s">
        <v>68</v>
      </c>
      <c r="C25">
        <v>7.0000000000000007E-2</v>
      </c>
      <c r="D25">
        <v>0</v>
      </c>
      <c r="E25">
        <v>1</v>
      </c>
      <c r="F25">
        <v>5.5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58</v>
      </c>
      <c r="B26" t="s">
        <v>69</v>
      </c>
      <c r="C26">
        <v>0.04</v>
      </c>
      <c r="D26">
        <v>0</v>
      </c>
      <c r="E26">
        <v>0</v>
      </c>
      <c r="F26">
        <v>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58</v>
      </c>
      <c r="B27" t="s">
        <v>70</v>
      </c>
      <c r="C27">
        <v>0.2</v>
      </c>
      <c r="D27">
        <v>0</v>
      </c>
      <c r="E27">
        <v>3</v>
      </c>
      <c r="F27">
        <v>11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58</v>
      </c>
      <c r="B28" t="s">
        <v>71</v>
      </c>
      <c r="C28">
        <v>3.15</v>
      </c>
      <c r="D28">
        <v>3</v>
      </c>
      <c r="E28">
        <v>3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58</v>
      </c>
      <c r="B29" t="s">
        <v>72</v>
      </c>
      <c r="C29">
        <v>0.5</v>
      </c>
      <c r="D29">
        <v>0</v>
      </c>
      <c r="E29">
        <v>10</v>
      </c>
      <c r="F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58</v>
      </c>
      <c r="B30" t="s">
        <v>73</v>
      </c>
      <c r="C30">
        <v>7.0000000000000007E-2</v>
      </c>
      <c r="D30">
        <v>0</v>
      </c>
      <c r="E30">
        <v>1</v>
      </c>
      <c r="F30">
        <v>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58</v>
      </c>
      <c r="B31" t="s">
        <v>74</v>
      </c>
      <c r="C31">
        <v>0.38</v>
      </c>
      <c r="D31">
        <v>0</v>
      </c>
      <c r="E31">
        <v>7</v>
      </c>
      <c r="F31">
        <v>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58</v>
      </c>
      <c r="B32" t="s">
        <v>75</v>
      </c>
      <c r="C32">
        <v>0.13</v>
      </c>
      <c r="D32">
        <v>0</v>
      </c>
      <c r="E32">
        <v>2</v>
      </c>
      <c r="F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24" x14ac:dyDescent="0.2">
      <c r="A33" t="s">
        <v>58</v>
      </c>
      <c r="B33" t="s">
        <v>76</v>
      </c>
      <c r="C33">
        <v>0.03</v>
      </c>
      <c r="D33">
        <v>0</v>
      </c>
      <c r="E33">
        <v>0</v>
      </c>
      <c r="F33">
        <v>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4" x14ac:dyDescent="0.2">
      <c r="A34" t="s">
        <v>58</v>
      </c>
      <c r="B34" t="s">
        <v>77</v>
      </c>
      <c r="C34">
        <v>7.0000000000000007E-2</v>
      </c>
      <c r="D34">
        <v>0</v>
      </c>
      <c r="E34">
        <v>1</v>
      </c>
      <c r="F34">
        <v>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24" x14ac:dyDescent="0.2">
      <c r="A35" t="s">
        <v>58</v>
      </c>
      <c r="B35" t="s">
        <v>78</v>
      </c>
      <c r="C35">
        <v>1.61</v>
      </c>
      <c r="D35">
        <v>1</v>
      </c>
      <c r="E35">
        <v>12</v>
      </c>
      <c r="F35">
        <v>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4" x14ac:dyDescent="0.2">
      <c r="A36" t="s">
        <v>58</v>
      </c>
      <c r="B36" t="s">
        <v>79</v>
      </c>
      <c r="C36">
        <v>10.85</v>
      </c>
      <c r="D36">
        <v>10</v>
      </c>
      <c r="E36">
        <v>17</v>
      </c>
      <c r="F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24" x14ac:dyDescent="0.2">
      <c r="A37" t="s">
        <v>80</v>
      </c>
      <c r="B37" t="s">
        <v>81</v>
      </c>
      <c r="C37">
        <v>1.38</v>
      </c>
      <c r="D37">
        <v>1</v>
      </c>
      <c r="E37">
        <v>7</v>
      </c>
      <c r="F37">
        <v>7.5</v>
      </c>
      <c r="G37" t="s">
        <v>82</v>
      </c>
      <c r="H37">
        <v>6</v>
      </c>
      <c r="I37">
        <v>3</v>
      </c>
      <c r="J37">
        <v>6.375</v>
      </c>
      <c r="K37">
        <v>6.375</v>
      </c>
      <c r="L37">
        <v>0</v>
      </c>
      <c r="M37">
        <v>6</v>
      </c>
      <c r="N37">
        <v>3</v>
      </c>
      <c r="W37">
        <v>4</v>
      </c>
      <c r="X37">
        <v>4</v>
      </c>
    </row>
    <row r="38" spans="1:24" x14ac:dyDescent="0.2">
      <c r="A38" t="s">
        <v>80</v>
      </c>
      <c r="B38" t="s">
        <v>83</v>
      </c>
      <c r="C38">
        <v>3.55</v>
      </c>
      <c r="D38">
        <v>3</v>
      </c>
      <c r="E38">
        <v>10</v>
      </c>
      <c r="F38">
        <v>11.25</v>
      </c>
      <c r="G38" t="s">
        <v>84</v>
      </c>
      <c r="H38">
        <v>28</v>
      </c>
      <c r="I38">
        <v>3</v>
      </c>
      <c r="J38">
        <v>28.375</v>
      </c>
      <c r="K38">
        <v>28.375</v>
      </c>
      <c r="L38">
        <v>0</v>
      </c>
      <c r="M38">
        <v>28</v>
      </c>
      <c r="N38">
        <v>3</v>
      </c>
      <c r="W38">
        <v>2</v>
      </c>
      <c r="X38">
        <v>6</v>
      </c>
    </row>
    <row r="39" spans="1:24" x14ac:dyDescent="0.2">
      <c r="A39" t="s">
        <v>80</v>
      </c>
      <c r="B39" t="s">
        <v>85</v>
      </c>
      <c r="C39">
        <v>0.02</v>
      </c>
      <c r="D39">
        <v>0</v>
      </c>
      <c r="E39">
        <v>0</v>
      </c>
      <c r="F39">
        <v>3.75</v>
      </c>
      <c r="H39">
        <v>0</v>
      </c>
      <c r="I39">
        <v>1</v>
      </c>
      <c r="J39">
        <v>0.125</v>
      </c>
      <c r="K39">
        <v>0.125</v>
      </c>
      <c r="L39">
        <v>0</v>
      </c>
      <c r="M39">
        <v>0</v>
      </c>
      <c r="N39">
        <v>1</v>
      </c>
    </row>
    <row r="40" spans="1:24" x14ac:dyDescent="0.2">
      <c r="A40" t="s">
        <v>80</v>
      </c>
      <c r="B40" t="s">
        <v>86</v>
      </c>
      <c r="C40">
        <v>1.94</v>
      </c>
      <c r="D40">
        <v>1</v>
      </c>
      <c r="E40">
        <v>18</v>
      </c>
      <c r="F40">
        <v>9</v>
      </c>
      <c r="G40" t="s">
        <v>87</v>
      </c>
      <c r="H40">
        <v>11.5</v>
      </c>
      <c r="I40">
        <v>1</v>
      </c>
      <c r="J40">
        <v>11.625</v>
      </c>
      <c r="K40">
        <v>11.625</v>
      </c>
      <c r="L40">
        <v>0</v>
      </c>
      <c r="M40">
        <v>11.5</v>
      </c>
      <c r="N40">
        <v>1</v>
      </c>
      <c r="W40">
        <v>3</v>
      </c>
      <c r="X40">
        <v>4</v>
      </c>
    </row>
    <row r="41" spans="1:24" x14ac:dyDescent="0.2">
      <c r="A41" t="s">
        <v>80</v>
      </c>
      <c r="B41" t="s">
        <v>88</v>
      </c>
      <c r="C41">
        <v>6.88</v>
      </c>
      <c r="D41">
        <v>6</v>
      </c>
      <c r="E41">
        <v>17</v>
      </c>
      <c r="F41">
        <v>7.5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24" x14ac:dyDescent="0.2">
      <c r="A42" t="s">
        <v>89</v>
      </c>
      <c r="B42" t="s">
        <v>90</v>
      </c>
      <c r="C42">
        <v>0.15</v>
      </c>
      <c r="D42">
        <v>0</v>
      </c>
      <c r="E42">
        <v>3</v>
      </c>
      <c r="F42">
        <v>0.5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24" x14ac:dyDescent="0.2">
      <c r="A43" t="s">
        <v>89</v>
      </c>
      <c r="B43" t="s">
        <v>91</v>
      </c>
      <c r="C43">
        <v>0.15</v>
      </c>
      <c r="D43">
        <v>0</v>
      </c>
      <c r="E43">
        <v>3</v>
      </c>
      <c r="F43">
        <v>0.5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24" x14ac:dyDescent="0.2">
      <c r="A44" t="s">
        <v>89</v>
      </c>
      <c r="B44" t="s">
        <v>92</v>
      </c>
      <c r="C44">
        <v>0.67</v>
      </c>
      <c r="D44">
        <v>0</v>
      </c>
      <c r="E44">
        <v>13</v>
      </c>
      <c r="F44">
        <v>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24" x14ac:dyDescent="0.2">
      <c r="A45" t="s">
        <v>89</v>
      </c>
      <c r="B45" t="s">
        <v>93</v>
      </c>
      <c r="C45">
        <v>0.1</v>
      </c>
      <c r="D45">
        <v>0</v>
      </c>
      <c r="E45">
        <v>2</v>
      </c>
      <c r="F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24" x14ac:dyDescent="0.2">
      <c r="A46" t="s">
        <v>89</v>
      </c>
      <c r="B46" t="s">
        <v>94</v>
      </c>
      <c r="C46">
        <v>0.15</v>
      </c>
      <c r="D46">
        <v>0</v>
      </c>
      <c r="E46">
        <v>3</v>
      </c>
      <c r="F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24" x14ac:dyDescent="0.2">
      <c r="A47" t="s">
        <v>89</v>
      </c>
      <c r="B47" t="s">
        <v>95</v>
      </c>
      <c r="C47">
        <v>0.1</v>
      </c>
      <c r="D47">
        <v>0</v>
      </c>
      <c r="E47">
        <v>2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24" x14ac:dyDescent="0.2">
      <c r="A48" t="s">
        <v>89</v>
      </c>
      <c r="B48" t="s">
        <v>96</v>
      </c>
      <c r="C48">
        <v>1.32</v>
      </c>
      <c r="D48">
        <v>1</v>
      </c>
      <c r="E48">
        <v>6</v>
      </c>
      <c r="F48">
        <v>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97</v>
      </c>
      <c r="B49" t="s">
        <v>98</v>
      </c>
      <c r="C49">
        <v>0.05</v>
      </c>
      <c r="D49">
        <v>0</v>
      </c>
      <c r="E49">
        <v>1</v>
      </c>
      <c r="F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97</v>
      </c>
      <c r="B50" t="s">
        <v>99</v>
      </c>
      <c r="C50">
        <v>0.01</v>
      </c>
      <c r="D50">
        <v>0</v>
      </c>
      <c r="E50">
        <v>0</v>
      </c>
      <c r="F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97</v>
      </c>
      <c r="B51" t="s">
        <v>100</v>
      </c>
      <c r="C51">
        <v>0.01</v>
      </c>
      <c r="D51">
        <v>0</v>
      </c>
      <c r="E51">
        <v>0</v>
      </c>
      <c r="F51">
        <v>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97</v>
      </c>
      <c r="B52" t="s">
        <v>101</v>
      </c>
      <c r="C52">
        <v>0.01</v>
      </c>
      <c r="D52">
        <v>0</v>
      </c>
      <c r="E52">
        <v>0</v>
      </c>
      <c r="F52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97</v>
      </c>
      <c r="B53" t="s">
        <v>102</v>
      </c>
      <c r="C53">
        <v>0.01</v>
      </c>
      <c r="D53">
        <v>0</v>
      </c>
      <c r="E53">
        <v>0</v>
      </c>
      <c r="F53">
        <v>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97</v>
      </c>
      <c r="B54" t="s">
        <v>103</v>
      </c>
      <c r="C54">
        <v>0.03</v>
      </c>
      <c r="D54">
        <v>0</v>
      </c>
      <c r="E54">
        <v>0</v>
      </c>
      <c r="F54">
        <v>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97</v>
      </c>
      <c r="B55" t="s">
        <v>104</v>
      </c>
      <c r="C55">
        <v>0.01</v>
      </c>
      <c r="D55">
        <v>0</v>
      </c>
      <c r="E55">
        <v>0</v>
      </c>
      <c r="F55">
        <v>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97</v>
      </c>
      <c r="B56" t="s">
        <v>105</v>
      </c>
      <c r="C56">
        <v>0.05</v>
      </c>
      <c r="D56">
        <v>0</v>
      </c>
      <c r="E56">
        <v>1</v>
      </c>
      <c r="F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97</v>
      </c>
      <c r="B57" t="s">
        <v>106</v>
      </c>
      <c r="C57">
        <v>0.05</v>
      </c>
      <c r="D57">
        <v>0</v>
      </c>
      <c r="E57">
        <v>1</v>
      </c>
      <c r="F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97</v>
      </c>
      <c r="B58" t="s">
        <v>107</v>
      </c>
      <c r="C58">
        <v>0.01</v>
      </c>
      <c r="D58">
        <v>0</v>
      </c>
      <c r="E58">
        <v>0</v>
      </c>
      <c r="F58">
        <v>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97</v>
      </c>
      <c r="B59" t="s">
        <v>108</v>
      </c>
      <c r="C59">
        <v>0.04</v>
      </c>
      <c r="D59">
        <v>0</v>
      </c>
      <c r="E59">
        <v>0</v>
      </c>
      <c r="F59">
        <v>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">
      <c r="A60" t="s">
        <v>97</v>
      </c>
      <c r="B60" t="s">
        <v>109</v>
      </c>
      <c r="C60">
        <v>0.03</v>
      </c>
      <c r="D60">
        <v>0</v>
      </c>
      <c r="E60">
        <v>0</v>
      </c>
      <c r="F60">
        <v>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97</v>
      </c>
      <c r="B61" t="s">
        <v>110</v>
      </c>
      <c r="C61">
        <v>0.01</v>
      </c>
      <c r="D61">
        <v>0</v>
      </c>
      <c r="E61">
        <v>0</v>
      </c>
      <c r="F61">
        <v>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97</v>
      </c>
      <c r="B62" t="s">
        <v>111</v>
      </c>
      <c r="C62">
        <v>0.05</v>
      </c>
      <c r="D62">
        <v>0</v>
      </c>
      <c r="E62">
        <v>1</v>
      </c>
      <c r="F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97</v>
      </c>
      <c r="B63" t="s">
        <v>112</v>
      </c>
      <c r="C63">
        <v>0.01</v>
      </c>
      <c r="D63">
        <v>0</v>
      </c>
      <c r="E63">
        <v>0</v>
      </c>
      <c r="F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">
      <c r="A64" t="s">
        <v>97</v>
      </c>
      <c r="B64" t="s">
        <v>113</v>
      </c>
      <c r="C64">
        <v>0.33</v>
      </c>
      <c r="D64">
        <v>0</v>
      </c>
      <c r="E64">
        <v>6</v>
      </c>
      <c r="F64">
        <v>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97</v>
      </c>
      <c r="B65" t="s">
        <v>114</v>
      </c>
      <c r="C65">
        <v>0.05</v>
      </c>
      <c r="D65">
        <v>0</v>
      </c>
      <c r="E65">
        <v>1</v>
      </c>
      <c r="F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97</v>
      </c>
      <c r="B66" t="s">
        <v>115</v>
      </c>
      <c r="C66">
        <v>0.05</v>
      </c>
      <c r="D66">
        <v>0</v>
      </c>
      <c r="E66">
        <v>1</v>
      </c>
      <c r="F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97</v>
      </c>
      <c r="B67" t="s">
        <v>116</v>
      </c>
      <c r="C67">
        <v>0.03</v>
      </c>
      <c r="D67">
        <v>0</v>
      </c>
      <c r="E67">
        <v>0</v>
      </c>
      <c r="F67">
        <v>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97</v>
      </c>
      <c r="B68" t="s">
        <v>117</v>
      </c>
      <c r="C68">
        <v>0.05</v>
      </c>
      <c r="D68">
        <v>0</v>
      </c>
      <c r="E68">
        <v>1</v>
      </c>
      <c r="F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97</v>
      </c>
      <c r="B69" t="s">
        <v>118</v>
      </c>
      <c r="C69">
        <v>0.03</v>
      </c>
      <c r="D69">
        <v>0</v>
      </c>
      <c r="E69">
        <v>0</v>
      </c>
      <c r="F69">
        <v>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97</v>
      </c>
      <c r="B70" t="s">
        <v>119</v>
      </c>
      <c r="C70">
        <v>0.01</v>
      </c>
      <c r="D70">
        <v>0</v>
      </c>
      <c r="E70">
        <v>0</v>
      </c>
      <c r="F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97</v>
      </c>
      <c r="B71" t="s">
        <v>120</v>
      </c>
      <c r="C71">
        <v>0.03</v>
      </c>
      <c r="D71">
        <v>0</v>
      </c>
      <c r="E71">
        <v>0</v>
      </c>
      <c r="F71">
        <v>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97</v>
      </c>
      <c r="B72" t="s">
        <v>107</v>
      </c>
      <c r="C72">
        <v>0.01</v>
      </c>
      <c r="D72">
        <v>0</v>
      </c>
      <c r="E72">
        <v>0</v>
      </c>
      <c r="F72">
        <v>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97</v>
      </c>
      <c r="B73" t="s">
        <v>121</v>
      </c>
      <c r="C73">
        <v>0.01</v>
      </c>
      <c r="D73">
        <v>0</v>
      </c>
      <c r="E73">
        <v>0</v>
      </c>
      <c r="F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97</v>
      </c>
      <c r="B74" t="s">
        <v>122</v>
      </c>
      <c r="C74">
        <v>0.01</v>
      </c>
      <c r="D74">
        <v>0</v>
      </c>
      <c r="E74">
        <v>0</v>
      </c>
      <c r="F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97</v>
      </c>
      <c r="B75" t="s">
        <v>123</v>
      </c>
      <c r="C75">
        <v>0.99</v>
      </c>
      <c r="D75">
        <v>0</v>
      </c>
      <c r="E75">
        <v>19</v>
      </c>
      <c r="F75">
        <v>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 t="s">
        <v>124</v>
      </c>
      <c r="B76" t="s">
        <v>125</v>
      </c>
      <c r="C76">
        <v>2.31</v>
      </c>
      <c r="D76">
        <v>2</v>
      </c>
      <c r="E76">
        <v>6</v>
      </c>
      <c r="F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126</v>
      </c>
      <c r="B77" t="s">
        <v>127</v>
      </c>
      <c r="C77">
        <v>0</v>
      </c>
      <c r="D77">
        <v>0</v>
      </c>
      <c r="E77">
        <v>0</v>
      </c>
      <c r="F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128</v>
      </c>
      <c r="B78" t="s">
        <v>129</v>
      </c>
      <c r="C78">
        <v>24.95</v>
      </c>
      <c r="D78">
        <v>24</v>
      </c>
      <c r="E78">
        <v>18</v>
      </c>
      <c r="F78">
        <v>11.5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130</v>
      </c>
      <c r="B79" t="s">
        <v>131</v>
      </c>
      <c r="C79">
        <v>0.37</v>
      </c>
      <c r="D79">
        <v>0</v>
      </c>
      <c r="E79">
        <v>7</v>
      </c>
      <c r="F79">
        <v>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130</v>
      </c>
      <c r="B80" t="s">
        <v>132</v>
      </c>
      <c r="C80">
        <v>0.15</v>
      </c>
      <c r="D80">
        <v>0</v>
      </c>
      <c r="E80">
        <v>3</v>
      </c>
      <c r="F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26" x14ac:dyDescent="0.2">
      <c r="A81" t="s">
        <v>130</v>
      </c>
      <c r="B81" t="s">
        <v>133</v>
      </c>
      <c r="C81">
        <v>0.48</v>
      </c>
      <c r="D81">
        <v>0</v>
      </c>
      <c r="E81">
        <v>9</v>
      </c>
      <c r="F81">
        <v>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26" x14ac:dyDescent="0.2">
      <c r="A82" t="s">
        <v>130</v>
      </c>
      <c r="B82" t="s">
        <v>134</v>
      </c>
      <c r="C82">
        <v>7.0000000000000007E-2</v>
      </c>
      <c r="D82">
        <v>0</v>
      </c>
      <c r="E82">
        <v>1</v>
      </c>
      <c r="F82">
        <v>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26" x14ac:dyDescent="0.2">
      <c r="A83" t="s">
        <v>130</v>
      </c>
      <c r="B83" t="s">
        <v>135</v>
      </c>
      <c r="C83">
        <v>0.05</v>
      </c>
      <c r="D83">
        <v>0</v>
      </c>
      <c r="E83">
        <v>1</v>
      </c>
      <c r="F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26" x14ac:dyDescent="0.2">
      <c r="A84" t="s">
        <v>130</v>
      </c>
      <c r="B84" t="s">
        <v>136</v>
      </c>
      <c r="C84">
        <v>0.03</v>
      </c>
      <c r="D84">
        <v>0</v>
      </c>
      <c r="E84">
        <v>0</v>
      </c>
      <c r="F84">
        <v>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26" x14ac:dyDescent="0.2">
      <c r="A85" t="s">
        <v>130</v>
      </c>
      <c r="B85" t="s">
        <v>137</v>
      </c>
      <c r="C85">
        <v>0.01</v>
      </c>
      <c r="D85">
        <v>0</v>
      </c>
      <c r="E85">
        <v>0</v>
      </c>
      <c r="F85">
        <v>2.5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26" x14ac:dyDescent="0.2">
      <c r="A86" t="s">
        <v>130</v>
      </c>
      <c r="B86" t="s">
        <v>138</v>
      </c>
      <c r="C86">
        <v>0.23</v>
      </c>
      <c r="D86">
        <v>0</v>
      </c>
      <c r="E86">
        <v>4</v>
      </c>
      <c r="F86">
        <v>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26" x14ac:dyDescent="0.2">
      <c r="A87" t="s">
        <v>130</v>
      </c>
      <c r="B87" t="s">
        <v>139</v>
      </c>
      <c r="C87">
        <v>1.42</v>
      </c>
      <c r="D87">
        <v>1</v>
      </c>
      <c r="E87">
        <v>8</v>
      </c>
      <c r="F87">
        <v>5.5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26" x14ac:dyDescent="0.2">
      <c r="A88" t="s">
        <v>140</v>
      </c>
      <c r="B88" t="s">
        <v>141</v>
      </c>
      <c r="C88">
        <v>0.22</v>
      </c>
      <c r="D88">
        <v>0</v>
      </c>
      <c r="E88">
        <v>4</v>
      </c>
      <c r="F88">
        <v>4</v>
      </c>
      <c r="G88" t="s">
        <v>82</v>
      </c>
      <c r="H88">
        <v>1</v>
      </c>
      <c r="I88">
        <v>0</v>
      </c>
      <c r="J88">
        <v>1</v>
      </c>
      <c r="K88">
        <v>1</v>
      </c>
      <c r="L88">
        <v>0</v>
      </c>
      <c r="M88">
        <v>1</v>
      </c>
      <c r="N88">
        <v>0</v>
      </c>
    </row>
    <row r="89" spans="1:26" x14ac:dyDescent="0.2">
      <c r="A89" t="s">
        <v>140</v>
      </c>
      <c r="B89" t="s">
        <v>142</v>
      </c>
      <c r="C89">
        <v>2.65</v>
      </c>
      <c r="D89">
        <v>2</v>
      </c>
      <c r="E89">
        <v>13</v>
      </c>
      <c r="F89">
        <v>0</v>
      </c>
      <c r="G89" t="s">
        <v>84</v>
      </c>
      <c r="H89">
        <v>19</v>
      </c>
      <c r="I89">
        <v>0</v>
      </c>
      <c r="J89">
        <v>19</v>
      </c>
      <c r="K89">
        <v>19</v>
      </c>
      <c r="L89">
        <v>0</v>
      </c>
      <c r="M89">
        <v>19</v>
      </c>
      <c r="N89">
        <v>0</v>
      </c>
      <c r="O89">
        <v>8</v>
      </c>
      <c r="P89">
        <v>0</v>
      </c>
      <c r="Q89">
        <v>11</v>
      </c>
      <c r="R89">
        <v>0</v>
      </c>
      <c r="W89">
        <v>2</v>
      </c>
      <c r="X89">
        <v>6</v>
      </c>
      <c r="Y89">
        <v>3</v>
      </c>
      <c r="Z89">
        <v>0</v>
      </c>
    </row>
    <row r="90" spans="1:26" x14ac:dyDescent="0.2">
      <c r="A90" t="s">
        <v>140</v>
      </c>
      <c r="B90" t="s">
        <v>143</v>
      </c>
      <c r="C90">
        <v>2.87</v>
      </c>
      <c r="D90">
        <v>2</v>
      </c>
      <c r="E90">
        <v>17</v>
      </c>
      <c r="F90">
        <v>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26" x14ac:dyDescent="0.2">
      <c r="A91" t="s">
        <v>144</v>
      </c>
      <c r="B91" t="s">
        <v>145</v>
      </c>
      <c r="C91">
        <v>0.11</v>
      </c>
      <c r="D91">
        <v>0</v>
      </c>
      <c r="E91">
        <v>2</v>
      </c>
      <c r="F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26" x14ac:dyDescent="0.2">
      <c r="A92" t="s">
        <v>144</v>
      </c>
      <c r="B92" t="s">
        <v>146</v>
      </c>
      <c r="C92">
        <v>0.04</v>
      </c>
      <c r="D92">
        <v>0</v>
      </c>
      <c r="E92">
        <v>0</v>
      </c>
      <c r="F92">
        <v>10.5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26" x14ac:dyDescent="0.2">
      <c r="A93" t="s">
        <v>144</v>
      </c>
      <c r="B93" t="s">
        <v>147</v>
      </c>
      <c r="C93">
        <v>0</v>
      </c>
      <c r="D93">
        <v>0</v>
      </c>
      <c r="E93">
        <v>0</v>
      </c>
      <c r="F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26" x14ac:dyDescent="0.2">
      <c r="A94" t="s">
        <v>144</v>
      </c>
      <c r="B94" t="s">
        <v>148</v>
      </c>
      <c r="C94">
        <v>0.02</v>
      </c>
      <c r="D94">
        <v>0</v>
      </c>
      <c r="E94">
        <v>0</v>
      </c>
      <c r="F94">
        <v>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26" x14ac:dyDescent="0.2">
      <c r="A95" t="s">
        <v>144</v>
      </c>
      <c r="B95" t="s">
        <v>149</v>
      </c>
      <c r="C95">
        <v>0.01</v>
      </c>
      <c r="D95">
        <v>0</v>
      </c>
      <c r="E95">
        <v>0</v>
      </c>
      <c r="F95">
        <v>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26" x14ac:dyDescent="0.2">
      <c r="A96" t="s">
        <v>144</v>
      </c>
      <c r="B96" t="s">
        <v>150</v>
      </c>
      <c r="C96">
        <v>0.02</v>
      </c>
      <c r="D96">
        <v>0</v>
      </c>
      <c r="E96">
        <v>0</v>
      </c>
      <c r="F96">
        <v>4.5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">
      <c r="A97" t="s">
        <v>144</v>
      </c>
      <c r="B97" t="s">
        <v>151</v>
      </c>
      <c r="C97">
        <v>0.23</v>
      </c>
      <c r="D97">
        <v>0</v>
      </c>
      <c r="E97">
        <v>4</v>
      </c>
      <c r="F97">
        <v>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t="s">
        <v>152</v>
      </c>
      <c r="B98" t="s">
        <v>153</v>
      </c>
      <c r="C98">
        <v>7.0000000000000007E-2</v>
      </c>
      <c r="D98">
        <v>0</v>
      </c>
      <c r="E98">
        <v>1</v>
      </c>
      <c r="F98">
        <v>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">
      <c r="A99" t="s">
        <v>152</v>
      </c>
      <c r="B99" t="s">
        <v>154</v>
      </c>
      <c r="C99">
        <v>0.03</v>
      </c>
      <c r="D99">
        <v>0</v>
      </c>
      <c r="E99">
        <v>0</v>
      </c>
      <c r="F99">
        <v>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 t="s">
        <v>152</v>
      </c>
      <c r="B100" t="s">
        <v>155</v>
      </c>
      <c r="C100">
        <v>0.04</v>
      </c>
      <c r="D100">
        <v>0</v>
      </c>
      <c r="E100">
        <v>0</v>
      </c>
      <c r="F100">
        <v>9.5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t="s">
        <v>152</v>
      </c>
      <c r="B101" t="s">
        <v>156</v>
      </c>
      <c r="C101">
        <v>0.01</v>
      </c>
      <c r="D101">
        <v>0</v>
      </c>
      <c r="E101">
        <v>0</v>
      </c>
      <c r="F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t="s">
        <v>152</v>
      </c>
      <c r="B102" t="s">
        <v>157</v>
      </c>
      <c r="C102">
        <v>0.1</v>
      </c>
      <c r="D102">
        <v>0</v>
      </c>
      <c r="E102">
        <v>2</v>
      </c>
      <c r="F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158</v>
      </c>
      <c r="B103" t="s">
        <v>159</v>
      </c>
      <c r="C103">
        <v>0.02</v>
      </c>
      <c r="D103">
        <v>0</v>
      </c>
      <c r="E103">
        <v>0</v>
      </c>
      <c r="F103">
        <v>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158</v>
      </c>
      <c r="B104" t="s">
        <v>160</v>
      </c>
      <c r="C104">
        <v>0.08</v>
      </c>
      <c r="D104">
        <v>0</v>
      </c>
      <c r="E104">
        <v>1</v>
      </c>
      <c r="F104">
        <v>8</v>
      </c>
      <c r="H104">
        <v>0</v>
      </c>
      <c r="I104">
        <v>5</v>
      </c>
      <c r="J104">
        <v>0.625</v>
      </c>
      <c r="K104">
        <v>0.625</v>
      </c>
      <c r="L104">
        <v>0</v>
      </c>
      <c r="M104">
        <v>0</v>
      </c>
      <c r="N104">
        <v>5</v>
      </c>
    </row>
    <row r="105" spans="1:14" x14ac:dyDescent="0.2">
      <c r="A105" t="s">
        <v>158</v>
      </c>
      <c r="B105" t="s">
        <v>161</v>
      </c>
      <c r="C105">
        <v>0.02</v>
      </c>
      <c r="D105">
        <v>0</v>
      </c>
      <c r="E105">
        <v>0</v>
      </c>
      <c r="F105">
        <v>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158</v>
      </c>
      <c r="B106" t="s">
        <v>162</v>
      </c>
      <c r="C106">
        <v>7.0000000000000007E-2</v>
      </c>
      <c r="D106">
        <v>0</v>
      </c>
      <c r="E106">
        <v>1</v>
      </c>
      <c r="F106">
        <v>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158</v>
      </c>
      <c r="B107" t="s">
        <v>163</v>
      </c>
      <c r="C107">
        <v>0.02</v>
      </c>
      <c r="D107">
        <v>0</v>
      </c>
      <c r="E107">
        <v>0</v>
      </c>
      <c r="F107">
        <v>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158</v>
      </c>
      <c r="B108" t="s">
        <v>164</v>
      </c>
      <c r="C108">
        <v>0.3</v>
      </c>
      <c r="D108">
        <v>0</v>
      </c>
      <c r="E108">
        <v>6</v>
      </c>
      <c r="F108">
        <v>0.5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">
      <c r="A109" t="s">
        <v>158</v>
      </c>
      <c r="B109" t="s">
        <v>165</v>
      </c>
      <c r="C109">
        <v>0.22</v>
      </c>
      <c r="D109">
        <v>0</v>
      </c>
      <c r="E109">
        <v>4</v>
      </c>
      <c r="F109">
        <v>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 t="s">
        <v>158</v>
      </c>
      <c r="B110" t="s">
        <v>166</v>
      </c>
      <c r="C110">
        <v>1.01</v>
      </c>
      <c r="D110">
        <v>1</v>
      </c>
      <c r="E110">
        <v>0</v>
      </c>
      <c r="F110">
        <v>2.5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158</v>
      </c>
      <c r="B111" t="s">
        <v>167</v>
      </c>
      <c r="C111">
        <v>0.45</v>
      </c>
      <c r="D111">
        <v>0</v>
      </c>
      <c r="E111">
        <v>9</v>
      </c>
      <c r="F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">
      <c r="A112" t="s">
        <v>158</v>
      </c>
      <c r="B112" t="s">
        <v>168</v>
      </c>
      <c r="C112">
        <v>2.33</v>
      </c>
      <c r="D112">
        <v>2</v>
      </c>
      <c r="E112">
        <v>6</v>
      </c>
      <c r="F112">
        <v>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22" x14ac:dyDescent="0.2">
      <c r="A113" t="s">
        <v>169</v>
      </c>
      <c r="B113" t="s">
        <v>170</v>
      </c>
      <c r="C113">
        <v>0.27</v>
      </c>
      <c r="D113">
        <v>0</v>
      </c>
      <c r="E113">
        <v>5</v>
      </c>
      <c r="F113">
        <v>5.5</v>
      </c>
      <c r="G113" t="s">
        <v>171</v>
      </c>
      <c r="H113">
        <v>43</v>
      </c>
      <c r="I113">
        <v>2</v>
      </c>
      <c r="J113">
        <v>43.25</v>
      </c>
      <c r="K113">
        <v>8.75</v>
      </c>
      <c r="L113">
        <v>34.5</v>
      </c>
      <c r="M113">
        <v>8.5</v>
      </c>
      <c r="N113">
        <v>2</v>
      </c>
      <c r="O113">
        <v>20</v>
      </c>
      <c r="P113">
        <v>0</v>
      </c>
      <c r="Q113">
        <v>10</v>
      </c>
      <c r="R113">
        <v>0</v>
      </c>
      <c r="S113">
        <v>5</v>
      </c>
      <c r="T113">
        <v>0</v>
      </c>
      <c r="U113">
        <v>8</v>
      </c>
      <c r="V113">
        <v>0</v>
      </c>
    </row>
    <row r="114" spans="1:22" x14ac:dyDescent="0.2">
      <c r="A114" t="s">
        <v>172</v>
      </c>
      <c r="B114" t="s">
        <v>173</v>
      </c>
      <c r="C114">
        <v>0</v>
      </c>
      <c r="D114">
        <v>0</v>
      </c>
      <c r="E114">
        <v>0</v>
      </c>
      <c r="F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22" x14ac:dyDescent="0.2">
      <c r="A115" t="s">
        <v>172</v>
      </c>
      <c r="B115" t="s">
        <v>174</v>
      </c>
      <c r="C115">
        <v>0.08</v>
      </c>
      <c r="D115">
        <v>0</v>
      </c>
      <c r="E115">
        <v>1</v>
      </c>
      <c r="F115">
        <v>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22" x14ac:dyDescent="0.2">
      <c r="A116" t="s">
        <v>175</v>
      </c>
      <c r="B116" t="s">
        <v>176</v>
      </c>
      <c r="C116">
        <v>0.32</v>
      </c>
      <c r="D116">
        <v>0</v>
      </c>
      <c r="E116">
        <v>6</v>
      </c>
      <c r="F116">
        <v>4.5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22" x14ac:dyDescent="0.2">
      <c r="A117" t="s">
        <v>175</v>
      </c>
      <c r="B117" t="s">
        <v>177</v>
      </c>
      <c r="C117">
        <v>0.19</v>
      </c>
      <c r="D117">
        <v>0</v>
      </c>
      <c r="E117">
        <v>3</v>
      </c>
      <c r="F117">
        <v>10.5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22" x14ac:dyDescent="0.2">
      <c r="A118" t="s">
        <v>178</v>
      </c>
      <c r="B118" t="s">
        <v>179</v>
      </c>
      <c r="C118">
        <v>7.86</v>
      </c>
      <c r="D118">
        <v>7</v>
      </c>
      <c r="E118">
        <v>17</v>
      </c>
      <c r="F118">
        <v>1.5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22" x14ac:dyDescent="0.2">
      <c r="A119" t="s">
        <v>180</v>
      </c>
      <c r="B119" t="s">
        <v>181</v>
      </c>
      <c r="C119">
        <v>17.09</v>
      </c>
      <c r="D119">
        <v>17</v>
      </c>
      <c r="E119">
        <v>1</v>
      </c>
      <c r="F119">
        <v>10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22" x14ac:dyDescent="0.2">
      <c r="A120" t="s">
        <v>182</v>
      </c>
      <c r="B120" t="s">
        <v>183</v>
      </c>
      <c r="C120">
        <v>0</v>
      </c>
      <c r="D120">
        <v>0</v>
      </c>
      <c r="E120">
        <v>0</v>
      </c>
      <c r="F120">
        <v>0</v>
      </c>
      <c r="H120">
        <v>0</v>
      </c>
      <c r="I120">
        <v>6</v>
      </c>
      <c r="J120">
        <v>0.75</v>
      </c>
      <c r="K120">
        <v>0.75</v>
      </c>
      <c r="L120">
        <v>0</v>
      </c>
      <c r="M120">
        <v>0</v>
      </c>
      <c r="N120">
        <v>6</v>
      </c>
    </row>
    <row r="121" spans="1:22" x14ac:dyDescent="0.2">
      <c r="A121" t="s">
        <v>182</v>
      </c>
      <c r="B121" t="s">
        <v>184</v>
      </c>
      <c r="C121">
        <v>0</v>
      </c>
      <c r="D121">
        <v>0</v>
      </c>
      <c r="E121">
        <v>0</v>
      </c>
      <c r="F121">
        <v>0</v>
      </c>
      <c r="G121" t="s">
        <v>82</v>
      </c>
      <c r="H121">
        <v>8.5</v>
      </c>
      <c r="I121">
        <v>2</v>
      </c>
      <c r="J121">
        <v>8.75</v>
      </c>
      <c r="K121">
        <v>8.75</v>
      </c>
      <c r="L121">
        <v>0</v>
      </c>
      <c r="M121">
        <v>8.5</v>
      </c>
      <c r="N121">
        <v>2</v>
      </c>
    </row>
    <row r="122" spans="1:22" x14ac:dyDescent="0.2">
      <c r="A122" t="s">
        <v>182</v>
      </c>
      <c r="B122" t="s">
        <v>185</v>
      </c>
      <c r="C122">
        <v>0</v>
      </c>
      <c r="D122">
        <v>0</v>
      </c>
      <c r="E122">
        <v>0</v>
      </c>
      <c r="F122">
        <v>0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0</v>
      </c>
    </row>
    <row r="123" spans="1:22" x14ac:dyDescent="0.2">
      <c r="A123" t="s">
        <v>182</v>
      </c>
      <c r="B123" t="s">
        <v>186</v>
      </c>
      <c r="C123">
        <v>0</v>
      </c>
      <c r="D123">
        <v>0</v>
      </c>
      <c r="E123">
        <v>0</v>
      </c>
      <c r="F123">
        <v>0</v>
      </c>
      <c r="H123">
        <v>9.5</v>
      </c>
      <c r="I123">
        <v>2</v>
      </c>
      <c r="J123">
        <v>9.75</v>
      </c>
      <c r="K123">
        <v>9.75</v>
      </c>
      <c r="L123">
        <v>0</v>
      </c>
      <c r="M123">
        <v>9.5</v>
      </c>
      <c r="N123">
        <v>2</v>
      </c>
    </row>
    <row r="124" spans="1:22" x14ac:dyDescent="0.2">
      <c r="A124" t="s">
        <v>182</v>
      </c>
      <c r="B124" t="s">
        <v>187</v>
      </c>
      <c r="C124">
        <v>0</v>
      </c>
      <c r="D124">
        <v>0</v>
      </c>
      <c r="E124">
        <v>0</v>
      </c>
      <c r="F124">
        <v>0</v>
      </c>
      <c r="H124">
        <v>6</v>
      </c>
      <c r="I124">
        <v>6</v>
      </c>
      <c r="J124">
        <v>6.75</v>
      </c>
      <c r="K124">
        <v>3</v>
      </c>
      <c r="L124">
        <v>3.75</v>
      </c>
      <c r="M124">
        <v>3</v>
      </c>
      <c r="N124">
        <v>0</v>
      </c>
      <c r="O124">
        <v>0</v>
      </c>
      <c r="P124">
        <v>3</v>
      </c>
      <c r="Q124">
        <v>6</v>
      </c>
      <c r="R124">
        <v>3</v>
      </c>
    </row>
    <row r="125" spans="1:22" x14ac:dyDescent="0.2">
      <c r="A125" t="s">
        <v>188</v>
      </c>
      <c r="B125" t="s">
        <v>189</v>
      </c>
      <c r="C125">
        <v>0</v>
      </c>
      <c r="D125">
        <v>0</v>
      </c>
      <c r="E125">
        <v>0</v>
      </c>
      <c r="F125">
        <v>0</v>
      </c>
      <c r="H125">
        <v>39.5</v>
      </c>
      <c r="I125">
        <v>0</v>
      </c>
      <c r="J125">
        <v>39.5</v>
      </c>
      <c r="K125">
        <v>2</v>
      </c>
      <c r="L125">
        <v>37.5</v>
      </c>
      <c r="M125">
        <v>2</v>
      </c>
      <c r="N125">
        <v>0</v>
      </c>
      <c r="O125">
        <v>39.5</v>
      </c>
      <c r="P125">
        <v>0</v>
      </c>
    </row>
    <row r="126" spans="1:22" x14ac:dyDescent="0.2">
      <c r="A126" t="s">
        <v>188</v>
      </c>
      <c r="B126" t="s">
        <v>190</v>
      </c>
      <c r="C126">
        <v>0</v>
      </c>
      <c r="D126">
        <v>0</v>
      </c>
      <c r="E126">
        <v>0</v>
      </c>
      <c r="F126">
        <v>0</v>
      </c>
      <c r="H126">
        <v>19</v>
      </c>
      <c r="I126">
        <v>0</v>
      </c>
      <c r="J126">
        <v>19</v>
      </c>
      <c r="K126">
        <v>19</v>
      </c>
      <c r="L126">
        <v>0</v>
      </c>
      <c r="M126">
        <v>19</v>
      </c>
      <c r="N126">
        <v>0</v>
      </c>
    </row>
    <row r="127" spans="1:22" x14ac:dyDescent="0.2">
      <c r="A127" t="s">
        <v>188</v>
      </c>
      <c r="B127" t="s">
        <v>191</v>
      </c>
      <c r="C127">
        <v>0</v>
      </c>
      <c r="D127">
        <v>0</v>
      </c>
      <c r="E127">
        <v>0</v>
      </c>
      <c r="F127">
        <v>0</v>
      </c>
      <c r="H127">
        <v>58.5</v>
      </c>
      <c r="I127">
        <v>0</v>
      </c>
      <c r="J127">
        <v>58.5</v>
      </c>
      <c r="K127">
        <v>58.5</v>
      </c>
      <c r="L127">
        <v>0</v>
      </c>
      <c r="M127">
        <v>58.5</v>
      </c>
      <c r="N127">
        <v>0</v>
      </c>
    </row>
    <row r="128" spans="1:22" x14ac:dyDescent="0.2">
      <c r="A128" t="s">
        <v>188</v>
      </c>
      <c r="B128" t="s">
        <v>192</v>
      </c>
      <c r="C128">
        <v>0</v>
      </c>
      <c r="D128">
        <v>0</v>
      </c>
      <c r="E128">
        <v>0</v>
      </c>
      <c r="F128">
        <v>0</v>
      </c>
      <c r="H128">
        <v>19</v>
      </c>
      <c r="I128">
        <v>0</v>
      </c>
      <c r="J128">
        <v>19</v>
      </c>
      <c r="K128">
        <v>19</v>
      </c>
      <c r="L128">
        <v>0</v>
      </c>
      <c r="M128">
        <v>19</v>
      </c>
      <c r="N128">
        <v>0</v>
      </c>
    </row>
    <row r="129" spans="1:18" x14ac:dyDescent="0.2">
      <c r="A129" t="s">
        <v>188</v>
      </c>
      <c r="B129" t="s">
        <v>193</v>
      </c>
      <c r="C129">
        <v>0</v>
      </c>
      <c r="D129">
        <v>0</v>
      </c>
      <c r="E129">
        <v>0</v>
      </c>
      <c r="F129">
        <v>0</v>
      </c>
      <c r="H129">
        <v>0</v>
      </c>
      <c r="I129">
        <v>1</v>
      </c>
      <c r="J129">
        <v>0.125</v>
      </c>
      <c r="K129">
        <v>0.375</v>
      </c>
      <c r="L129">
        <v>-0.25</v>
      </c>
      <c r="M129">
        <v>0</v>
      </c>
      <c r="N129">
        <v>3</v>
      </c>
      <c r="O129">
        <v>0</v>
      </c>
      <c r="P129">
        <v>1</v>
      </c>
    </row>
    <row r="130" spans="1:18" x14ac:dyDescent="0.2">
      <c r="A130" t="s">
        <v>188</v>
      </c>
      <c r="B130" t="s">
        <v>194</v>
      </c>
      <c r="C130">
        <v>0</v>
      </c>
      <c r="D130">
        <v>0</v>
      </c>
      <c r="E130">
        <v>0</v>
      </c>
      <c r="F130">
        <v>0</v>
      </c>
      <c r="H130">
        <v>10</v>
      </c>
      <c r="I130">
        <v>3</v>
      </c>
      <c r="J130">
        <v>10.375</v>
      </c>
      <c r="K130">
        <v>10.375</v>
      </c>
      <c r="L130">
        <v>0</v>
      </c>
      <c r="M130">
        <v>10</v>
      </c>
      <c r="N130">
        <v>3</v>
      </c>
    </row>
    <row r="131" spans="1:18" x14ac:dyDescent="0.2">
      <c r="A131" t="s">
        <v>188</v>
      </c>
      <c r="B131" t="s">
        <v>147</v>
      </c>
      <c r="C131">
        <v>0</v>
      </c>
      <c r="D131">
        <v>0</v>
      </c>
      <c r="E131">
        <v>0</v>
      </c>
      <c r="F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8" x14ac:dyDescent="0.2">
      <c r="A132" t="s">
        <v>188</v>
      </c>
      <c r="B132" t="s">
        <v>195</v>
      </c>
      <c r="C132">
        <v>0</v>
      </c>
      <c r="D132">
        <v>0</v>
      </c>
      <c r="E132">
        <v>0</v>
      </c>
      <c r="F132">
        <v>0</v>
      </c>
      <c r="H132">
        <v>28</v>
      </c>
      <c r="I132">
        <v>4</v>
      </c>
      <c r="J132">
        <v>28.5</v>
      </c>
      <c r="K132">
        <v>0.625</v>
      </c>
      <c r="L132">
        <v>27.875</v>
      </c>
      <c r="M132">
        <v>0</v>
      </c>
      <c r="N132">
        <v>5</v>
      </c>
      <c r="O132">
        <v>28</v>
      </c>
      <c r="P132">
        <v>3</v>
      </c>
      <c r="Q132">
        <v>0</v>
      </c>
      <c r="R132">
        <v>1</v>
      </c>
    </row>
    <row r="133" spans="1:18" x14ac:dyDescent="0.2">
      <c r="A133" t="s">
        <v>196</v>
      </c>
      <c r="B133" t="s">
        <v>197</v>
      </c>
      <c r="C133">
        <v>0</v>
      </c>
      <c r="D133">
        <v>0</v>
      </c>
      <c r="E133">
        <v>0</v>
      </c>
      <c r="F133">
        <v>0</v>
      </c>
      <c r="H133">
        <v>0</v>
      </c>
      <c r="I133">
        <v>1</v>
      </c>
      <c r="J133">
        <v>0.125</v>
      </c>
      <c r="K133">
        <v>0.125</v>
      </c>
      <c r="L133">
        <v>0</v>
      </c>
      <c r="M133">
        <v>0</v>
      </c>
      <c r="N133">
        <v>1</v>
      </c>
    </row>
    <row r="134" spans="1:18" x14ac:dyDescent="0.2">
      <c r="A134" t="s">
        <v>196</v>
      </c>
      <c r="B134" t="s">
        <v>198</v>
      </c>
      <c r="C134">
        <v>0</v>
      </c>
      <c r="D134">
        <v>0</v>
      </c>
      <c r="E134">
        <v>0</v>
      </c>
      <c r="F134">
        <v>0</v>
      </c>
      <c r="H134">
        <v>19</v>
      </c>
      <c r="I134">
        <v>0</v>
      </c>
      <c r="J134">
        <v>19</v>
      </c>
      <c r="K134">
        <v>19</v>
      </c>
      <c r="L134">
        <v>0</v>
      </c>
      <c r="M134">
        <v>19</v>
      </c>
      <c r="N134">
        <v>0</v>
      </c>
    </row>
    <row r="135" spans="1:18" x14ac:dyDescent="0.2">
      <c r="A135" t="s">
        <v>196</v>
      </c>
      <c r="B135" t="s">
        <v>199</v>
      </c>
      <c r="C135">
        <v>0</v>
      </c>
      <c r="D135">
        <v>0</v>
      </c>
      <c r="E135">
        <v>0</v>
      </c>
      <c r="F135">
        <v>0</v>
      </c>
      <c r="H135">
        <v>7</v>
      </c>
      <c r="I135">
        <v>3</v>
      </c>
      <c r="J135">
        <v>7.375</v>
      </c>
      <c r="K135">
        <v>7.375</v>
      </c>
      <c r="L135">
        <v>0</v>
      </c>
      <c r="M135">
        <v>7</v>
      </c>
      <c r="N135">
        <v>3</v>
      </c>
    </row>
    <row r="136" spans="1:18" x14ac:dyDescent="0.2">
      <c r="A136" t="s">
        <v>196</v>
      </c>
      <c r="B136" t="s">
        <v>200</v>
      </c>
      <c r="C136">
        <v>0</v>
      </c>
      <c r="D136">
        <v>0</v>
      </c>
      <c r="E136">
        <v>0</v>
      </c>
      <c r="F136">
        <v>0</v>
      </c>
      <c r="H136">
        <v>0</v>
      </c>
      <c r="I136">
        <v>1</v>
      </c>
      <c r="J136">
        <v>0.125</v>
      </c>
      <c r="K136">
        <v>0.5</v>
      </c>
      <c r="L136">
        <v>-0.375</v>
      </c>
      <c r="M136">
        <v>0</v>
      </c>
      <c r="N136">
        <v>4</v>
      </c>
      <c r="O136">
        <v>0</v>
      </c>
      <c r="P136">
        <v>1</v>
      </c>
    </row>
    <row r="137" spans="1:18" x14ac:dyDescent="0.2">
      <c r="A137" t="s">
        <v>196</v>
      </c>
      <c r="B137" t="s">
        <v>201</v>
      </c>
      <c r="C137">
        <v>0</v>
      </c>
      <c r="D137">
        <v>0</v>
      </c>
      <c r="E137">
        <v>0</v>
      </c>
      <c r="F137">
        <v>0</v>
      </c>
      <c r="H137">
        <v>11.5</v>
      </c>
      <c r="I137">
        <v>1</v>
      </c>
      <c r="J137">
        <v>11.625</v>
      </c>
      <c r="K137">
        <v>11.625</v>
      </c>
      <c r="L137">
        <v>0</v>
      </c>
      <c r="M137">
        <v>11.5</v>
      </c>
      <c r="N137">
        <v>1</v>
      </c>
    </row>
    <row r="138" spans="1:18" x14ac:dyDescent="0.2">
      <c r="A138" t="s">
        <v>202</v>
      </c>
      <c r="B138" t="s">
        <v>203</v>
      </c>
      <c r="C138">
        <v>0</v>
      </c>
      <c r="D138">
        <v>0</v>
      </c>
      <c r="E138">
        <v>0</v>
      </c>
      <c r="F138">
        <v>0</v>
      </c>
      <c r="H138">
        <v>0</v>
      </c>
      <c r="I138">
        <v>2</v>
      </c>
      <c r="J138">
        <v>0.25</v>
      </c>
      <c r="K138">
        <v>0.25</v>
      </c>
      <c r="L138">
        <v>0</v>
      </c>
      <c r="M138">
        <v>0</v>
      </c>
      <c r="N138">
        <v>2</v>
      </c>
    </row>
    <row r="139" spans="1:18" x14ac:dyDescent="0.2">
      <c r="A139" t="s">
        <v>202</v>
      </c>
      <c r="B139" t="s">
        <v>204</v>
      </c>
      <c r="C139">
        <v>0</v>
      </c>
      <c r="D139">
        <v>0</v>
      </c>
      <c r="E139">
        <v>0</v>
      </c>
      <c r="F139">
        <v>0</v>
      </c>
      <c r="G139" t="s">
        <v>205</v>
      </c>
      <c r="H139">
        <v>20</v>
      </c>
      <c r="I139">
        <v>0</v>
      </c>
      <c r="J139">
        <v>20</v>
      </c>
      <c r="K139">
        <v>20</v>
      </c>
      <c r="L139">
        <v>0</v>
      </c>
      <c r="M139">
        <v>20</v>
      </c>
      <c r="N139">
        <v>0</v>
      </c>
    </row>
    <row r="140" spans="1:18" x14ac:dyDescent="0.2">
      <c r="A140" t="s">
        <v>202</v>
      </c>
      <c r="B140" t="s">
        <v>206</v>
      </c>
      <c r="C140">
        <v>0</v>
      </c>
      <c r="D140">
        <v>0</v>
      </c>
      <c r="E140">
        <v>0</v>
      </c>
      <c r="F140">
        <v>0</v>
      </c>
      <c r="H140">
        <v>15.5</v>
      </c>
      <c r="I140">
        <v>3</v>
      </c>
      <c r="J140">
        <v>15.875</v>
      </c>
      <c r="K140">
        <v>15.875</v>
      </c>
      <c r="L140">
        <v>0</v>
      </c>
      <c r="M140">
        <v>15.5</v>
      </c>
      <c r="N140">
        <v>3</v>
      </c>
    </row>
    <row r="141" spans="1:18" x14ac:dyDescent="0.2">
      <c r="A141" t="s">
        <v>202</v>
      </c>
      <c r="B141" t="s">
        <v>207</v>
      </c>
      <c r="C141">
        <v>0</v>
      </c>
      <c r="D141">
        <v>0</v>
      </c>
      <c r="E141">
        <v>0</v>
      </c>
      <c r="F141">
        <v>0</v>
      </c>
      <c r="H141">
        <v>0</v>
      </c>
      <c r="I141">
        <v>2</v>
      </c>
      <c r="J141">
        <v>0.25</v>
      </c>
      <c r="K141">
        <v>0.625</v>
      </c>
      <c r="L141">
        <v>-0.375</v>
      </c>
      <c r="M141">
        <v>0</v>
      </c>
      <c r="N141">
        <v>5</v>
      </c>
      <c r="O141">
        <v>0</v>
      </c>
      <c r="P141">
        <v>2</v>
      </c>
    </row>
    <row r="142" spans="1:18" x14ac:dyDescent="0.2">
      <c r="A142" t="s">
        <v>202</v>
      </c>
      <c r="B142" t="s">
        <v>147</v>
      </c>
      <c r="C142">
        <v>0</v>
      </c>
      <c r="D142">
        <v>0</v>
      </c>
      <c r="E142">
        <v>0</v>
      </c>
      <c r="F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8" x14ac:dyDescent="0.2">
      <c r="A143" t="s">
        <v>202</v>
      </c>
      <c r="B143" t="s">
        <v>208</v>
      </c>
      <c r="C143">
        <v>0</v>
      </c>
      <c r="D143">
        <v>0</v>
      </c>
      <c r="E143">
        <v>0</v>
      </c>
      <c r="F143">
        <v>0</v>
      </c>
      <c r="H143">
        <v>4</v>
      </c>
      <c r="I143">
        <v>1</v>
      </c>
      <c r="J143">
        <v>4.125</v>
      </c>
      <c r="K143">
        <v>4.125</v>
      </c>
      <c r="L143">
        <v>0</v>
      </c>
      <c r="M143">
        <v>4</v>
      </c>
      <c r="N143">
        <v>1</v>
      </c>
    </row>
    <row r="144" spans="1:18" x14ac:dyDescent="0.2">
      <c r="A144" t="s">
        <v>209</v>
      </c>
      <c r="B144" t="s">
        <v>210</v>
      </c>
      <c r="C144">
        <v>0</v>
      </c>
      <c r="D144">
        <v>0</v>
      </c>
      <c r="E144">
        <v>0</v>
      </c>
      <c r="F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 t="s">
        <v>209</v>
      </c>
      <c r="B145" t="s">
        <v>211</v>
      </c>
      <c r="C145">
        <v>0</v>
      </c>
      <c r="D145">
        <v>0</v>
      </c>
      <c r="E145">
        <v>0</v>
      </c>
      <c r="F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t="s">
        <v>209</v>
      </c>
      <c r="B146" t="s">
        <v>212</v>
      </c>
      <c r="C146">
        <v>0</v>
      </c>
      <c r="D146">
        <v>0</v>
      </c>
      <c r="E146">
        <v>0</v>
      </c>
      <c r="F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t="s">
        <v>209</v>
      </c>
      <c r="B147" t="s">
        <v>213</v>
      </c>
      <c r="C147">
        <v>0</v>
      </c>
      <c r="D147">
        <v>0</v>
      </c>
      <c r="E147">
        <v>0</v>
      </c>
      <c r="F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209</v>
      </c>
      <c r="B148" t="s">
        <v>214</v>
      </c>
      <c r="C148">
        <v>0</v>
      </c>
      <c r="D148">
        <v>0</v>
      </c>
      <c r="E148">
        <v>0</v>
      </c>
      <c r="F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209</v>
      </c>
      <c r="B149" t="s">
        <v>215</v>
      </c>
      <c r="C149">
        <v>0</v>
      </c>
      <c r="D149">
        <v>0</v>
      </c>
      <c r="E149">
        <v>0</v>
      </c>
      <c r="F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">
      <c r="A150" t="s">
        <v>209</v>
      </c>
      <c r="B150" t="s">
        <v>216</v>
      </c>
      <c r="C150">
        <v>0</v>
      </c>
      <c r="D150">
        <v>0</v>
      </c>
      <c r="E150">
        <v>0</v>
      </c>
      <c r="F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t="s">
        <v>209</v>
      </c>
      <c r="B151" t="s">
        <v>217</v>
      </c>
      <c r="C151">
        <v>0</v>
      </c>
      <c r="D151">
        <v>0</v>
      </c>
      <c r="E151">
        <v>0</v>
      </c>
      <c r="F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209</v>
      </c>
      <c r="B152" t="s">
        <v>218</v>
      </c>
      <c r="C152">
        <v>0</v>
      </c>
      <c r="D152">
        <v>0</v>
      </c>
      <c r="E152">
        <v>0</v>
      </c>
      <c r="F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t="s">
        <v>209</v>
      </c>
      <c r="B153" t="s">
        <v>213</v>
      </c>
      <c r="C153">
        <v>0</v>
      </c>
      <c r="D153">
        <v>0</v>
      </c>
      <c r="E153">
        <v>0</v>
      </c>
      <c r="F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">
      <c r="A154" t="s">
        <v>209</v>
      </c>
      <c r="B154" t="s">
        <v>219</v>
      </c>
      <c r="C154">
        <v>0</v>
      </c>
      <c r="D154">
        <v>0</v>
      </c>
      <c r="E154">
        <v>0</v>
      </c>
      <c r="F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209</v>
      </c>
      <c r="B155" t="s">
        <v>220</v>
      </c>
      <c r="C155">
        <v>0</v>
      </c>
      <c r="D155">
        <v>0</v>
      </c>
      <c r="E155">
        <v>0</v>
      </c>
      <c r="F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209</v>
      </c>
      <c r="B156" t="s">
        <v>221</v>
      </c>
      <c r="C156">
        <v>0</v>
      </c>
      <c r="D156">
        <v>0</v>
      </c>
      <c r="E156">
        <v>0</v>
      </c>
      <c r="F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209</v>
      </c>
      <c r="B157" t="s">
        <v>222</v>
      </c>
      <c r="C157">
        <v>0</v>
      </c>
      <c r="D157">
        <v>0</v>
      </c>
      <c r="E157">
        <v>0</v>
      </c>
      <c r="F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">
      <c r="A158" t="s">
        <v>209</v>
      </c>
      <c r="B158" t="s">
        <v>223</v>
      </c>
      <c r="C158">
        <v>0</v>
      </c>
      <c r="D158">
        <v>0</v>
      </c>
      <c r="E158">
        <v>0</v>
      </c>
      <c r="F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">
      <c r="A159" t="s">
        <v>209</v>
      </c>
      <c r="B159" t="s">
        <v>224</v>
      </c>
      <c r="C159">
        <v>0</v>
      </c>
      <c r="D159">
        <v>0</v>
      </c>
      <c r="E159">
        <v>0</v>
      </c>
      <c r="F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">
      <c r="A160" t="s">
        <v>209</v>
      </c>
      <c r="B160" t="s">
        <v>225</v>
      </c>
      <c r="C160">
        <v>0</v>
      </c>
      <c r="D160">
        <v>0</v>
      </c>
      <c r="E160">
        <v>0</v>
      </c>
      <c r="F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209</v>
      </c>
      <c r="B161" t="s">
        <v>226</v>
      </c>
      <c r="C161">
        <v>0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209</v>
      </c>
      <c r="B162" t="s">
        <v>227</v>
      </c>
      <c r="C162">
        <v>0</v>
      </c>
      <c r="D162">
        <v>0</v>
      </c>
      <c r="E162">
        <v>0</v>
      </c>
      <c r="F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">
      <c r="A163" t="s">
        <v>209</v>
      </c>
      <c r="B163" t="s">
        <v>228</v>
      </c>
      <c r="C163">
        <v>0</v>
      </c>
      <c r="D163">
        <v>0</v>
      </c>
      <c r="E163">
        <v>0</v>
      </c>
      <c r="F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t="s">
        <v>209</v>
      </c>
      <c r="B164" t="s">
        <v>226</v>
      </c>
      <c r="C164">
        <v>0</v>
      </c>
      <c r="D164">
        <v>0</v>
      </c>
      <c r="E164">
        <v>0</v>
      </c>
      <c r="F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 t="s">
        <v>209</v>
      </c>
      <c r="B165" t="s">
        <v>229</v>
      </c>
      <c r="C165">
        <v>0</v>
      </c>
      <c r="D165">
        <v>0</v>
      </c>
      <c r="E165">
        <v>0</v>
      </c>
      <c r="F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t="s">
        <v>209</v>
      </c>
      <c r="B166" t="s">
        <v>230</v>
      </c>
      <c r="C166">
        <v>0</v>
      </c>
      <c r="D166">
        <v>0</v>
      </c>
      <c r="E166">
        <v>0</v>
      </c>
      <c r="F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t="s">
        <v>209</v>
      </c>
      <c r="B167" t="s">
        <v>231</v>
      </c>
      <c r="C167">
        <v>0</v>
      </c>
      <c r="D167">
        <v>0</v>
      </c>
      <c r="E167">
        <v>0</v>
      </c>
      <c r="F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">
      <c r="A168" t="s">
        <v>209</v>
      </c>
      <c r="B168" t="s">
        <v>232</v>
      </c>
      <c r="C168">
        <v>0</v>
      </c>
      <c r="D168">
        <v>0</v>
      </c>
      <c r="E168">
        <v>0</v>
      </c>
      <c r="F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209</v>
      </c>
      <c r="B169" t="s">
        <v>233</v>
      </c>
      <c r="C169">
        <v>0</v>
      </c>
      <c r="D169">
        <v>0</v>
      </c>
      <c r="E169">
        <v>0</v>
      </c>
      <c r="F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 t="s">
        <v>209</v>
      </c>
      <c r="B170" t="s">
        <v>234</v>
      </c>
      <c r="C170">
        <v>0</v>
      </c>
      <c r="D170">
        <v>0</v>
      </c>
      <c r="E170">
        <v>0</v>
      </c>
      <c r="F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">
      <c r="A171" t="s">
        <v>209</v>
      </c>
      <c r="B171" t="s">
        <v>235</v>
      </c>
      <c r="C171">
        <v>0</v>
      </c>
      <c r="D171">
        <v>0</v>
      </c>
      <c r="E171">
        <v>0</v>
      </c>
      <c r="F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 t="s">
        <v>209</v>
      </c>
      <c r="B172" t="s">
        <v>236</v>
      </c>
      <c r="C172">
        <v>0</v>
      </c>
      <c r="D172">
        <v>0</v>
      </c>
      <c r="E172">
        <v>0</v>
      </c>
      <c r="F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">
      <c r="A173" t="s">
        <v>209</v>
      </c>
      <c r="B173" t="s">
        <v>237</v>
      </c>
      <c r="C173">
        <v>0</v>
      </c>
      <c r="D173">
        <v>0</v>
      </c>
      <c r="E173">
        <v>0</v>
      </c>
      <c r="F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 t="s">
        <v>209</v>
      </c>
      <c r="B174" t="s">
        <v>238</v>
      </c>
      <c r="C174">
        <v>0</v>
      </c>
      <c r="D174">
        <v>0</v>
      </c>
      <c r="E174">
        <v>0</v>
      </c>
      <c r="F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">
      <c r="A175" t="s">
        <v>209</v>
      </c>
      <c r="B175" t="s">
        <v>239</v>
      </c>
      <c r="C175">
        <v>0</v>
      </c>
      <c r="D175">
        <v>0</v>
      </c>
      <c r="E175">
        <v>0</v>
      </c>
      <c r="F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209</v>
      </c>
      <c r="B176" t="s">
        <v>240</v>
      </c>
      <c r="C176">
        <v>0</v>
      </c>
      <c r="D176">
        <v>0</v>
      </c>
      <c r="E176">
        <v>0</v>
      </c>
      <c r="F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209</v>
      </c>
      <c r="B177" t="s">
        <v>241</v>
      </c>
      <c r="C177">
        <v>0</v>
      </c>
      <c r="D177">
        <v>0</v>
      </c>
      <c r="E177">
        <v>0</v>
      </c>
      <c r="F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209</v>
      </c>
      <c r="B178" t="s">
        <v>242</v>
      </c>
      <c r="C178">
        <v>0</v>
      </c>
      <c r="D178">
        <v>0</v>
      </c>
      <c r="E178">
        <v>0</v>
      </c>
      <c r="F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209</v>
      </c>
      <c r="B179" t="s">
        <v>243</v>
      </c>
      <c r="C179">
        <v>0.28999999999999998</v>
      </c>
      <c r="D179">
        <v>0</v>
      </c>
      <c r="E179">
        <v>5</v>
      </c>
      <c r="F179">
        <v>10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209</v>
      </c>
      <c r="B180" t="s">
        <v>244</v>
      </c>
      <c r="C180">
        <v>0</v>
      </c>
      <c r="D180">
        <v>0</v>
      </c>
      <c r="E180">
        <v>0</v>
      </c>
      <c r="F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 t="s">
        <v>209</v>
      </c>
      <c r="B181" t="s">
        <v>235</v>
      </c>
      <c r="C181">
        <v>0</v>
      </c>
      <c r="D181">
        <v>0</v>
      </c>
      <c r="E181">
        <v>0</v>
      </c>
      <c r="F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209</v>
      </c>
      <c r="B182" t="s">
        <v>245</v>
      </c>
      <c r="C182">
        <v>0</v>
      </c>
      <c r="D182">
        <v>0</v>
      </c>
      <c r="E182">
        <v>0</v>
      </c>
      <c r="F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209</v>
      </c>
      <c r="B183" t="s">
        <v>246</v>
      </c>
      <c r="C183">
        <v>0</v>
      </c>
      <c r="D183">
        <v>0</v>
      </c>
      <c r="E183">
        <v>0</v>
      </c>
      <c r="F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209</v>
      </c>
      <c r="B184" t="s">
        <v>247</v>
      </c>
      <c r="C184">
        <v>0</v>
      </c>
      <c r="D184">
        <v>0</v>
      </c>
      <c r="E184">
        <v>0</v>
      </c>
      <c r="F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 t="s">
        <v>209</v>
      </c>
      <c r="B185" t="s">
        <v>248</v>
      </c>
      <c r="C185">
        <v>0</v>
      </c>
      <c r="D185">
        <v>0</v>
      </c>
      <c r="E185">
        <v>0</v>
      </c>
      <c r="F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">
      <c r="A186" t="s">
        <v>209</v>
      </c>
      <c r="B186" t="s">
        <v>249</v>
      </c>
      <c r="C186">
        <v>0</v>
      </c>
      <c r="D186">
        <v>0</v>
      </c>
      <c r="E186">
        <v>0</v>
      </c>
      <c r="F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 t="s">
        <v>209</v>
      </c>
      <c r="B187" t="s">
        <v>250</v>
      </c>
      <c r="C187">
        <v>0</v>
      </c>
      <c r="D187">
        <v>0</v>
      </c>
      <c r="E187">
        <v>0</v>
      </c>
      <c r="F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">
      <c r="A188" t="s">
        <v>209</v>
      </c>
      <c r="B188" t="s">
        <v>251</v>
      </c>
      <c r="C188">
        <v>0</v>
      </c>
      <c r="D188">
        <v>0</v>
      </c>
      <c r="E188">
        <v>0</v>
      </c>
      <c r="F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">
      <c r="A189" t="s">
        <v>209</v>
      </c>
      <c r="B189" t="s">
        <v>252</v>
      </c>
      <c r="C189">
        <v>0</v>
      </c>
      <c r="D189">
        <v>0</v>
      </c>
      <c r="E189">
        <v>0</v>
      </c>
      <c r="F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">
      <c r="A190" t="s">
        <v>209</v>
      </c>
      <c r="B190" t="s">
        <v>253</v>
      </c>
      <c r="C190">
        <v>0</v>
      </c>
      <c r="D190">
        <v>0</v>
      </c>
      <c r="E190">
        <v>0</v>
      </c>
      <c r="F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209</v>
      </c>
      <c r="B191" t="s">
        <v>254</v>
      </c>
      <c r="C191">
        <v>0</v>
      </c>
      <c r="D191">
        <v>0</v>
      </c>
      <c r="E191">
        <v>0</v>
      </c>
      <c r="F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">
      <c r="A192" t="s">
        <v>209</v>
      </c>
      <c r="B192" t="s">
        <v>255</v>
      </c>
      <c r="C192">
        <v>0</v>
      </c>
      <c r="D192">
        <v>0</v>
      </c>
      <c r="E192">
        <v>0</v>
      </c>
      <c r="F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209</v>
      </c>
      <c r="B193" t="s">
        <v>256</v>
      </c>
      <c r="C193">
        <v>0</v>
      </c>
      <c r="D193">
        <v>0</v>
      </c>
      <c r="E193">
        <v>0</v>
      </c>
      <c r="F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">
      <c r="A194" t="s">
        <v>209</v>
      </c>
      <c r="B194" t="s">
        <v>257</v>
      </c>
      <c r="C194">
        <v>0</v>
      </c>
      <c r="D194">
        <v>0</v>
      </c>
      <c r="E194">
        <v>0</v>
      </c>
      <c r="F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209</v>
      </c>
      <c r="B195" t="s">
        <v>253</v>
      </c>
      <c r="C195">
        <v>0</v>
      </c>
      <c r="D195">
        <v>0</v>
      </c>
      <c r="E195">
        <v>0</v>
      </c>
      <c r="F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209</v>
      </c>
      <c r="B196" t="s">
        <v>254</v>
      </c>
      <c r="C196">
        <v>0</v>
      </c>
      <c r="D196">
        <v>0</v>
      </c>
      <c r="E196">
        <v>0</v>
      </c>
      <c r="F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">
      <c r="A197" t="s">
        <v>209</v>
      </c>
      <c r="B197" t="s">
        <v>258</v>
      </c>
      <c r="C197">
        <v>0</v>
      </c>
      <c r="D197">
        <v>0</v>
      </c>
      <c r="E197">
        <v>0</v>
      </c>
      <c r="F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">
      <c r="A198" t="s">
        <v>209</v>
      </c>
      <c r="B198" t="s">
        <v>259</v>
      </c>
      <c r="C198">
        <v>0</v>
      </c>
      <c r="D198">
        <v>0</v>
      </c>
      <c r="E198">
        <v>0</v>
      </c>
      <c r="F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t="s">
        <v>209</v>
      </c>
      <c r="B199" t="s">
        <v>258</v>
      </c>
      <c r="C199">
        <v>0</v>
      </c>
      <c r="D199">
        <v>0</v>
      </c>
      <c r="E199">
        <v>0</v>
      </c>
      <c r="F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29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0</v>
      </c>
      <c r="B1" s="1" t="s">
        <v>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303</v>
      </c>
      <c r="AD1" s="1" t="s">
        <v>304</v>
      </c>
      <c r="AE1" s="1" t="s">
        <v>14</v>
      </c>
      <c r="AF1" s="1" t="s">
        <v>15</v>
      </c>
      <c r="AG1" s="1" t="s">
        <v>16</v>
      </c>
      <c r="AH1" s="1" t="s">
        <v>17</v>
      </c>
      <c r="AI1" s="1" t="s">
        <v>18</v>
      </c>
      <c r="AJ1" s="1" t="s">
        <v>19</v>
      </c>
      <c r="AK1" s="1" t="s">
        <v>20</v>
      </c>
      <c r="AL1" s="1" t="s">
        <v>21</v>
      </c>
    </row>
    <row r="2" spans="1:38" x14ac:dyDescent="0.2">
      <c r="A2" t="s">
        <v>180</v>
      </c>
      <c r="B2" t="s">
        <v>261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8" x14ac:dyDescent="0.2">
      <c r="A3" t="s">
        <v>182</v>
      </c>
      <c r="B3" t="s">
        <v>183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6</v>
      </c>
      <c r="Z3">
        <v>0.75</v>
      </c>
      <c r="AA3">
        <v>0.75</v>
      </c>
      <c r="AB3">
        <v>0</v>
      </c>
      <c r="AC3">
        <v>0</v>
      </c>
      <c r="AD3">
        <v>6</v>
      </c>
    </row>
    <row r="4" spans="1:38" x14ac:dyDescent="0.2">
      <c r="A4" t="s">
        <v>182</v>
      </c>
      <c r="B4" t="s">
        <v>184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8.5</v>
      </c>
      <c r="U4">
        <v>2</v>
      </c>
      <c r="V4">
        <v>8.75</v>
      </c>
      <c r="W4">
        <v>0</v>
      </c>
      <c r="X4">
        <v>8.5</v>
      </c>
      <c r="Y4">
        <v>2</v>
      </c>
      <c r="Z4">
        <v>8.75</v>
      </c>
      <c r="AA4">
        <v>8.75</v>
      </c>
      <c r="AB4">
        <v>0</v>
      </c>
      <c r="AC4">
        <v>8.5</v>
      </c>
      <c r="AD4">
        <v>2</v>
      </c>
    </row>
    <row r="5" spans="1:38" x14ac:dyDescent="0.2">
      <c r="A5" t="s">
        <v>182</v>
      </c>
      <c r="B5" t="s">
        <v>305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8" x14ac:dyDescent="0.2">
      <c r="A6" t="s">
        <v>182</v>
      </c>
      <c r="B6" t="s">
        <v>186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9.5</v>
      </c>
      <c r="Y6">
        <v>2</v>
      </c>
      <c r="Z6">
        <v>9.75</v>
      </c>
      <c r="AA6">
        <v>9.75</v>
      </c>
      <c r="AB6">
        <v>0</v>
      </c>
      <c r="AC6">
        <v>9.5</v>
      </c>
      <c r="AD6">
        <v>2</v>
      </c>
    </row>
    <row r="7" spans="1:38" x14ac:dyDescent="0.2">
      <c r="A7" t="s">
        <v>182</v>
      </c>
      <c r="B7" t="s">
        <v>187</v>
      </c>
      <c r="C7">
        <v>0</v>
      </c>
      <c r="D7">
        <v>0</v>
      </c>
      <c r="E7">
        <v>9</v>
      </c>
      <c r="F7">
        <v>6</v>
      </c>
      <c r="G7">
        <v>9.75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9</v>
      </c>
      <c r="R7">
        <v>6</v>
      </c>
      <c r="S7">
        <v>9.75</v>
      </c>
      <c r="T7">
        <v>0</v>
      </c>
      <c r="U7">
        <v>0</v>
      </c>
      <c r="V7">
        <v>0</v>
      </c>
      <c r="W7">
        <v>0</v>
      </c>
      <c r="X7">
        <v>6</v>
      </c>
      <c r="Y7">
        <v>6</v>
      </c>
      <c r="Z7">
        <v>6.75</v>
      </c>
      <c r="AA7">
        <v>3</v>
      </c>
      <c r="AB7">
        <v>3.75</v>
      </c>
      <c r="AC7">
        <v>3</v>
      </c>
      <c r="AD7">
        <v>0</v>
      </c>
      <c r="AE7">
        <v>0</v>
      </c>
      <c r="AF7">
        <v>3</v>
      </c>
      <c r="AG7">
        <v>6</v>
      </c>
      <c r="AH7">
        <v>3</v>
      </c>
    </row>
    <row r="8" spans="1:38" x14ac:dyDescent="0.2">
      <c r="A8" t="s">
        <v>182</v>
      </c>
      <c r="B8" t="s">
        <v>261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8" x14ac:dyDescent="0.2">
      <c r="A9" t="s">
        <v>188</v>
      </c>
      <c r="B9" t="s">
        <v>189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41.5</v>
      </c>
      <c r="U9">
        <v>0</v>
      </c>
      <c r="V9">
        <v>41.5</v>
      </c>
      <c r="W9">
        <v>0</v>
      </c>
      <c r="X9">
        <v>39.5</v>
      </c>
      <c r="Y9">
        <v>0</v>
      </c>
      <c r="Z9">
        <v>39.5</v>
      </c>
      <c r="AA9">
        <v>2</v>
      </c>
      <c r="AB9">
        <v>37.5</v>
      </c>
      <c r="AC9">
        <v>2</v>
      </c>
      <c r="AD9">
        <v>0</v>
      </c>
      <c r="AE9">
        <v>39.5</v>
      </c>
      <c r="AF9">
        <v>0</v>
      </c>
    </row>
    <row r="10" spans="1:38" x14ac:dyDescent="0.2">
      <c r="A10" t="s">
        <v>188</v>
      </c>
      <c r="B10" t="s">
        <v>190</v>
      </c>
      <c r="C10">
        <v>0</v>
      </c>
      <c r="D10">
        <v>0</v>
      </c>
      <c r="E10">
        <v>0</v>
      </c>
      <c r="F10">
        <v>0</v>
      </c>
      <c r="G10">
        <v>0</v>
      </c>
      <c r="H10">
        <v>19</v>
      </c>
      <c r="I10">
        <v>0</v>
      </c>
      <c r="J10">
        <v>19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19</v>
      </c>
      <c r="Y10">
        <v>0</v>
      </c>
      <c r="Z10">
        <v>19</v>
      </c>
      <c r="AA10">
        <v>19</v>
      </c>
      <c r="AB10">
        <v>0</v>
      </c>
      <c r="AC10">
        <v>19</v>
      </c>
      <c r="AD10">
        <v>0</v>
      </c>
    </row>
    <row r="11" spans="1:38" x14ac:dyDescent="0.2">
      <c r="A11" t="s">
        <v>188</v>
      </c>
      <c r="B11" t="s">
        <v>191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58.5</v>
      </c>
      <c r="Y11">
        <v>0</v>
      </c>
      <c r="Z11">
        <v>58.5</v>
      </c>
      <c r="AA11">
        <v>58.5</v>
      </c>
      <c r="AB11">
        <v>0</v>
      </c>
      <c r="AC11">
        <v>58.5</v>
      </c>
      <c r="AD11">
        <v>0</v>
      </c>
    </row>
    <row r="12" spans="1:38" x14ac:dyDescent="0.2">
      <c r="A12" t="s">
        <v>188</v>
      </c>
      <c r="B12" t="s">
        <v>192</v>
      </c>
      <c r="C12">
        <v>0</v>
      </c>
      <c r="D12">
        <v>0</v>
      </c>
      <c r="E12">
        <v>19</v>
      </c>
      <c r="F12">
        <v>0</v>
      </c>
      <c r="G12">
        <v>19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19</v>
      </c>
      <c r="Y12">
        <v>0</v>
      </c>
      <c r="Z12">
        <v>19</v>
      </c>
      <c r="AA12">
        <v>19</v>
      </c>
      <c r="AB12">
        <v>0</v>
      </c>
      <c r="AC12">
        <v>19</v>
      </c>
      <c r="AD12">
        <v>0</v>
      </c>
    </row>
    <row r="13" spans="1:38" x14ac:dyDescent="0.2">
      <c r="A13" t="s">
        <v>188</v>
      </c>
      <c r="B13" t="s">
        <v>193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0.125</v>
      </c>
      <c r="AA13">
        <v>0.375</v>
      </c>
      <c r="AB13">
        <v>-0.25</v>
      </c>
      <c r="AC13">
        <v>0</v>
      </c>
      <c r="AD13">
        <v>3</v>
      </c>
      <c r="AE13">
        <v>0</v>
      </c>
      <c r="AF13">
        <v>1</v>
      </c>
    </row>
    <row r="14" spans="1:38" x14ac:dyDescent="0.2">
      <c r="A14" t="s">
        <v>188</v>
      </c>
      <c r="B14" t="s">
        <v>194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10</v>
      </c>
      <c r="Y14">
        <v>3</v>
      </c>
      <c r="Z14">
        <v>10.375</v>
      </c>
      <c r="AA14">
        <v>10.375</v>
      </c>
      <c r="AB14">
        <v>0</v>
      </c>
      <c r="AC14">
        <v>10</v>
      </c>
      <c r="AD14">
        <v>3</v>
      </c>
    </row>
    <row r="15" spans="1:38" x14ac:dyDescent="0.2">
      <c r="A15" t="s">
        <v>188</v>
      </c>
      <c r="B15" t="s">
        <v>147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8" x14ac:dyDescent="0.2">
      <c r="A16" t="s">
        <v>188</v>
      </c>
      <c r="B16" t="s">
        <v>195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28</v>
      </c>
      <c r="R16">
        <v>3</v>
      </c>
      <c r="S16">
        <v>28.375</v>
      </c>
      <c r="T16">
        <v>0</v>
      </c>
      <c r="U16">
        <v>0</v>
      </c>
      <c r="V16">
        <v>0</v>
      </c>
      <c r="W16">
        <v>0</v>
      </c>
      <c r="X16">
        <v>28</v>
      </c>
      <c r="Y16">
        <v>4</v>
      </c>
      <c r="Z16">
        <v>28.5</v>
      </c>
      <c r="AA16">
        <v>0.625</v>
      </c>
      <c r="AB16">
        <v>27.875</v>
      </c>
      <c r="AC16">
        <v>0</v>
      </c>
      <c r="AD16">
        <v>5</v>
      </c>
      <c r="AE16">
        <v>28</v>
      </c>
      <c r="AF16">
        <v>3</v>
      </c>
      <c r="AG16">
        <v>0</v>
      </c>
      <c r="AH16">
        <v>1</v>
      </c>
    </row>
    <row r="17" spans="1:32" x14ac:dyDescent="0.2">
      <c r="A17" t="s">
        <v>188</v>
      </c>
      <c r="B17" t="s">
        <v>261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32" x14ac:dyDescent="0.2">
      <c r="A18" t="s">
        <v>196</v>
      </c>
      <c r="B18" t="s">
        <v>197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0.125</v>
      </c>
      <c r="AA18">
        <v>0.125</v>
      </c>
      <c r="AB18">
        <v>0</v>
      </c>
      <c r="AC18">
        <v>0</v>
      </c>
      <c r="AD18">
        <v>1</v>
      </c>
    </row>
    <row r="19" spans="1:32" x14ac:dyDescent="0.2">
      <c r="A19" t="s">
        <v>196</v>
      </c>
      <c r="B19" t="s">
        <v>198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19</v>
      </c>
      <c r="U19">
        <v>0</v>
      </c>
      <c r="V19">
        <v>19</v>
      </c>
      <c r="W19">
        <v>0</v>
      </c>
      <c r="X19">
        <v>19</v>
      </c>
      <c r="Y19">
        <v>0</v>
      </c>
      <c r="Z19">
        <v>19</v>
      </c>
      <c r="AA19">
        <v>19</v>
      </c>
      <c r="AB19">
        <v>0</v>
      </c>
      <c r="AC19">
        <v>19</v>
      </c>
      <c r="AD19">
        <v>0</v>
      </c>
    </row>
    <row r="20" spans="1:32" x14ac:dyDescent="0.2">
      <c r="A20" t="s">
        <v>196</v>
      </c>
      <c r="B20" t="s">
        <v>199</v>
      </c>
      <c r="C20">
        <v>0</v>
      </c>
      <c r="D20">
        <v>0</v>
      </c>
      <c r="E20">
        <v>7</v>
      </c>
      <c r="F20">
        <v>3</v>
      </c>
      <c r="G20">
        <v>7.375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</v>
      </c>
      <c r="Y20">
        <v>3</v>
      </c>
      <c r="Z20">
        <v>7.375</v>
      </c>
      <c r="AA20">
        <v>7.375</v>
      </c>
      <c r="AB20">
        <v>0</v>
      </c>
      <c r="AC20">
        <v>7</v>
      </c>
      <c r="AD20">
        <v>3</v>
      </c>
    </row>
    <row r="21" spans="1:32" x14ac:dyDescent="0.2">
      <c r="A21" t="s">
        <v>196</v>
      </c>
      <c r="B21" t="s">
        <v>200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0.125</v>
      </c>
      <c r="AA21">
        <v>0.5</v>
      </c>
      <c r="AB21">
        <v>-0.375</v>
      </c>
      <c r="AC21">
        <v>0</v>
      </c>
      <c r="AD21">
        <v>4</v>
      </c>
      <c r="AE21">
        <v>0</v>
      </c>
      <c r="AF21">
        <v>1</v>
      </c>
    </row>
    <row r="22" spans="1:32" x14ac:dyDescent="0.2">
      <c r="A22" t="s">
        <v>196</v>
      </c>
      <c r="B22" t="s">
        <v>201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11.5</v>
      </c>
      <c r="R22">
        <v>1</v>
      </c>
      <c r="S22">
        <v>11.625</v>
      </c>
      <c r="T22">
        <v>0</v>
      </c>
      <c r="U22">
        <v>0</v>
      </c>
      <c r="V22">
        <v>0</v>
      </c>
      <c r="W22">
        <v>0</v>
      </c>
      <c r="X22">
        <v>11.5</v>
      </c>
      <c r="Y22">
        <v>1</v>
      </c>
      <c r="Z22">
        <v>11.625</v>
      </c>
      <c r="AA22">
        <v>11.625</v>
      </c>
      <c r="AB22">
        <v>0</v>
      </c>
      <c r="AC22">
        <v>11.5</v>
      </c>
      <c r="AD22">
        <v>1</v>
      </c>
    </row>
    <row r="23" spans="1:32" x14ac:dyDescent="0.2">
      <c r="A23" t="s">
        <v>196</v>
      </c>
      <c r="B23" t="s">
        <v>261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32" x14ac:dyDescent="0.2">
      <c r="A24" t="s">
        <v>202</v>
      </c>
      <c r="B24" t="s">
        <v>203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0.25</v>
      </c>
      <c r="AA24">
        <v>0.25</v>
      </c>
      <c r="AB24">
        <v>0</v>
      </c>
      <c r="AC24">
        <v>0</v>
      </c>
      <c r="AD24">
        <v>2</v>
      </c>
    </row>
    <row r="25" spans="1:32" x14ac:dyDescent="0.2">
      <c r="A25" t="s">
        <v>202</v>
      </c>
      <c r="B25" t="s">
        <v>204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20</v>
      </c>
      <c r="U25">
        <v>0</v>
      </c>
      <c r="V25">
        <v>20</v>
      </c>
      <c r="W25">
        <v>0</v>
      </c>
      <c r="X25">
        <v>20</v>
      </c>
      <c r="Y25">
        <v>0</v>
      </c>
      <c r="Z25">
        <v>20</v>
      </c>
      <c r="AA25">
        <v>20</v>
      </c>
      <c r="AB25">
        <v>0</v>
      </c>
      <c r="AC25">
        <v>20</v>
      </c>
      <c r="AD25">
        <v>0</v>
      </c>
    </row>
    <row r="26" spans="1:32" x14ac:dyDescent="0.2">
      <c r="A26" t="s">
        <v>202</v>
      </c>
      <c r="B26" t="s">
        <v>206</v>
      </c>
      <c r="C26">
        <v>0</v>
      </c>
      <c r="D26">
        <v>0</v>
      </c>
      <c r="E26">
        <v>15.5</v>
      </c>
      <c r="F26">
        <v>3</v>
      </c>
      <c r="G26">
        <v>15.875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15.5</v>
      </c>
      <c r="Y26">
        <v>3</v>
      </c>
      <c r="Z26">
        <v>15.875</v>
      </c>
      <c r="AA26">
        <v>15.875</v>
      </c>
      <c r="AB26">
        <v>0</v>
      </c>
      <c r="AC26">
        <v>15.5</v>
      </c>
      <c r="AD26">
        <v>3</v>
      </c>
    </row>
    <row r="27" spans="1:32" x14ac:dyDescent="0.2">
      <c r="A27" t="s">
        <v>202</v>
      </c>
      <c r="B27" t="s">
        <v>207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</v>
      </c>
      <c r="Z27">
        <v>0.25</v>
      </c>
      <c r="AA27">
        <v>0.625</v>
      </c>
      <c r="AB27">
        <v>-0.375</v>
      </c>
      <c r="AC27">
        <v>0</v>
      </c>
      <c r="AD27">
        <v>5</v>
      </c>
      <c r="AE27">
        <v>0</v>
      </c>
      <c r="AF27">
        <v>2</v>
      </c>
    </row>
    <row r="28" spans="1:32" x14ac:dyDescent="0.2">
      <c r="A28" t="s">
        <v>202</v>
      </c>
      <c r="B28" t="s">
        <v>147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2" x14ac:dyDescent="0.2">
      <c r="A29" t="s">
        <v>202</v>
      </c>
      <c r="B29" t="s">
        <v>208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</v>
      </c>
      <c r="O29">
        <v>1</v>
      </c>
      <c r="P29">
        <v>4.125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</v>
      </c>
      <c r="Y29">
        <v>1</v>
      </c>
      <c r="Z29">
        <v>4.125</v>
      </c>
      <c r="AA29">
        <v>4.125</v>
      </c>
      <c r="AB29">
        <v>0</v>
      </c>
      <c r="AC29">
        <v>4</v>
      </c>
      <c r="AD2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6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313</v>
      </c>
      <c r="N1" s="1" t="s">
        <v>314</v>
      </c>
      <c r="O1" s="1" t="s">
        <v>22</v>
      </c>
      <c r="P1" s="1" t="s">
        <v>23</v>
      </c>
      <c r="Q1" s="1" t="s">
        <v>12</v>
      </c>
      <c r="R1" s="1" t="s">
        <v>13</v>
      </c>
      <c r="S1" s="1" t="s">
        <v>24</v>
      </c>
      <c r="T1" s="1" t="s">
        <v>25</v>
      </c>
      <c r="U1" s="1" t="s">
        <v>14</v>
      </c>
      <c r="V1" s="1" t="s">
        <v>15</v>
      </c>
      <c r="W1" s="1" t="s">
        <v>26</v>
      </c>
      <c r="X1" s="1" t="s">
        <v>27</v>
      </c>
      <c r="Y1" s="1" t="s">
        <v>16</v>
      </c>
      <c r="Z1" s="1" t="s">
        <v>17</v>
      </c>
      <c r="AA1" s="1" t="s">
        <v>28</v>
      </c>
      <c r="AB1" s="1" t="s">
        <v>29</v>
      </c>
      <c r="AC1" s="1" t="s">
        <v>18</v>
      </c>
      <c r="AD1" s="1" t="s">
        <v>19</v>
      </c>
      <c r="AE1" s="1" t="s">
        <v>315</v>
      </c>
      <c r="AF1" s="1" t="s">
        <v>316</v>
      </c>
      <c r="AG1" s="1" t="s">
        <v>317</v>
      </c>
      <c r="AH1" s="1" t="s">
        <v>318</v>
      </c>
      <c r="AI1" s="1" t="s">
        <v>319</v>
      </c>
      <c r="AJ1" s="1" t="s">
        <v>308</v>
      </c>
      <c r="AK1" s="1" t="s">
        <v>309</v>
      </c>
      <c r="AL1" s="1" t="s">
        <v>320</v>
      </c>
    </row>
    <row r="2" spans="1:38" x14ac:dyDescent="0.2">
      <c r="A2" t="s">
        <v>80</v>
      </c>
      <c r="B2" t="s">
        <v>81</v>
      </c>
      <c r="C2">
        <v>1.38</v>
      </c>
      <c r="D2">
        <v>1</v>
      </c>
      <c r="E2">
        <v>7</v>
      </c>
      <c r="F2">
        <v>7.5</v>
      </c>
      <c r="G2" t="s">
        <v>82</v>
      </c>
      <c r="H2">
        <v>6</v>
      </c>
      <c r="I2">
        <v>3</v>
      </c>
      <c r="J2">
        <v>6.375</v>
      </c>
      <c r="K2">
        <v>6.375</v>
      </c>
      <c r="L2">
        <v>0</v>
      </c>
      <c r="M2">
        <v>6</v>
      </c>
      <c r="N2">
        <v>3</v>
      </c>
      <c r="O2">
        <v>4</v>
      </c>
      <c r="P2">
        <v>4</v>
      </c>
      <c r="AE2">
        <v>0.2166666666666667</v>
      </c>
      <c r="AI2">
        <v>6.375</v>
      </c>
      <c r="AJ2">
        <v>0.2166666666666667</v>
      </c>
      <c r="AK2">
        <v>0.2166666666666667</v>
      </c>
      <c r="AL2" t="s">
        <v>82</v>
      </c>
    </row>
    <row r="3" spans="1:38" x14ac:dyDescent="0.2">
      <c r="A3" t="s">
        <v>80</v>
      </c>
      <c r="B3" t="s">
        <v>83</v>
      </c>
      <c r="C3">
        <v>3.55</v>
      </c>
      <c r="D3">
        <v>3</v>
      </c>
      <c r="E3">
        <v>10</v>
      </c>
      <c r="F3">
        <v>11.25</v>
      </c>
      <c r="G3" t="s">
        <v>84</v>
      </c>
      <c r="H3">
        <v>28</v>
      </c>
      <c r="I3">
        <v>3</v>
      </c>
      <c r="J3">
        <v>28.375</v>
      </c>
      <c r="K3">
        <v>28.375</v>
      </c>
      <c r="L3">
        <v>0</v>
      </c>
      <c r="M3">
        <v>28</v>
      </c>
      <c r="N3">
        <v>3</v>
      </c>
      <c r="O3">
        <v>2</v>
      </c>
      <c r="P3">
        <v>6</v>
      </c>
      <c r="AE3">
        <v>0.125</v>
      </c>
      <c r="AI3">
        <v>28.375</v>
      </c>
      <c r="AJ3">
        <v>0.125</v>
      </c>
      <c r="AK3">
        <v>0.125</v>
      </c>
      <c r="AL3" t="s">
        <v>84</v>
      </c>
    </row>
    <row r="4" spans="1:38" x14ac:dyDescent="0.2">
      <c r="A4" t="s">
        <v>80</v>
      </c>
      <c r="B4" t="s">
        <v>85</v>
      </c>
      <c r="C4">
        <v>0.02</v>
      </c>
      <c r="D4">
        <v>0</v>
      </c>
      <c r="E4">
        <v>0</v>
      </c>
      <c r="F4">
        <v>3.75</v>
      </c>
      <c r="H4">
        <v>0</v>
      </c>
      <c r="I4">
        <v>1</v>
      </c>
      <c r="J4">
        <v>0.125</v>
      </c>
      <c r="K4">
        <v>0.125</v>
      </c>
      <c r="L4">
        <v>0</v>
      </c>
      <c r="M4">
        <v>0</v>
      </c>
      <c r="N4">
        <v>1</v>
      </c>
      <c r="AE4">
        <v>0.16</v>
      </c>
      <c r="AI4">
        <v>0.125</v>
      </c>
      <c r="AJ4">
        <v>0.16</v>
      </c>
      <c r="AK4">
        <v>0.16</v>
      </c>
    </row>
    <row r="5" spans="1:38" x14ac:dyDescent="0.2">
      <c r="A5" t="s">
        <v>80</v>
      </c>
      <c r="B5" t="s">
        <v>86</v>
      </c>
      <c r="C5">
        <v>1.94</v>
      </c>
      <c r="D5">
        <v>1</v>
      </c>
      <c r="E5">
        <v>18</v>
      </c>
      <c r="F5">
        <v>9</v>
      </c>
      <c r="G5" t="s">
        <v>87</v>
      </c>
      <c r="H5">
        <v>11.5</v>
      </c>
      <c r="I5">
        <v>1</v>
      </c>
      <c r="J5">
        <v>11.625</v>
      </c>
      <c r="K5">
        <v>11.625</v>
      </c>
      <c r="L5">
        <v>0</v>
      </c>
      <c r="M5">
        <v>11.5</v>
      </c>
      <c r="N5">
        <v>1</v>
      </c>
      <c r="O5">
        <v>3</v>
      </c>
      <c r="P5">
        <v>4</v>
      </c>
      <c r="AE5">
        <v>0.16666666666666671</v>
      </c>
      <c r="AI5">
        <v>11.625</v>
      </c>
      <c r="AJ5">
        <v>0.16666666666666671</v>
      </c>
      <c r="AK5">
        <v>0.16666666666666671</v>
      </c>
      <c r="AL5" t="s">
        <v>87</v>
      </c>
    </row>
    <row r="6" spans="1:38" x14ac:dyDescent="0.2">
      <c r="A6" t="s">
        <v>80</v>
      </c>
      <c r="B6" t="s">
        <v>88</v>
      </c>
      <c r="C6">
        <v>6.88</v>
      </c>
      <c r="D6">
        <v>6</v>
      </c>
      <c r="E6">
        <v>17</v>
      </c>
      <c r="F6">
        <v>7.5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AE6" t="s">
        <v>321</v>
      </c>
      <c r="AI6">
        <v>0</v>
      </c>
      <c r="AJ6" t="s">
        <v>321</v>
      </c>
      <c r="AK6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Receipts</vt:lpstr>
      <vt:lpstr>Expenses</vt:lpstr>
      <vt:lpstr>Issues of the Grange</vt:lpstr>
      <vt:lpstr>Issues of the Mills</vt:lpstr>
      <vt:lpstr>Stock</vt:lpstr>
      <vt:lpstr>raw data</vt:lpstr>
      <vt:lpstr>Issues of the Grange raw</vt:lpstr>
      <vt:lpstr>Sale of Corn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2024-04-19T11:10:11Z</dcterms:created>
  <dcterms:modified xsi:type="dcterms:W3CDTF">2025-09-30T14:05:08Z</dcterms:modified>
</cp:coreProperties>
</file>
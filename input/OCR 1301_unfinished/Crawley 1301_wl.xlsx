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D5EE7C7C-96CC-CB4D-A281-2F5E503181E7}" xr6:coauthVersionLast="47" xr6:coauthVersionMax="47" xr10:uidLastSave="{00000000-0000-0000-0000-000000000000}"/>
  <bookViews>
    <workbookView xWindow="4780" yWindow="500" windowWidth="23340" windowHeight="16560" activeTab="4" xr2:uid="{23B83A58-82C6-F74F-B690-D0207AADBAFA}"/>
  </bookViews>
  <sheets>
    <sheet name="Crawley Overview" sheetId="5" r:id="rId1"/>
    <sheet name="Crawley Receipts" sheetId="1" r:id="rId2"/>
    <sheet name="Crawley Expenses" sheetId="2" r:id="rId3"/>
    <sheet name="Issues of the Grange" sheetId="4" r:id="rId4"/>
    <sheet name="Stock" sheetId="6" r:id="rId5"/>
    <sheet name="Assump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0" i="6" l="1"/>
  <c r="S87" i="6"/>
  <c r="S71" i="6"/>
  <c r="S63" i="6"/>
  <c r="G15" i="5"/>
  <c r="B154" i="5"/>
  <c r="G9" i="5" l="1"/>
  <c r="B75" i="2"/>
  <c r="F75" i="2"/>
  <c r="F109" i="1"/>
  <c r="Q26" i="6"/>
  <c r="R26" i="6" s="1"/>
  <c r="Q27" i="6"/>
  <c r="R27" i="6" s="1"/>
  <c r="Q28" i="6"/>
  <c r="R28" i="6" s="1"/>
  <c r="Q29" i="6"/>
  <c r="R29" i="6" s="1"/>
  <c r="D54" i="6"/>
  <c r="G54" i="6"/>
  <c r="P86" i="6"/>
  <c r="M86" i="6" s="1"/>
  <c r="P37" i="6"/>
  <c r="M37" i="6"/>
  <c r="G37" i="6"/>
  <c r="D37" i="6"/>
  <c r="K37" i="6" s="1"/>
  <c r="P36" i="6"/>
  <c r="P35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1" i="6"/>
  <c r="K32" i="6"/>
  <c r="K33" i="6"/>
  <c r="K34" i="6"/>
  <c r="K35" i="6"/>
  <c r="K36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6" i="6"/>
  <c r="K87" i="6"/>
  <c r="K88" i="6"/>
  <c r="K90" i="6"/>
  <c r="K91" i="6"/>
  <c r="K92" i="6"/>
  <c r="K93" i="6"/>
  <c r="K94" i="6"/>
  <c r="K95" i="6"/>
  <c r="K4" i="6"/>
  <c r="H23" i="4"/>
  <c r="G23" i="4"/>
  <c r="H22" i="4"/>
  <c r="G22" i="4"/>
  <c r="I21" i="4" l="1"/>
  <c r="E21" i="4"/>
  <c r="L8" i="4"/>
  <c r="F7" i="4"/>
  <c r="J7" i="4" s="1"/>
  <c r="O7" i="4"/>
  <c r="N21" i="4" s="1"/>
  <c r="I7" i="4"/>
  <c r="C101" i="2"/>
  <c r="D101" i="2"/>
  <c r="B101" i="2"/>
  <c r="B104" i="2" s="1"/>
  <c r="F96" i="2"/>
  <c r="F97" i="2"/>
  <c r="F98" i="2"/>
  <c r="F99" i="2"/>
  <c r="C92" i="2"/>
  <c r="C104" i="2" s="1"/>
  <c r="D92" i="2"/>
  <c r="B92" i="2"/>
  <c r="F89" i="2"/>
  <c r="F90" i="2"/>
  <c r="C84" i="2"/>
  <c r="D84" i="2"/>
  <c r="C75" i="2"/>
  <c r="D75" i="2"/>
  <c r="C74" i="2"/>
  <c r="D74" i="2"/>
  <c r="C63" i="2"/>
  <c r="D63" i="2"/>
  <c r="B63" i="2"/>
  <c r="C62" i="2"/>
  <c r="D62" i="2"/>
  <c r="D104" i="2" s="1"/>
  <c r="B62" i="2"/>
  <c r="F60" i="2"/>
  <c r="F50" i="2"/>
  <c r="F51" i="2"/>
  <c r="F52" i="2"/>
  <c r="F53" i="2"/>
  <c r="F54" i="2"/>
  <c r="F55" i="2"/>
  <c r="F56" i="2"/>
  <c r="F57" i="2"/>
  <c r="F58" i="2"/>
  <c r="F59" i="2"/>
  <c r="C42" i="2"/>
  <c r="D42" i="2"/>
  <c r="D108" i="2" s="1"/>
  <c r="B42" i="2"/>
  <c r="B108" i="2" s="1"/>
  <c r="C41" i="2"/>
  <c r="D41" i="2"/>
  <c r="C24" i="2"/>
  <c r="D24" i="2"/>
  <c r="B24" i="2"/>
  <c r="F23" i="2"/>
  <c r="F22" i="2"/>
  <c r="F21" i="2"/>
  <c r="C18" i="2"/>
  <c r="C108" i="2" s="1"/>
  <c r="D18" i="2"/>
  <c r="B18" i="2"/>
  <c r="C17" i="2"/>
  <c r="D17" i="2"/>
  <c r="B17" i="2"/>
  <c r="C105" i="1"/>
  <c r="D105" i="1"/>
  <c r="B105" i="1"/>
  <c r="F104" i="1"/>
  <c r="F103" i="1"/>
  <c r="F102" i="1"/>
  <c r="F101" i="1"/>
  <c r="F85" i="1"/>
  <c r="K9" i="4" s="1"/>
  <c r="O9" i="4" s="1"/>
  <c r="C90" i="1"/>
  <c r="D90" i="1"/>
  <c r="B90" i="1"/>
  <c r="C44" i="1"/>
  <c r="D44" i="1"/>
  <c r="C79" i="1"/>
  <c r="D79" i="1"/>
  <c r="B79" i="1"/>
  <c r="C34" i="1"/>
  <c r="D34" i="1"/>
  <c r="B34" i="1"/>
  <c r="C23" i="1"/>
  <c r="D23" i="1"/>
  <c r="B23" i="1"/>
  <c r="C14" i="1"/>
  <c r="D14" i="1"/>
  <c r="B14" i="1"/>
  <c r="I25" i="4"/>
  <c r="G139" i="5"/>
  <c r="C146" i="5"/>
  <c r="B146" i="5"/>
  <c r="C145" i="5"/>
  <c r="B145" i="5"/>
  <c r="C144" i="5"/>
  <c r="B144" i="5"/>
  <c r="F139" i="5"/>
  <c r="C138" i="5"/>
  <c r="B138" i="5"/>
  <c r="C137" i="5"/>
  <c r="B137" i="5"/>
  <c r="C132" i="5"/>
  <c r="B132" i="5"/>
  <c r="C131" i="5"/>
  <c r="B131" i="5"/>
  <c r="C130" i="5"/>
  <c r="B130" i="5"/>
  <c r="C129" i="5"/>
  <c r="B129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0" i="5"/>
  <c r="B100" i="5"/>
  <c r="C99" i="5"/>
  <c r="B99" i="5"/>
  <c r="C98" i="5"/>
  <c r="B98" i="5"/>
  <c r="C97" i="5"/>
  <c r="B97" i="5"/>
  <c r="C96" i="5"/>
  <c r="B96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F110" i="1"/>
  <c r="G16" i="5" s="1"/>
  <c r="Q4" i="6"/>
  <c r="Q5" i="6"/>
  <c r="Q6" i="6"/>
  <c r="Q7" i="6"/>
  <c r="S7" i="6" s="1"/>
  <c r="F69" i="5" s="1"/>
  <c r="Q8" i="6"/>
  <c r="R8" i="6" s="1"/>
  <c r="Q9" i="6"/>
  <c r="S9" i="6" s="1"/>
  <c r="F71" i="5" s="1"/>
  <c r="Q10" i="6"/>
  <c r="S10" i="6" s="1"/>
  <c r="F72" i="5" s="1"/>
  <c r="Q11" i="6"/>
  <c r="Q12" i="6"/>
  <c r="R12" i="6" s="1"/>
  <c r="G74" i="5" s="1"/>
  <c r="Q13" i="6"/>
  <c r="Q14" i="6"/>
  <c r="Q15" i="6"/>
  <c r="S15" i="6" s="1"/>
  <c r="F77" i="5" s="1"/>
  <c r="Q16" i="6"/>
  <c r="R16" i="6" s="1"/>
  <c r="G78" i="5" s="1"/>
  <c r="Q19" i="6"/>
  <c r="S19" i="6" s="1"/>
  <c r="F81" i="5" s="1"/>
  <c r="Q21" i="6"/>
  <c r="Q22" i="6"/>
  <c r="Q23" i="6"/>
  <c r="S23" i="6" s="1"/>
  <c r="F85" i="5" s="1"/>
  <c r="Q24" i="6"/>
  <c r="R24" i="6" s="1"/>
  <c r="G86" i="5" s="1"/>
  <c r="G90" i="5"/>
  <c r="Q31" i="6"/>
  <c r="S31" i="6" s="1"/>
  <c r="Q32" i="6"/>
  <c r="R32" i="6" s="1"/>
  <c r="Q33" i="6"/>
  <c r="S33" i="6" s="1"/>
  <c r="Q34" i="6"/>
  <c r="S34" i="6" s="1"/>
  <c r="F96" i="5" s="1"/>
  <c r="S35" i="6"/>
  <c r="R36" i="6"/>
  <c r="G98" i="5" s="1"/>
  <c r="Q38" i="6"/>
  <c r="Q39" i="6"/>
  <c r="Q40" i="6"/>
  <c r="S40" i="6" s="1"/>
  <c r="Q41" i="6"/>
  <c r="R41" i="6" s="1"/>
  <c r="Q42" i="6"/>
  <c r="Q44" i="6"/>
  <c r="Q49" i="6"/>
  <c r="R49" i="6" s="1"/>
  <c r="G111" i="5" s="1"/>
  <c r="Q50" i="6"/>
  <c r="Q51" i="6"/>
  <c r="Q52" i="6"/>
  <c r="R52" i="6" s="1"/>
  <c r="G114" i="5" s="1"/>
  <c r="Q53" i="6"/>
  <c r="S53" i="6" s="1"/>
  <c r="F115" i="5" s="1"/>
  <c r="Q55" i="6"/>
  <c r="R55" i="6" s="1"/>
  <c r="G117" i="5" s="1"/>
  <c r="Q56" i="6"/>
  <c r="S56" i="6" s="1"/>
  <c r="F118" i="5" s="1"/>
  <c r="Q57" i="6"/>
  <c r="S57" i="6" s="1"/>
  <c r="F119" i="5" s="1"/>
  <c r="Q58" i="6"/>
  <c r="S58" i="6" s="1"/>
  <c r="F120" i="5" s="1"/>
  <c r="Q61" i="6"/>
  <c r="S61" i="6" s="1"/>
  <c r="F123" i="5" s="1"/>
  <c r="Q62" i="6"/>
  <c r="Q64" i="6"/>
  <c r="Q65" i="6"/>
  <c r="Q66" i="6"/>
  <c r="S66" i="6" s="1"/>
  <c r="Q68" i="6"/>
  <c r="S68" i="6" s="1"/>
  <c r="F130" i="5" s="1"/>
  <c r="Q69" i="6"/>
  <c r="S69" i="6" s="1"/>
  <c r="F131" i="5" s="1"/>
  <c r="Q70" i="6"/>
  <c r="S70" i="6" s="1"/>
  <c r="F132" i="5" s="1"/>
  <c r="Q71" i="6"/>
  <c r="Q72" i="6"/>
  <c r="Q73" i="6"/>
  <c r="S73" i="6" s="1"/>
  <c r="Q74" i="6"/>
  <c r="S74" i="6" s="1"/>
  <c r="F137" i="5" s="1"/>
  <c r="Q75" i="6"/>
  <c r="R75" i="6" s="1"/>
  <c r="G138" i="5" s="1"/>
  <c r="Q76" i="6"/>
  <c r="S76" i="6" s="1"/>
  <c r="Q77" i="6"/>
  <c r="R77" i="6" s="1"/>
  <c r="Q78" i="6"/>
  <c r="S78" i="6" s="1"/>
  <c r="Q79" i="6"/>
  <c r="Q80" i="6"/>
  <c r="S80" i="6" s="1"/>
  <c r="Q81" i="6"/>
  <c r="R81" i="6" s="1"/>
  <c r="Q82" i="6"/>
  <c r="S82" i="6" s="1"/>
  <c r="Q83" i="6"/>
  <c r="S83" i="6" s="1"/>
  <c r="Q84" i="6"/>
  <c r="S84" i="6" s="1"/>
  <c r="Q87" i="6"/>
  <c r="Q88" i="6"/>
  <c r="S88" i="6" s="1"/>
  <c r="Q90" i="6"/>
  <c r="Q91" i="6"/>
  <c r="Q92" i="6"/>
  <c r="Q93" i="6"/>
  <c r="S93" i="6" s="1"/>
  <c r="Q94" i="6"/>
  <c r="S94" i="6" s="1"/>
  <c r="Q95" i="6"/>
  <c r="S95" i="6" s="1"/>
  <c r="F6" i="7"/>
  <c r="E7" i="7"/>
  <c r="E6" i="7"/>
  <c r="E5" i="7"/>
  <c r="E4" i="7"/>
  <c r="D6" i="7"/>
  <c r="D4" i="7"/>
  <c r="C7" i="7"/>
  <c r="F4" i="7" s="1"/>
  <c r="S5" i="6"/>
  <c r="F67" i="5" s="1"/>
  <c r="S6" i="6"/>
  <c r="F68" i="5" s="1"/>
  <c r="S14" i="6"/>
  <c r="F76" i="5" s="1"/>
  <c r="S21" i="6"/>
  <c r="F83" i="5" s="1"/>
  <c r="S26" i="6"/>
  <c r="F88" i="5" s="1"/>
  <c r="S27" i="6"/>
  <c r="F89" i="5" s="1"/>
  <c r="S29" i="6"/>
  <c r="F91" i="5" s="1"/>
  <c r="S38" i="6"/>
  <c r="F100" i="5" s="1"/>
  <c r="S42" i="6"/>
  <c r="S50" i="6"/>
  <c r="F112" i="5" s="1"/>
  <c r="S51" i="6"/>
  <c r="F113" i="5" s="1"/>
  <c r="S62" i="6"/>
  <c r="F124" i="5" s="1"/>
  <c r="S64" i="6"/>
  <c r="S65" i="6"/>
  <c r="S72" i="6"/>
  <c r="S79" i="6"/>
  <c r="S91" i="6"/>
  <c r="S92" i="6"/>
  <c r="Q96" i="6"/>
  <c r="S96" i="6" s="1"/>
  <c r="Q97" i="6"/>
  <c r="S97" i="6" s="1"/>
  <c r="S4" i="6"/>
  <c r="I24" i="4"/>
  <c r="E20" i="4"/>
  <c r="E22" i="4"/>
  <c r="E23" i="4"/>
  <c r="E24" i="4"/>
  <c r="E25" i="4"/>
  <c r="F11" i="4"/>
  <c r="B25" i="4" s="1"/>
  <c r="F10" i="4"/>
  <c r="B24" i="4" s="1"/>
  <c r="F9" i="4"/>
  <c r="B23" i="4" s="1"/>
  <c r="F8" i="4"/>
  <c r="B22" i="4" s="1"/>
  <c r="F6" i="4"/>
  <c r="B20" i="4" s="1"/>
  <c r="I6" i="4"/>
  <c r="L6" i="4" s="1"/>
  <c r="I8" i="4"/>
  <c r="I9" i="4"/>
  <c r="I10" i="4"/>
  <c r="L10" i="4" s="1"/>
  <c r="I11" i="4"/>
  <c r="I23" i="4"/>
  <c r="I20" i="4"/>
  <c r="I5" i="4"/>
  <c r="F5" i="4"/>
  <c r="B19" i="4" s="1"/>
  <c r="F107" i="2"/>
  <c r="G40" i="5" s="1"/>
  <c r="F106" i="2"/>
  <c r="G36" i="5" s="1"/>
  <c r="F105" i="2"/>
  <c r="G33" i="5" s="1"/>
  <c r="G39" i="5" s="1"/>
  <c r="F103" i="2"/>
  <c r="G30" i="5" s="1"/>
  <c r="F100" i="2"/>
  <c r="F95" i="2"/>
  <c r="F91" i="2"/>
  <c r="F88" i="2"/>
  <c r="F87" i="2"/>
  <c r="F83" i="2"/>
  <c r="F82" i="2"/>
  <c r="F81" i="2"/>
  <c r="F80" i="2"/>
  <c r="F79" i="2"/>
  <c r="F78" i="2"/>
  <c r="B84" i="2"/>
  <c r="F73" i="2"/>
  <c r="F72" i="2"/>
  <c r="F71" i="2"/>
  <c r="F70" i="2"/>
  <c r="F69" i="2"/>
  <c r="F68" i="2"/>
  <c r="F67" i="2"/>
  <c r="F66" i="2"/>
  <c r="B74" i="2"/>
  <c r="F61" i="2"/>
  <c r="F46" i="2"/>
  <c r="F47" i="2"/>
  <c r="F48" i="2"/>
  <c r="F49" i="2"/>
  <c r="F45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27" i="2"/>
  <c r="B41" i="2"/>
  <c r="F15" i="2"/>
  <c r="F14" i="2"/>
  <c r="F13" i="2"/>
  <c r="F12" i="2"/>
  <c r="F11" i="2"/>
  <c r="F10" i="2"/>
  <c r="F9" i="2"/>
  <c r="F8" i="2"/>
  <c r="F7" i="2"/>
  <c r="F6" i="2"/>
  <c r="F5" i="2"/>
  <c r="F4" i="2"/>
  <c r="F16" i="2"/>
  <c r="F105" i="1"/>
  <c r="G14" i="5" s="1"/>
  <c r="F94" i="1"/>
  <c r="F95" i="1"/>
  <c r="F96" i="1"/>
  <c r="F97" i="1"/>
  <c r="F93" i="1"/>
  <c r="C98" i="1"/>
  <c r="D98" i="1"/>
  <c r="B98" i="1"/>
  <c r="B108" i="1" s="1"/>
  <c r="F83" i="1"/>
  <c r="K6" i="4" s="1"/>
  <c r="O6" i="4" s="1"/>
  <c r="F84" i="1"/>
  <c r="K8" i="4" s="1"/>
  <c r="F86" i="1"/>
  <c r="K10" i="4" s="1"/>
  <c r="F87" i="1"/>
  <c r="K11" i="4" s="1"/>
  <c r="O11" i="4" s="1"/>
  <c r="L25" i="4" s="1"/>
  <c r="F88" i="1"/>
  <c r="M8" i="4" s="1"/>
  <c r="F89" i="1"/>
  <c r="F82" i="1"/>
  <c r="K5" i="4" s="1"/>
  <c r="F48" i="1"/>
  <c r="F49" i="1"/>
  <c r="F50" i="1"/>
  <c r="F51" i="1"/>
  <c r="F52" i="1"/>
  <c r="F53" i="1"/>
  <c r="F54" i="1"/>
  <c r="L17" i="6" s="1"/>
  <c r="Q17" i="6" s="1"/>
  <c r="S17" i="6" s="1"/>
  <c r="F79" i="5" s="1"/>
  <c r="F55" i="1"/>
  <c r="L18" i="6" s="1"/>
  <c r="Q18" i="6" s="1"/>
  <c r="F56" i="1"/>
  <c r="L20" i="6" s="1"/>
  <c r="Q20" i="6" s="1"/>
  <c r="F57" i="1"/>
  <c r="L25" i="6" s="1"/>
  <c r="Q25" i="6" s="1"/>
  <c r="R25" i="6" s="1"/>
  <c r="F58" i="1"/>
  <c r="L45" i="6" s="1"/>
  <c r="Q45" i="6" s="1"/>
  <c r="R45" i="6" s="1"/>
  <c r="G107" i="5" s="1"/>
  <c r="F59" i="1"/>
  <c r="L43" i="6" s="1"/>
  <c r="Q43" i="6" s="1"/>
  <c r="F60" i="1"/>
  <c r="F61" i="1"/>
  <c r="F62" i="1"/>
  <c r="L47" i="6" s="1"/>
  <c r="Q47" i="6" s="1"/>
  <c r="F63" i="1"/>
  <c r="L48" i="6" s="1"/>
  <c r="Q48" i="6" s="1"/>
  <c r="S48" i="6" s="1"/>
  <c r="F110" i="5" s="1"/>
  <c r="F64" i="1"/>
  <c r="L54" i="6" s="1"/>
  <c r="Q54" i="6" s="1"/>
  <c r="F65" i="1"/>
  <c r="F66" i="1"/>
  <c r="L60" i="6" s="1"/>
  <c r="F67" i="1"/>
  <c r="N60" i="6" s="1"/>
  <c r="F68" i="1"/>
  <c r="L85" i="6" s="1"/>
  <c r="F69" i="1"/>
  <c r="F70" i="1"/>
  <c r="F71" i="1"/>
  <c r="L67" i="6" s="1"/>
  <c r="Q67" i="6" s="1"/>
  <c r="F72" i="1"/>
  <c r="F73" i="1"/>
  <c r="F74" i="1"/>
  <c r="F75" i="1"/>
  <c r="F76" i="1"/>
  <c r="L37" i="6" s="1"/>
  <c r="Q37" i="6" s="1"/>
  <c r="F77" i="1"/>
  <c r="F78" i="1"/>
  <c r="F47" i="1"/>
  <c r="F40" i="1"/>
  <c r="F41" i="1"/>
  <c r="F42" i="1"/>
  <c r="F43" i="1"/>
  <c r="F39" i="1"/>
  <c r="B44" i="1"/>
  <c r="F36" i="1"/>
  <c r="F27" i="1"/>
  <c r="F28" i="1"/>
  <c r="F29" i="1"/>
  <c r="F30" i="1"/>
  <c r="F31" i="1"/>
  <c r="F32" i="1"/>
  <c r="F33" i="1"/>
  <c r="F26" i="1"/>
  <c r="F18" i="1"/>
  <c r="F19" i="1"/>
  <c r="F20" i="1"/>
  <c r="F21" i="1"/>
  <c r="F22" i="1"/>
  <c r="F17" i="1"/>
  <c r="F97" i="5" l="1"/>
  <c r="F66" i="5"/>
  <c r="Q60" i="6"/>
  <c r="O5" i="4"/>
  <c r="P14" i="4"/>
  <c r="O10" i="4"/>
  <c r="O8" i="4"/>
  <c r="N22" i="4" s="1"/>
  <c r="L21" i="4"/>
  <c r="M21" i="4" s="1"/>
  <c r="G46" i="5" s="1"/>
  <c r="D7" i="7"/>
  <c r="P7" i="4"/>
  <c r="S54" i="6"/>
  <c r="F116" i="5" s="1"/>
  <c r="L59" i="6"/>
  <c r="Q59" i="6" s="1"/>
  <c r="D89" i="6"/>
  <c r="M85" i="6"/>
  <c r="Q85" i="6" s="1"/>
  <c r="P85" i="6"/>
  <c r="P89" i="6"/>
  <c r="D85" i="6"/>
  <c r="G89" i="6"/>
  <c r="M89" i="6"/>
  <c r="Q89" i="6" s="1"/>
  <c r="G85" i="6"/>
  <c r="B21" i="4"/>
  <c r="J21" i="4" s="1"/>
  <c r="B46" i="5" s="1"/>
  <c r="S59" i="6"/>
  <c r="F121" i="5" s="1"/>
  <c r="L86" i="6"/>
  <c r="Q86" i="6" s="1"/>
  <c r="L46" i="6"/>
  <c r="N46" i="6"/>
  <c r="F5" i="7"/>
  <c r="D66" i="5"/>
  <c r="D68" i="5"/>
  <c r="D70" i="5"/>
  <c r="D72" i="5"/>
  <c r="D74" i="5"/>
  <c r="D76" i="5"/>
  <c r="D78" i="5"/>
  <c r="D80" i="5"/>
  <c r="D82" i="5"/>
  <c r="D84" i="5"/>
  <c r="D86" i="5"/>
  <c r="D88" i="5"/>
  <c r="D90" i="5"/>
  <c r="D96" i="5"/>
  <c r="D98" i="5"/>
  <c r="N20" i="4"/>
  <c r="N19" i="4"/>
  <c r="N24" i="4"/>
  <c r="N23" i="4"/>
  <c r="F14" i="4"/>
  <c r="N25" i="4"/>
  <c r="J25" i="4"/>
  <c r="B50" i="5" s="1"/>
  <c r="J20" i="4"/>
  <c r="B45" i="5" s="1"/>
  <c r="F13" i="4"/>
  <c r="F24" i="2"/>
  <c r="F18" i="2"/>
  <c r="D100" i="5"/>
  <c r="D106" i="5"/>
  <c r="D108" i="5"/>
  <c r="D110" i="5"/>
  <c r="D112" i="5"/>
  <c r="D114" i="5"/>
  <c r="B139" i="5"/>
  <c r="D144" i="5"/>
  <c r="D146" i="5"/>
  <c r="D116" i="5"/>
  <c r="D118" i="5"/>
  <c r="D120" i="5"/>
  <c r="D122" i="5"/>
  <c r="D124" i="5"/>
  <c r="D130" i="5"/>
  <c r="D132" i="5"/>
  <c r="D138" i="5"/>
  <c r="D145" i="5"/>
  <c r="D67" i="5"/>
  <c r="D69" i="5"/>
  <c r="D71" i="5"/>
  <c r="D73" i="5"/>
  <c r="D75" i="5"/>
  <c r="D77" i="5"/>
  <c r="D79" i="5"/>
  <c r="D81" i="5"/>
  <c r="D83" i="5"/>
  <c r="D85" i="5"/>
  <c r="D87" i="5"/>
  <c r="D89" i="5"/>
  <c r="D91" i="5"/>
  <c r="D97" i="5"/>
  <c r="D99" i="5"/>
  <c r="D105" i="5"/>
  <c r="D107" i="5"/>
  <c r="D109" i="5"/>
  <c r="D111" i="5"/>
  <c r="D113" i="5"/>
  <c r="D115" i="5"/>
  <c r="D117" i="5"/>
  <c r="D119" i="5"/>
  <c r="D121" i="5"/>
  <c r="D123" i="5"/>
  <c r="D129" i="5"/>
  <c r="D131" i="5"/>
  <c r="C139" i="5"/>
  <c r="F70" i="5"/>
  <c r="D137" i="5"/>
  <c r="F23" i="1"/>
  <c r="F34" i="1"/>
  <c r="F44" i="1"/>
  <c r="F90" i="1"/>
  <c r="F79" i="1"/>
  <c r="F98" i="1"/>
  <c r="F63" i="2"/>
  <c r="P11" i="4"/>
  <c r="R34" i="6"/>
  <c r="G96" i="5" s="1"/>
  <c r="R71" i="6"/>
  <c r="S60" i="6"/>
  <c r="F122" i="5" s="1"/>
  <c r="R11" i="6"/>
  <c r="G73" i="5" s="1"/>
  <c r="P8" i="4"/>
  <c r="J10" i="4"/>
  <c r="J6" i="4"/>
  <c r="J11" i="4"/>
  <c r="L22" i="4"/>
  <c r="F84" i="2"/>
  <c r="R54" i="6"/>
  <c r="G116" i="5" s="1"/>
  <c r="R59" i="6"/>
  <c r="G121" i="5" s="1"/>
  <c r="H40" i="5"/>
  <c r="S13" i="6"/>
  <c r="F75" i="5" s="1"/>
  <c r="R13" i="6"/>
  <c r="G75" i="5" s="1"/>
  <c r="S22" i="6"/>
  <c r="F84" i="5" s="1"/>
  <c r="R22" i="6"/>
  <c r="G84" i="5" s="1"/>
  <c r="S44" i="6"/>
  <c r="F106" i="5" s="1"/>
  <c r="R44" i="6"/>
  <c r="G106" i="5" s="1"/>
  <c r="R67" i="6"/>
  <c r="G129" i="5" s="1"/>
  <c r="S67" i="6"/>
  <c r="F129" i="5" s="1"/>
  <c r="G134" i="5" s="1"/>
  <c r="S25" i="6"/>
  <c r="F87" i="5" s="1"/>
  <c r="G87" i="5"/>
  <c r="S86" i="6"/>
  <c r="F146" i="5" s="1"/>
  <c r="R86" i="6"/>
  <c r="G146" i="5" s="1"/>
  <c r="S18" i="6"/>
  <c r="F80" i="5" s="1"/>
  <c r="R18" i="6"/>
  <c r="G80" i="5" s="1"/>
  <c r="R20" i="6"/>
  <c r="G82" i="5" s="1"/>
  <c r="S20" i="6"/>
  <c r="F82" i="5" s="1"/>
  <c r="S43" i="6"/>
  <c r="F105" i="5" s="1"/>
  <c r="R43" i="6"/>
  <c r="G105" i="5" s="1"/>
  <c r="S47" i="6"/>
  <c r="F109" i="5" s="1"/>
  <c r="R47" i="6"/>
  <c r="G109" i="5" s="1"/>
  <c r="R97" i="6"/>
  <c r="R93" i="6"/>
  <c r="R88" i="6"/>
  <c r="R84" i="6"/>
  <c r="R80" i="6"/>
  <c r="R74" i="6"/>
  <c r="G137" i="5" s="1"/>
  <c r="G140" i="5" s="1"/>
  <c r="R70" i="6"/>
  <c r="G132" i="5" s="1"/>
  <c r="R66" i="6"/>
  <c r="R62" i="6"/>
  <c r="G124" i="5" s="1"/>
  <c r="R58" i="6"/>
  <c r="G120" i="5" s="1"/>
  <c r="R51" i="6"/>
  <c r="G113" i="5" s="1"/>
  <c r="R48" i="6"/>
  <c r="G110" i="5" s="1"/>
  <c r="R40" i="6"/>
  <c r="R35" i="6"/>
  <c r="G97" i="5" s="1"/>
  <c r="R31" i="6"/>
  <c r="G89" i="5"/>
  <c r="R23" i="6"/>
  <c r="G85" i="5" s="1"/>
  <c r="R19" i="6"/>
  <c r="G81" i="5" s="1"/>
  <c r="R15" i="6"/>
  <c r="G77" i="5" s="1"/>
  <c r="R7" i="6"/>
  <c r="S81" i="6"/>
  <c r="S77" i="6"/>
  <c r="S75" i="6"/>
  <c r="F138" i="5" s="1"/>
  <c r="G141" i="5" s="1"/>
  <c r="S55" i="6"/>
  <c r="F117" i="5" s="1"/>
  <c r="S52" i="6"/>
  <c r="F114" i="5" s="1"/>
  <c r="S49" i="6"/>
  <c r="F111" i="5" s="1"/>
  <c r="S45" i="6"/>
  <c r="F107" i="5" s="1"/>
  <c r="S41" i="6"/>
  <c r="S36" i="6"/>
  <c r="F98" i="5" s="1"/>
  <c r="S32" i="6"/>
  <c r="S28" i="6"/>
  <c r="F90" i="5" s="1"/>
  <c r="S24" i="6"/>
  <c r="F86" i="5" s="1"/>
  <c r="S16" i="6"/>
  <c r="F78" i="5" s="1"/>
  <c r="S12" i="6"/>
  <c r="F74" i="5" s="1"/>
  <c r="S8" i="6"/>
  <c r="R96" i="6"/>
  <c r="R92" i="6"/>
  <c r="R87" i="6"/>
  <c r="R83" i="6"/>
  <c r="R79" i="6"/>
  <c r="R76" i="6"/>
  <c r="R73" i="6"/>
  <c r="R69" i="6"/>
  <c r="G131" i="5" s="1"/>
  <c r="R65" i="6"/>
  <c r="R61" i="6"/>
  <c r="G123" i="5" s="1"/>
  <c r="R57" i="6"/>
  <c r="G119" i="5" s="1"/>
  <c r="R50" i="6"/>
  <c r="G112" i="5" s="1"/>
  <c r="R39" i="6"/>
  <c r="G88" i="5"/>
  <c r="R14" i="6"/>
  <c r="G76" i="5" s="1"/>
  <c r="R10" i="6"/>
  <c r="G72" i="5" s="1"/>
  <c r="R6" i="6"/>
  <c r="G68" i="5" s="1"/>
  <c r="R95" i="6"/>
  <c r="R91" i="6"/>
  <c r="R82" i="6"/>
  <c r="R78" i="6"/>
  <c r="R72" i="6"/>
  <c r="R68" i="6"/>
  <c r="G130" i="5" s="1"/>
  <c r="R64" i="6"/>
  <c r="R56" i="6"/>
  <c r="G118" i="5" s="1"/>
  <c r="R53" i="6"/>
  <c r="G115" i="5" s="1"/>
  <c r="R42" i="6"/>
  <c r="R38" i="6"/>
  <c r="G100" i="5" s="1"/>
  <c r="R33" i="6"/>
  <c r="G91" i="5"/>
  <c r="R21" i="6"/>
  <c r="G83" i="5" s="1"/>
  <c r="R17" i="6"/>
  <c r="G79" i="5" s="1"/>
  <c r="R9" i="6"/>
  <c r="G71" i="5" s="1"/>
  <c r="R5" i="6"/>
  <c r="G67" i="5" s="1"/>
  <c r="R4" i="6"/>
  <c r="G66" i="5" s="1"/>
  <c r="R94" i="6"/>
  <c r="R90" i="6"/>
  <c r="S37" i="6"/>
  <c r="F99" i="5" s="1"/>
  <c r="R37" i="6"/>
  <c r="G99" i="5" s="1"/>
  <c r="F17" i="2"/>
  <c r="F42" i="2"/>
  <c r="F62" i="2"/>
  <c r="F74" i="2"/>
  <c r="G25" i="5" s="1"/>
  <c r="F92" i="2"/>
  <c r="G27" i="5" s="1"/>
  <c r="F101" i="2"/>
  <c r="G28" i="5" s="1"/>
  <c r="F41" i="2"/>
  <c r="G23" i="5" s="1"/>
  <c r="I22" i="4"/>
  <c r="B26" i="4"/>
  <c r="J24" i="4"/>
  <c r="B49" i="5" s="1"/>
  <c r="P5" i="4"/>
  <c r="J8" i="4"/>
  <c r="J9" i="4"/>
  <c r="I19" i="4"/>
  <c r="E19" i="4"/>
  <c r="E26" i="4" s="1"/>
  <c r="J22" i="4"/>
  <c r="B47" i="5" s="1"/>
  <c r="J23" i="4"/>
  <c r="B48" i="5" s="1"/>
  <c r="J5" i="4"/>
  <c r="S85" i="6" l="1"/>
  <c r="F145" i="5" s="1"/>
  <c r="S39" i="6"/>
  <c r="G133" i="5"/>
  <c r="Q46" i="6"/>
  <c r="S46" i="6" s="1"/>
  <c r="F108" i="5" s="1"/>
  <c r="G126" i="5" s="1"/>
  <c r="K85" i="6"/>
  <c r="R85" i="6"/>
  <c r="G145" i="5" s="1"/>
  <c r="K89" i="6"/>
  <c r="N26" i="4"/>
  <c r="G52" i="5" s="1"/>
  <c r="M25" i="4"/>
  <c r="G50" i="5" s="1"/>
  <c r="F108" i="2"/>
  <c r="G31" i="5" s="1"/>
  <c r="G62" i="2"/>
  <c r="G24" i="5"/>
  <c r="G24" i="2"/>
  <c r="G22" i="5"/>
  <c r="G84" i="2"/>
  <c r="G26" i="5"/>
  <c r="G17" i="2"/>
  <c r="G21" i="5"/>
  <c r="G90" i="1"/>
  <c r="G12" i="5"/>
  <c r="G98" i="1"/>
  <c r="G13" i="5"/>
  <c r="G44" i="1"/>
  <c r="G10" i="5"/>
  <c r="G79" i="1"/>
  <c r="G11" i="5"/>
  <c r="G34" i="1"/>
  <c r="G8" i="5"/>
  <c r="G23" i="1"/>
  <c r="G7" i="5"/>
  <c r="D139" i="5"/>
  <c r="G102" i="5"/>
  <c r="G101" i="5"/>
  <c r="G69" i="5"/>
  <c r="G70" i="5"/>
  <c r="S11" i="6"/>
  <c r="F73" i="5" s="1"/>
  <c r="G93" i="5" s="1"/>
  <c r="R46" i="6"/>
  <c r="G108" i="5" s="1"/>
  <c r="R60" i="6"/>
  <c r="G122" i="5" s="1"/>
  <c r="M22" i="4"/>
  <c r="G47" i="5" s="1"/>
  <c r="P6" i="4"/>
  <c r="L20" i="4"/>
  <c r="M20" i="4" s="1"/>
  <c r="G45" i="5" s="1"/>
  <c r="L19" i="4"/>
  <c r="P9" i="4"/>
  <c r="L23" i="4"/>
  <c r="M23" i="4" s="1"/>
  <c r="G48" i="5" s="1"/>
  <c r="P10" i="4"/>
  <c r="L24" i="4"/>
  <c r="M24" i="4" s="1"/>
  <c r="G49" i="5" s="1"/>
  <c r="G92" i="2"/>
  <c r="G101" i="2"/>
  <c r="F104" i="2"/>
  <c r="G104" i="2" s="1"/>
  <c r="G41" i="2"/>
  <c r="G74" i="2"/>
  <c r="J19" i="4"/>
  <c r="S30" i="6" l="1"/>
  <c r="J26" i="4"/>
  <c r="B44" i="5"/>
  <c r="G29" i="5"/>
  <c r="H30" i="5" s="1"/>
  <c r="G92" i="5"/>
  <c r="G125" i="5"/>
  <c r="P13" i="4"/>
  <c r="M19" i="4"/>
  <c r="S89" i="6"/>
  <c r="F144" i="5" s="1"/>
  <c r="G148" i="5" s="1"/>
  <c r="B153" i="5" s="1"/>
  <c r="R89" i="6"/>
  <c r="G144" i="5" s="1"/>
  <c r="G147" i="5" s="1"/>
  <c r="B152" i="5" l="1"/>
  <c r="B155" i="5" s="1"/>
  <c r="B158" i="5" s="1"/>
  <c r="M26" i="4"/>
  <c r="G44" i="5"/>
  <c r="G51" i="5" s="1"/>
  <c r="F13" i="1"/>
  <c r="F12" i="1"/>
  <c r="F11" i="1"/>
  <c r="F10" i="1"/>
  <c r="F9" i="1"/>
  <c r="F6" i="1"/>
  <c r="F5" i="1"/>
  <c r="G5" i="5" s="1"/>
  <c r="B157" i="5" l="1"/>
  <c r="B107" i="1"/>
  <c r="D107" i="1"/>
  <c r="D108" i="1"/>
  <c r="C107" i="1"/>
  <c r="C108" i="1"/>
  <c r="F14" i="1"/>
  <c r="G14" i="1" l="1"/>
  <c r="G6" i="5"/>
  <c r="F107" i="1"/>
  <c r="G109" i="1" s="1"/>
  <c r="F108" i="1"/>
  <c r="G1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7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sharedStrings.xml><?xml version="1.0" encoding="utf-8"?>
<sst xmlns="http://schemas.openxmlformats.org/spreadsheetml/2006/main" count="583" uniqueCount="381">
  <si>
    <t>£</t>
  </si>
  <si>
    <t xml:space="preserve">s </t>
  </si>
  <si>
    <t>d</t>
  </si>
  <si>
    <t>Total in £</t>
  </si>
  <si>
    <t>Notes</t>
  </si>
  <si>
    <t>Error</t>
  </si>
  <si>
    <t>Arrears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</si>
  <si>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</si>
  <si>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</si>
  <si>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</si>
  <si>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</si>
  <si>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</si>
  <si>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</si>
  <si>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Annual recognizances</t>
  </si>
  <si>
    <t>Issues of the manor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</si>
  <si>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</si>
  <si>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</si>
  <si>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</si>
  <si>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</si>
  <si>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</si>
  <si>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not included in receipts</t>
  </si>
  <si>
    <t>Cost of Ploughs</t>
  </si>
  <si>
    <t>Purchase of Corn</t>
  </si>
  <si>
    <t>Cost of Carts and Wagons</t>
  </si>
  <si>
    <t>Cost of Dairy</t>
  </si>
  <si>
    <t>Cost of Buildings</t>
  </si>
  <si>
    <t>Threshing</t>
  </si>
  <si>
    <t>Expenses of the Harvest</t>
  </si>
  <si>
    <t>Steward's Expenses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</si>
  <si>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</si>
  <si>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</si>
  <si>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</si>
  <si>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</si>
  <si>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</si>
  <si>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The issue of the grange account gives the total "yield" at the top of each heading in curly brackets, measurements used: fold, qrs, bus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</si>
  <si>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</si>
  <si>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</si>
  <si>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</si>
  <si>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</si>
  <si>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</si>
  <si>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</si>
  <si>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</si>
  <si>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</si>
  <si>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</si>
  <si>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</si>
  <si>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Value</t>
  </si>
  <si>
    <t>qrs</t>
  </si>
  <si>
    <t>bus</t>
  </si>
  <si>
    <t>£ per qr</t>
  </si>
  <si>
    <t>Wheat</t>
  </si>
  <si>
    <t>Curall</t>
  </si>
  <si>
    <t>Barley</t>
  </si>
  <si>
    <t>Oats</t>
  </si>
  <si>
    <t>Peas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</si>
  <si>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</si>
  <si>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</si>
  <si>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</si>
  <si>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</si>
  <si>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</si>
  <si>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</si>
  <si>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</si>
  <si>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</si>
  <si>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</si>
  <si>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</si>
  <si>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</si>
  <si>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</si>
  <si>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</si>
  <si>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CASH ACCOUNT</t>
  </si>
  <si>
    <t>RECEIPTS</t>
  </si>
  <si>
    <t>Sum of the above (incl. arrears)</t>
  </si>
  <si>
    <t>EXPENSES</t>
  </si>
  <si>
    <t>Sum of the above</t>
  </si>
  <si>
    <t>Total of all expenses</t>
  </si>
  <si>
    <t>Owed by the reeve</t>
  </si>
  <si>
    <t>From accounts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</si>
  <si>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</si>
  <si>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</si>
  <si>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</si>
  <si>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</si>
  <si>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</si>
  <si>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</si>
  <si>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</si>
  <si>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</si>
  <si>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</si>
  <si>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</si>
  <si>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</si>
  <si>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</si>
  <si>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</si>
  <si>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</si>
  <si>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</si>
  <si>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</si>
  <si>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</si>
  <si>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</si>
  <si>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</si>
  <si>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</si>
  <si>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</si>
  <si>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</si>
  <si>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</si>
  <si>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</si>
  <si>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</si>
  <si>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</si>
  <si>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</si>
  <si>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</si>
  <si>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</si>
  <si>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</si>
  <si>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</si>
  <si>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</si>
  <si>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</si>
  <si>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</si>
  <si>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</si>
  <si>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</si>
  <si>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</si>
  <si>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</si>
  <si>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</si>
  <si>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</si>
  <si>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</si>
  <si>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</si>
  <si>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</si>
  <si>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</si>
  <si>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</si>
  <si>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</si>
  <si>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</si>
  <si>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</si>
  <si>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</si>
  <si>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</si>
  <si>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</si>
  <si>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</si>
  <si>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</si>
  <si>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</si>
  <si>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</si>
  <si>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</si>
  <si>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</si>
  <si>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</si>
  <si>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</si>
  <si>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</si>
  <si>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</si>
  <si>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</si>
  <si>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</si>
  <si>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</si>
  <si>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</si>
  <si>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</si>
  <si>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</si>
  <si>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</si>
  <si>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strays</t>
  </si>
  <si>
    <t>herbage</t>
  </si>
  <si>
    <t>sold</t>
  </si>
  <si>
    <t>in murrain</t>
  </si>
  <si>
    <t>accounted for elsewhere</t>
  </si>
  <si>
    <t>End-period  stock</t>
  </si>
  <si>
    <t>cross-check</t>
  </si>
  <si>
    <t>Unit price (£)</t>
  </si>
  <si>
    <t>Sales in (£)</t>
  </si>
  <si>
    <t>Details</t>
  </si>
  <si>
    <t>Wool sold at shearing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</si>
  <si>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</si>
  <si>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</si>
  <si>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</si>
  <si>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</si>
  <si>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</si>
  <si>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</si>
  <si>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</si>
  <si>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</si>
  <si>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EAST KNOYLE STOCK ACCOUNT</t>
  </si>
  <si>
    <t>Fleeces</t>
  </si>
  <si>
    <t>Woolskins (total)</t>
  </si>
  <si>
    <t>Lambskins</t>
  </si>
  <si>
    <t>Value of production (£) at sales prices</t>
  </si>
  <si>
    <t>price 1</t>
  </si>
  <si>
    <t>units 1</t>
  </si>
  <si>
    <t>price 2</t>
  </si>
  <si>
    <t>units 2</t>
  </si>
  <si>
    <t>Weights</t>
  </si>
  <si>
    <t>Weight (weys)</t>
  </si>
  <si>
    <t>Rents of assize</t>
  </si>
  <si>
    <t>n/a</t>
  </si>
  <si>
    <t>Total capital expenses</t>
  </si>
  <si>
    <t>Cash deliveries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</si>
  <si>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</si>
  <si>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</si>
  <si>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</si>
  <si>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</si>
  <si>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</si>
  <si>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</si>
  <si>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</si>
  <si>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</si>
  <si>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</si>
  <si>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Unit price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</si>
  <si>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</si>
  <si>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</si>
  <si>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</si>
  <si>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</si>
  <si>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</si>
  <si>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</si>
  <si>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</si>
  <si>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</si>
  <si>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</si>
  <si>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</si>
  <si>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</si>
  <si>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</si>
  <si>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</si>
  <si>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</si>
  <si>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In "Issues of the grange" (p.xx)</t>
  </si>
  <si>
    <t>In "Sale of Corn" (p.x)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</si>
  <si>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</si>
  <si>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</si>
  <si>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</si>
  <si>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</si>
  <si>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Net value of production (sum of the above)</t>
  </si>
  <si>
    <t>Net Production</t>
  </si>
  <si>
    <t>Bought</t>
  </si>
  <si>
    <t>Produced</t>
  </si>
  <si>
    <t>Arrears total</t>
  </si>
  <si>
    <t>Rents of assize total</t>
  </si>
  <si>
    <t>Quittances total</t>
  </si>
  <si>
    <t>Defaults of rent total</t>
  </si>
  <si>
    <t>Issues of the Manor total</t>
  </si>
  <si>
    <t>Sale of corn total</t>
  </si>
  <si>
    <t>Entry and marriage fines total</t>
  </si>
  <si>
    <t>Cost of ploughs total</t>
  </si>
  <si>
    <t>Purchase of corn total</t>
  </si>
  <si>
    <t>Cost of carts and wagons total</t>
  </si>
  <si>
    <t>Cost of dairy total</t>
  </si>
  <si>
    <t>Cost of buildings total</t>
  </si>
  <si>
    <t>Threshing total</t>
  </si>
  <si>
    <t>Expenses of the harvest total</t>
  </si>
  <si>
    <t>Annual recognizances total</t>
  </si>
  <si>
    <t>Issues of the manor total</t>
  </si>
  <si>
    <t>Steward's expenses total</t>
  </si>
  <si>
    <t>Pleas &amp; perquisites total</t>
  </si>
  <si>
    <t>Net wheat</t>
  </si>
  <si>
    <t>Net curall</t>
  </si>
  <si>
    <t>Net barley</t>
  </si>
  <si>
    <t>Net oats</t>
  </si>
  <si>
    <t>Net peas</t>
  </si>
  <si>
    <t>Net vetches</t>
  </si>
  <si>
    <t>Note: Columns indexed are hardcoded, do not alter number of columns in issues of grange</t>
  </si>
  <si>
    <t>CRAWLEY RECEIPTS</t>
  </si>
  <si>
    <t>CRAWLEY EXPENSES</t>
  </si>
  <si>
    <t>CRAWLEY</t>
  </si>
  <si>
    <t>Christmas</t>
  </si>
  <si>
    <t>Easter</t>
  </si>
  <si>
    <t>John the Baptist</t>
  </si>
  <si>
    <t>Michaelmas</t>
  </si>
  <si>
    <t>1 reeve for the year</t>
  </si>
  <si>
    <t>6 ploughmen 1 smith for the year</t>
  </si>
  <si>
    <t>2 shepherds for the year</t>
  </si>
  <si>
    <t>8 workers</t>
  </si>
  <si>
    <t>1 swineherd and 1 cowherd</t>
  </si>
  <si>
    <t>in default of le stronge into demesne</t>
  </si>
  <si>
    <t>land of william</t>
  </si>
  <si>
    <t>land of Alebrok</t>
  </si>
  <si>
    <t>land of Robert</t>
  </si>
  <si>
    <t>land of Robert Coye</t>
  </si>
  <si>
    <t>land of Roger le Pokyr</t>
  </si>
  <si>
    <t>land of Richard Vaccar</t>
  </si>
  <si>
    <t>panage of 77 cows, 8 steers, 21 bullocks and 16 calves</t>
  </si>
  <si>
    <t>panage of pigs</t>
  </si>
  <si>
    <t>for 97 more of the mens sheep than the 25 maintained at the fold</t>
  </si>
  <si>
    <t>from pasturage of 44 lambs sold</t>
  </si>
  <si>
    <t>from the pasturage of Trendly sold</t>
  </si>
  <si>
    <t>from pasturage of Lokfurlang sold</t>
  </si>
  <si>
    <t>from the pasturage of Shret sold</t>
  </si>
  <si>
    <t>from 5 feeble late born calves</t>
  </si>
  <si>
    <t>from 47 wethers</t>
  </si>
  <si>
    <t>from 55 ewes sold</t>
  </si>
  <si>
    <t>from 26 pigs sold</t>
  </si>
  <si>
    <t>from the hide sold of 1 plough-horse in murrain</t>
  </si>
  <si>
    <t>from the hides sold of 2 oxen dead from murrain</t>
  </si>
  <si>
    <t>from the hide and flesh sold of 1 steer in murrain</t>
  </si>
  <si>
    <t>from the hide sold of 1 bullock in murrain</t>
  </si>
  <si>
    <t>fro the hide sold of 1 yearling in murrain</t>
  </si>
  <si>
    <t>from the hide sold of 1 calf in murrain</t>
  </si>
  <si>
    <t>from the skins sold of 21 wethers, 24 ewes, and 23 hoggs in murrain before shearing</t>
  </si>
  <si>
    <t>from the skins sold of 14 wethers and 13 ewes in murrain after shearing</t>
  </si>
  <si>
    <t>from skins sold of 62 lambs in murrain before weaning</t>
  </si>
  <si>
    <t>from 5 cloves 1 lb of winter cheese sold</t>
  </si>
  <si>
    <t>from 7.5 weys 12 cloves of summer cheese sold</t>
  </si>
  <si>
    <t>from 15 cloves 5 lb of butter sold</t>
  </si>
  <si>
    <t>from 95 hens at churchscot sold</t>
  </si>
  <si>
    <t>from richard for release from the labour service</t>
  </si>
  <si>
    <t>from a curtilage which was hired to roger</t>
  </si>
  <si>
    <t>from 23 acres of the lords land hired now accounted for in defaults of rent above</t>
  </si>
  <si>
    <t>Accounted for in defaults of rent already?</t>
  </si>
  <si>
    <t>from curtilage which belongs to Robert Couch</t>
  </si>
  <si>
    <t>from 5 cloves of wool locks sold</t>
  </si>
  <si>
    <t>from dairy produce sold at the audit</t>
  </si>
  <si>
    <t>from the skins sold of 20 rotted sheep in murrain</t>
  </si>
  <si>
    <t>from Walter</t>
  </si>
  <si>
    <t>from Robert</t>
  </si>
  <si>
    <t>from Robert le Pottere</t>
  </si>
  <si>
    <t>from John</t>
  </si>
  <si>
    <t>from 40 qrs of wheat sold</t>
  </si>
  <si>
    <t>from 12 wrs 0.5 bus of curall sold</t>
  </si>
  <si>
    <t>from 21 qrs 6 bus of barley sold</t>
  </si>
  <si>
    <t>from 3 qrs 1 bus of peas sold</t>
  </si>
  <si>
    <t>from 4.5 qrs of vetches sold</t>
  </si>
  <si>
    <t>from 4 bus of barley sold at the audit</t>
  </si>
  <si>
    <t>from 43 qrs of oats sold</t>
  </si>
  <si>
    <t>from tithing of tithingpenny at martinmas</t>
  </si>
  <si>
    <t>from the same at hockday</t>
  </si>
  <si>
    <t>from Matilda for marrying her daughter outside</t>
  </si>
  <si>
    <t>from Stephen for marrying his daughter outside</t>
  </si>
  <si>
    <t>from tithing of Crawley for concealment</t>
  </si>
  <si>
    <t>from the tithing of  Crawley for not producing in court</t>
  </si>
  <si>
    <t>from various transgressions of various men in various courts</t>
  </si>
  <si>
    <t>in iron and steel bought for 4 ploughs</t>
  </si>
  <si>
    <t>in 2 ploughshares bought</t>
  </si>
  <si>
    <t>in 1 coulter mended</t>
  </si>
  <si>
    <t>in 2 plough feet bought</t>
  </si>
  <si>
    <t>in 4 pairs of wheels bought</t>
  </si>
  <si>
    <t>in 2 ploughs made anew and other mending</t>
  </si>
  <si>
    <t>in fitting ploughs with iron tyres</t>
  </si>
  <si>
    <t>in shoeing 6 plough-horses</t>
  </si>
  <si>
    <t>in boon-works of 9 ploughmen</t>
  </si>
  <si>
    <t>in 5 halters made from the horeses own hair</t>
  </si>
  <si>
    <t>in stipend of 2 ploughmen for the year</t>
  </si>
  <si>
    <t>in 5 oxen bought</t>
  </si>
  <si>
    <t>in 6 bus of wheat bought for sowing</t>
  </si>
  <si>
    <t>in 3 qrs 6 bus of barley bought</t>
  </si>
  <si>
    <t>in 1 pair of wheels bought</t>
  </si>
  <si>
    <t>in 1 old binding renewed and fitted</t>
  </si>
  <si>
    <t>in fitting the cart with axles</t>
  </si>
  <si>
    <t>in clouts nails and grease bought for the same</t>
  </si>
  <si>
    <t>in 1 pair of traces bought</t>
  </si>
  <si>
    <t>in 1 rope bought</t>
  </si>
  <si>
    <t>in shoeing 2 cart horses</t>
  </si>
  <si>
    <t>in white leather bought</t>
  </si>
  <si>
    <t>in mending old harnesses</t>
  </si>
  <si>
    <t>in 1 collar bought</t>
  </si>
  <si>
    <t>in stipend of 1 carter</t>
  </si>
  <si>
    <t>in mending the cart at various times</t>
  </si>
  <si>
    <t>in 1 new cart-body bought</t>
  </si>
  <si>
    <t>in 6 bus of salt bought</t>
  </si>
  <si>
    <t>in a press bought</t>
  </si>
  <si>
    <t>in earthenware pots and pans bought</t>
  </si>
  <si>
    <t>in mending the utensils of the dairy</t>
  </si>
  <si>
    <t>in 1 mould bought</t>
  </si>
  <si>
    <t>in 20 ells of canvas bought for packing wool</t>
  </si>
  <si>
    <t>in making the said sacks</t>
  </si>
  <si>
    <t>in packing the said wool</t>
  </si>
  <si>
    <t>in grease bought for greasing sheep</t>
  </si>
  <si>
    <t>in re-roofing the ewe house</t>
  </si>
  <si>
    <t>in collecting stubble for the same</t>
  </si>
  <si>
    <t>in 40 hurdles bought for the fold</t>
  </si>
  <si>
    <t>in hay bought for the sheep in lent</t>
  </si>
  <si>
    <t>in stipend of 1 dairymaid for the year</t>
  </si>
  <si>
    <t>in 1 tub bought for the dairy</t>
  </si>
  <si>
    <t>in wattling and reroofing the old barn</t>
  </si>
  <si>
    <t>in plastering and mending the walls</t>
  </si>
  <si>
    <t>in recovering the stack of vetches</t>
  </si>
  <si>
    <t>in mending 1 cooking pot and 1 pan</t>
  </si>
  <si>
    <t>in wattling and re-roofing the wheat barn</t>
  </si>
  <si>
    <t>in 1 bushel measure bought</t>
  </si>
  <si>
    <t>in castrating piglets</t>
  </si>
  <si>
    <t>in threshing and winnowing 40 qrs of wheat</t>
  </si>
  <si>
    <t>in threshing and winnowing 45 qrs of barley</t>
  </si>
  <si>
    <t>in threshing and winnowing 60 qrs of oats</t>
  </si>
  <si>
    <t>in wages of William Kryre for carrying out issue of the grange</t>
  </si>
  <si>
    <t>in stipend of the same</t>
  </si>
  <si>
    <t>in weeding corn</t>
  </si>
  <si>
    <t>in 1000 herrings bought for 3 boonworks of 300 men</t>
  </si>
  <si>
    <t>Have included provision of household servants at harvest time as expenses of harvest time although separate in accounts</t>
  </si>
  <si>
    <t>in provisioning group that helped with harvest</t>
  </si>
  <si>
    <t>in stipend of 1 man keeping the corn in the fields</t>
  </si>
  <si>
    <t>in expenses of simon clerk at martinmas</t>
  </si>
  <si>
    <t>in expenses of simon at hockday</t>
  </si>
  <si>
    <t>in expenses of the same for 1 visit</t>
  </si>
  <si>
    <t>in expenses of the bailiff for his visits</t>
  </si>
  <si>
    <t>given by order of the steward and treasurer for the lord's business in the hundred of buddlesgate</t>
  </si>
  <si>
    <t>Bere</t>
  </si>
  <si>
    <t>Net Bere</t>
  </si>
  <si>
    <t>Accounted for elsewhere is tithe</t>
  </si>
  <si>
    <t>in woollen and linen cloth bought</t>
  </si>
  <si>
    <t>Total Demesne fixed investment</t>
  </si>
  <si>
    <t>matches excl. arrear sum</t>
  </si>
  <si>
    <t>Production Value + Cash Receipts (excl. Arrears, Issues, Corn and Mill)</t>
  </si>
  <si>
    <t>no mill account</t>
  </si>
  <si>
    <t>Total Sales Value of all Output as defined above</t>
  </si>
  <si>
    <t>Total Sales of Corn + Issues of the Manor as recorded in account</t>
  </si>
  <si>
    <t>Total Production Value of all Output (Grange, Dairy, Livestock Sales, Wools, Skins - NO Mill)</t>
  </si>
  <si>
    <t>unit price from overview sheet (UnitPricesStocks_averages)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</si>
</sst>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0" fontId="5" fillId="3" borderId="0" xfId="0" applyFont="1" applyFill="1"/>
    <xf numFmtId="2" fontId="5" fillId="3" borderId="0" xfId="0" applyNumberFormat="1" applyFont="1" applyFill="1"/>
    <xf numFmtId="2" fontId="0" fillId="3" borderId="0" xfId="0" applyNumberFormat="1" applyFill="1"/>
    <xf numFmtId="0" fontId="14" fillId="8" borderId="0" xfId="0" applyFont="1" applyFill="1"/>
    <xf numFmtId="0" fontId="5" fillId="8" borderId="0" xfId="0" applyFont="1" applyFill="1"/>
    <xf numFmtId="2" fontId="5" fillId="8" borderId="0" xfId="0" applyNumberFormat="1" applyFont="1" applyFill="1"/>
    <xf numFmtId="2" fontId="5" fillId="9" borderId="0" xfId="0" applyNumberFormat="1" applyFont="1" applyFill="1"/>
    <xf numFmtId="4" fontId="4" fillId="6" borderId="0" xfId="0" applyNumberFormat="1" applyFont="1" applyFill="1" applyAlignment="1">
      <alignment horizontal="right"/>
    </xf>
    <xf numFmtId="2" fontId="4" fillId="6" borderId="0" xfId="0" applyNumberFormat="1" applyFont="1" applyFill="1" applyAlignment="1">
      <alignment horizontal="right"/>
    </xf>
    <xf numFmtId="2" fontId="12" fillId="0" borderId="0" xfId="0" applyNumberFormat="1" applyFont="1"/>
    <xf numFmtId="2" fontId="5" fillId="6" borderId="0" xfId="0" applyNumberFormat="1" applyFont="1" applyFill="1"/>
    <xf numFmtId="2" fontId="1" fillId="0" borderId="0" xfId="0" applyNumberFormat="1" applyFont="1"/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8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8" borderId="11" xfId="0" applyNumberFormat="1" applyFont="1" applyFill="1" applyBorder="1"/>
    <xf numFmtId="0" fontId="16" fillId="0" borderId="12" xfId="0" applyFont="1" applyBorder="1"/>
    <xf numFmtId="0" fontId="1" fillId="0" borderId="12" xfId="0" applyFont="1" applyBorder="1"/>
    <xf numFmtId="0" fontId="16" fillId="0" borderId="13" xfId="0" applyFont="1" applyBorder="1"/>
    <xf numFmtId="10" fontId="16" fillId="0" borderId="12" xfId="0" applyNumberFormat="1" applyFont="1" applyBorder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0"/>
  <sheetViews>
    <sheetView zoomScaleNormal="86" workbookViewId="0">
      <pane xSplit="1" ySplit="4" topLeftCell="B137" activePane="bottomRight" state="frozen"/>
      <selection pane="topRight" activeCell="B1" sqref="B1"/>
      <selection pane="bottomLeft" activeCell="A5" sqref="A5"/>
      <selection pane="bottomRight" activeCell="B1" sqref="B1:B1048576"/>
    </sheetView>
  </sheetViews>
  <sheetFormatPr baseColWidth="10" defaultRowHeight="16" x14ac:dyDescent="0.2"/>
  <cols>
    <col min="1" max="1" width="78.33203125" bestFit="1" customWidth="1"/>
    <col min="6" max="6" width="10.83203125" style="27"/>
    <col min="7" max="7" width="17.1640625" style="27" customWidth="1"/>
  </cols>
  <sheetData>
    <row r="1" spans="1:9" ht="19" x14ac:dyDescent="0.25">
      <c r="A1" s="40" t="s">
        <v>238</v>
      </c>
      <c r="B1" s="41" t="s">
        <v>0</v>
      </c>
      <c r="C1" s="42" t="s">
        <v>1</v>
      </c>
      <c r="D1" s="42" t="s">
        <v>2</v>
      </c>
      <c r="E1" s="43"/>
      <c r="F1" s="80"/>
      <c r="G1" s="63" t="s">
        <v>3</v>
      </c>
      <c r="H1" s="44" t="s">
        <v>5</v>
      </c>
    </row>
    <row r="2" spans="1:9" x14ac:dyDescent="0.2">
      <c r="A2" s="10"/>
      <c r="B2" s="10"/>
      <c r="C2" s="10"/>
      <c r="D2" s="10"/>
      <c r="E2" s="10"/>
      <c r="F2" s="51"/>
      <c r="G2" s="51"/>
      <c r="H2" s="2"/>
    </row>
    <row r="3" spans="1:9" x14ac:dyDescent="0.2">
      <c r="A3" s="9" t="s">
        <v>67</v>
      </c>
      <c r="B3" s="10"/>
      <c r="C3" s="10"/>
      <c r="D3" s="10"/>
      <c r="E3" s="10"/>
      <c r="F3" s="51"/>
      <c r="G3" s="51"/>
      <c r="H3" s="2"/>
    </row>
    <row r="4" spans="1:9" x14ac:dyDescent="0.2">
      <c r="A4" s="45" t="s">
        <v>68</v>
      </c>
      <c r="B4" s="46"/>
      <c r="C4" s="46"/>
      <c r="D4" s="46"/>
      <c r="E4" s="46"/>
      <c r="F4" s="52"/>
      <c r="G4" s="77"/>
      <c r="H4" s="2"/>
    </row>
    <row r="5" spans="1:9" x14ac:dyDescent="0.2">
      <c r="A5" s="10" t="s">
        <v>211</v>
      </c>
      <c r="C5" s="10"/>
      <c r="D5" s="10"/>
      <c r="E5" s="10"/>
      <c r="F5" s="51"/>
      <c r="G5" s="81">
        <f>IF(INDEX('Crawley Receipts'!$A$4:$F$110,MATCH('Crawley Overview'!$A5,'Crawley Receipts'!$A$4:$A$110,0),6)=0,"",INDEX('Crawley Receipts'!$A$4:$F$110,MATCH('Crawley Overview'!$A5,'Crawley Receipts'!$A$4:$A$110,0),6))</f>
        <v>7.4333333333333336</v>
      </c>
      <c r="H5" s="2"/>
    </row>
    <row r="6" spans="1:9" x14ac:dyDescent="0.2">
      <c r="A6" s="10" t="s">
        <v>212</v>
      </c>
      <c r="B6" s="10"/>
      <c r="C6" s="10"/>
      <c r="D6" s="10"/>
      <c r="E6" s="10"/>
      <c r="F6" s="51"/>
      <c r="G6" s="81">
        <f>IF(INDEX('Crawley Receipts'!$A$4:$F$110,MATCH('Crawley Overview'!$A6,'Crawley Receipts'!$A$4:$A$110,0),6)=0,"",INDEX('Crawley Receipts'!$A$4:$F$110,MATCH('Crawley Overview'!$A6,'Crawley Receipts'!$A$4:$A$110,0),6))</f>
        <v>14.079166666666667</v>
      </c>
      <c r="H6" s="2"/>
    </row>
    <row r="7" spans="1:9" x14ac:dyDescent="0.2">
      <c r="A7" s="10" t="s">
        <v>213</v>
      </c>
      <c r="B7" s="10"/>
      <c r="C7" s="10"/>
      <c r="D7" s="10"/>
      <c r="E7" s="10"/>
      <c r="F7" s="51"/>
      <c r="G7" s="81">
        <f>IF(INDEX('Crawley Receipts'!$A$4:$F$110,MATCH('Crawley Overview'!$A7,'Crawley Receipts'!$A$4:$A$110,0),6)=0,"",INDEX('Crawley Receipts'!$A$4:$F$110,MATCH('Crawley Overview'!$A7,'Crawley Receipts'!$A$4:$A$110,0),6))</f>
        <v>2.7833333333333337</v>
      </c>
      <c r="H7" s="2"/>
    </row>
    <row r="8" spans="1:9" x14ac:dyDescent="0.2">
      <c r="A8" s="10" t="s">
        <v>214</v>
      </c>
      <c r="B8" s="10"/>
      <c r="C8" s="10"/>
      <c r="D8" s="10"/>
      <c r="E8" s="10"/>
      <c r="F8" s="51"/>
      <c r="G8" s="81">
        <f>IF(INDEX('Crawley Receipts'!$A$4:$F$110,MATCH('Crawley Overview'!$A8,'Crawley Receipts'!$A$4:$A$110,0),6)=0,"",INDEX('Crawley Receipts'!$A$4:$F$110,MATCH('Crawley Overview'!$A8,'Crawley Receipts'!$A$4:$A$110,0),6))</f>
        <v>1.0166666666666666</v>
      </c>
      <c r="H8" s="2"/>
    </row>
    <row r="9" spans="1:9" x14ac:dyDescent="0.2">
      <c r="A9" s="10" t="s">
        <v>12</v>
      </c>
      <c r="B9" s="10"/>
      <c r="C9" s="10"/>
      <c r="D9" s="10"/>
      <c r="E9" s="10"/>
      <c r="F9" s="51"/>
      <c r="G9" s="81">
        <f>'Crawley Receipts'!F36</f>
        <v>10.279166666666667</v>
      </c>
      <c r="H9" s="2"/>
    </row>
    <row r="10" spans="1:9" x14ac:dyDescent="0.2">
      <c r="A10" s="10" t="s">
        <v>225</v>
      </c>
      <c r="B10" s="10"/>
      <c r="C10" s="10"/>
      <c r="D10" s="10"/>
      <c r="E10" s="10"/>
      <c r="F10" s="51"/>
      <c r="G10" s="81">
        <f>IF(INDEX('Crawley Receipts'!$A$4:$F$110,MATCH('Crawley Overview'!$A10,'Crawley Receipts'!$A$4:$A$110,0),6)=0,"",INDEX('Crawley Receipts'!$A$4:$F$110,MATCH('Crawley Overview'!$A10,'Crawley Receipts'!$A$4:$A$110,0),6))</f>
        <v>8.7499999999999994E-2</v>
      </c>
      <c r="H10" s="2"/>
    </row>
    <row r="11" spans="1:9" x14ac:dyDescent="0.2">
      <c r="A11" s="10" t="s">
        <v>215</v>
      </c>
      <c r="B11" s="10"/>
      <c r="C11" s="10"/>
      <c r="D11" s="10"/>
      <c r="E11" s="10"/>
      <c r="F11" s="51"/>
      <c r="G11" s="81">
        <f>IF(INDEX('Crawley Receipts'!$A$4:$F$110,MATCH('Crawley Overview'!$A11,'Crawley Receipts'!$A$4:$A$110,0),6)=0,"",INDEX('Crawley Receipts'!$A$4:$F$110,MATCH('Crawley Overview'!$A11,'Crawley Receipts'!$A$4:$A$110,0),6))</f>
        <v>19.945833333333333</v>
      </c>
      <c r="H11" s="2"/>
    </row>
    <row r="12" spans="1:9" x14ac:dyDescent="0.2">
      <c r="A12" s="10" t="s">
        <v>216</v>
      </c>
      <c r="B12" s="10"/>
      <c r="C12" s="10"/>
      <c r="D12" s="10"/>
      <c r="E12" s="10"/>
      <c r="F12" s="51"/>
      <c r="G12" s="81">
        <f>IF(INDEX('Crawley Receipts'!$A$4:$F$110,MATCH('Crawley Overview'!$A12,'Crawley Receipts'!$A$4:$A$110,0),6)=0,"",INDEX('Crawley Receipts'!$A$4:$F$110,MATCH('Crawley Overview'!$A12,'Crawley Receipts'!$A$4:$A$110,0),6))</f>
        <v>23.983333333333334</v>
      </c>
      <c r="H12" s="2"/>
    </row>
    <row r="13" spans="1:9" x14ac:dyDescent="0.2">
      <c r="A13" s="10" t="s">
        <v>217</v>
      </c>
      <c r="B13" s="10"/>
      <c r="C13" s="10"/>
      <c r="D13" s="10"/>
      <c r="E13" s="10"/>
      <c r="F13" s="51"/>
      <c r="G13" s="81">
        <f>IF(INDEX('Crawley Receipts'!$A$4:$F$110,MATCH('Crawley Overview'!$A13,'Crawley Receipts'!$A$4:$A$110,0),6)=0,"",INDEX('Crawley Receipts'!$A$4:$F$110,MATCH('Crawley Overview'!$A13,'Crawley Receipts'!$A$4:$A$110,0),6))</f>
        <v>0.8666666666666667</v>
      </c>
      <c r="H13" s="2"/>
    </row>
    <row r="14" spans="1:9" x14ac:dyDescent="0.2">
      <c r="A14" s="10" t="s">
        <v>228</v>
      </c>
      <c r="B14" s="10"/>
      <c r="C14" s="10"/>
      <c r="D14" s="10"/>
      <c r="E14" s="10"/>
      <c r="F14" s="51"/>
      <c r="G14" s="81">
        <f>IF(INDEX('Crawley Receipts'!$A$4:$F$110,MATCH('Crawley Overview'!$A14,'Crawley Receipts'!$A$4:$A$110,0),6)=0,"",INDEX('Crawley Receipts'!$A$4:$F$110,MATCH('Crawley Overview'!$A14,'Crawley Receipts'!$A$4:$A$110,0),6))</f>
        <v>0.99583333333333324</v>
      </c>
      <c r="H14" s="2"/>
    </row>
    <row r="15" spans="1:9" x14ac:dyDescent="0.2">
      <c r="A15" s="48" t="s">
        <v>69</v>
      </c>
      <c r="B15" s="48"/>
      <c r="C15" s="48"/>
      <c r="D15" s="48"/>
      <c r="E15" s="48"/>
      <c r="F15" s="64"/>
      <c r="G15" s="64">
        <f>G5+G9+G10+G11+G12+G13+G14</f>
        <v>63.591666666666661</v>
      </c>
      <c r="H15" s="82"/>
    </row>
    <row r="16" spans="1:9" x14ac:dyDescent="0.2">
      <c r="A16" s="48" t="s">
        <v>203</v>
      </c>
      <c r="B16" s="48"/>
      <c r="C16" s="48"/>
      <c r="D16" s="48"/>
      <c r="E16" s="48"/>
      <c r="F16" s="64"/>
      <c r="G16" s="64">
        <f>'Crawley Receipts'!F110</f>
        <v>56.162500000000001</v>
      </c>
      <c r="H16" s="50" t="s">
        <v>374</v>
      </c>
      <c r="I16" s="18"/>
    </row>
    <row r="17" spans="1:8" x14ac:dyDescent="0.2">
      <c r="A17" s="48" t="s">
        <v>204</v>
      </c>
      <c r="B17" s="48"/>
      <c r="C17" s="48"/>
      <c r="D17" s="48"/>
      <c r="E17" s="48"/>
      <c r="F17" s="64"/>
      <c r="G17" s="64"/>
      <c r="H17" s="50"/>
    </row>
    <row r="18" spans="1:8" x14ac:dyDescent="0.2">
      <c r="A18" s="10"/>
      <c r="B18" s="10"/>
      <c r="C18" s="10"/>
      <c r="D18" s="10"/>
      <c r="E18" s="10"/>
      <c r="F18" s="51"/>
      <c r="G18" s="51"/>
      <c r="H18" s="2"/>
    </row>
    <row r="19" spans="1:8" x14ac:dyDescent="0.2">
      <c r="A19" s="10"/>
      <c r="B19" s="10"/>
      <c r="C19" s="10"/>
      <c r="D19" s="10"/>
      <c r="E19" s="10"/>
      <c r="F19" s="51"/>
      <c r="G19" s="51"/>
      <c r="H19" s="2"/>
    </row>
    <row r="20" spans="1:8" x14ac:dyDescent="0.2">
      <c r="A20" s="45" t="s">
        <v>70</v>
      </c>
      <c r="B20" s="46"/>
      <c r="C20" s="46"/>
      <c r="D20" s="46"/>
      <c r="E20" s="46"/>
      <c r="F20" s="52"/>
      <c r="G20" s="77"/>
      <c r="H20" s="2"/>
    </row>
    <row r="21" spans="1:8" x14ac:dyDescent="0.2">
      <c r="A21" s="10" t="s">
        <v>218</v>
      </c>
      <c r="C21" s="10"/>
      <c r="D21" s="10"/>
      <c r="E21" s="10"/>
      <c r="F21" s="51"/>
      <c r="G21" s="81">
        <f>IF(INDEX('Crawley Expenses'!$A$2:$F$108,MATCH('Crawley Overview'!$A21,'Crawley Expenses'!$A$2:$A$108,0),6)=0,"",INDEX('Crawley Expenses'!$A$2:$F$108,MATCH('Crawley Overview'!$A21,'Crawley Expenses'!$A$2:$A$108,0),6))</f>
        <v>3.5531250000000001</v>
      </c>
      <c r="H21" s="2"/>
    </row>
    <row r="22" spans="1:8" x14ac:dyDescent="0.2">
      <c r="A22" s="10" t="s">
        <v>219</v>
      </c>
      <c r="B22" s="10"/>
      <c r="C22" s="10"/>
      <c r="D22" s="10"/>
      <c r="E22" s="10"/>
      <c r="F22" s="51"/>
      <c r="G22" s="81">
        <f>IF(INDEX('Crawley Expenses'!$A$2:$F$108,MATCH('Crawley Overview'!$A22,'Crawley Expenses'!$A$2:$A$108,0),6)=0,"",INDEX('Crawley Expenses'!$A$2:$F$108,MATCH('Crawley Overview'!$A22,'Crawley Expenses'!$A$2:$A$108,0),6))</f>
        <v>0.84166666666666667</v>
      </c>
      <c r="H22" s="2"/>
    </row>
    <row r="23" spans="1:8" x14ac:dyDescent="0.2">
      <c r="A23" s="10" t="s">
        <v>220</v>
      </c>
      <c r="B23" s="10"/>
      <c r="C23" s="10"/>
      <c r="D23" s="10"/>
      <c r="E23" s="10"/>
      <c r="F23" s="51"/>
      <c r="G23" s="81">
        <f>IF(INDEX('Crawley Expenses'!$A$2:$F$108,MATCH('Crawley Overview'!$A23,'Crawley Expenses'!$A$2:$A$108,0),6)=0,"",INDEX('Crawley Expenses'!$A$2:$F$108,MATCH('Crawley Overview'!$A23,'Crawley Expenses'!$A$2:$A$108,0),6))</f>
        <v>0.81875000000000009</v>
      </c>
      <c r="H23" s="2"/>
    </row>
    <row r="24" spans="1:8" x14ac:dyDescent="0.2">
      <c r="A24" s="10" t="s">
        <v>221</v>
      </c>
      <c r="B24" s="10"/>
      <c r="C24" s="10"/>
      <c r="D24" s="10"/>
      <c r="E24" s="10"/>
      <c r="F24" s="51"/>
      <c r="G24" s="81">
        <f>IF(INDEX('Crawley Expenses'!$A$2:$F$108,MATCH('Crawley Overview'!$A24,'Crawley Expenses'!$A$2:$A$108,0),6)=0,"",INDEX('Crawley Expenses'!$A$2:$F$108,MATCH('Crawley Overview'!$A24,'Crawley Expenses'!$A$2:$A$108,0),6))</f>
        <v>3.9729166666666664</v>
      </c>
      <c r="H24" s="2"/>
    </row>
    <row r="25" spans="1:8" x14ac:dyDescent="0.2">
      <c r="A25" s="10" t="s">
        <v>222</v>
      </c>
      <c r="B25" s="10"/>
      <c r="C25" s="10"/>
      <c r="D25" s="10"/>
      <c r="E25" s="10"/>
      <c r="F25" s="51"/>
      <c r="G25" s="81">
        <f>IF(INDEX('Crawley Expenses'!$A$2:$F$108,MATCH('Crawley Overview'!$A25,'Crawley Expenses'!$A$2:$A$108,0),6)=0,"",INDEX('Crawley Expenses'!$A$2:$F$108,MATCH('Crawley Overview'!$A25,'Crawley Expenses'!$A$2:$A$108,0),6))</f>
        <v>0.32187500000000002</v>
      </c>
      <c r="H25" s="2"/>
    </row>
    <row r="26" spans="1:8" x14ac:dyDescent="0.2">
      <c r="A26" s="10" t="s">
        <v>223</v>
      </c>
      <c r="B26" s="10"/>
      <c r="C26" s="10"/>
      <c r="D26" s="10"/>
      <c r="E26" s="10"/>
      <c r="F26" s="51"/>
      <c r="G26" s="81">
        <f>IF(INDEX('Crawley Expenses'!$A$2:$F$108,MATCH('Crawley Overview'!$A26,'Crawley Expenses'!$A$2:$A$108,0),6)=0,"",INDEX('Crawley Expenses'!$A$2:$F$108,MATCH('Crawley Overview'!$A26,'Crawley Expenses'!$A$2:$A$108,0),6))</f>
        <v>1.0208333333333333</v>
      </c>
      <c r="H26" s="2"/>
    </row>
    <row r="27" spans="1:8" x14ac:dyDescent="0.2">
      <c r="A27" s="10" t="s">
        <v>224</v>
      </c>
      <c r="B27" s="10"/>
      <c r="C27" s="10"/>
      <c r="D27" s="10"/>
      <c r="E27" s="10"/>
      <c r="F27" s="51"/>
      <c r="G27" s="81">
        <f>IF(INDEX('Crawley Expenses'!$A$2:$F$108,MATCH('Crawley Overview'!$A27,'Crawley Expenses'!$A$2:$A$108,0),6)=0,"",INDEX('Crawley Expenses'!$A$2:$F$108,MATCH('Crawley Overview'!$A27,'Crawley Expenses'!$A$2:$A$108,0),6))</f>
        <v>1.6916666666666667</v>
      </c>
      <c r="H27" s="2"/>
    </row>
    <row r="28" spans="1:8" x14ac:dyDescent="0.2">
      <c r="A28" s="10" t="s">
        <v>227</v>
      </c>
      <c r="B28" s="10"/>
      <c r="C28" s="10"/>
      <c r="D28" s="10"/>
      <c r="E28" s="10"/>
      <c r="F28" s="51"/>
      <c r="G28" s="81">
        <f>IF(INDEX('Crawley Expenses'!$A$2:$F$108,MATCH('Crawley Overview'!$A28,'Crawley Expenses'!$A$2:$A$108,0),6)=0,"",INDEX('Crawley Expenses'!$A$2:$F$108,MATCH('Crawley Overview'!$A28,'Crawley Expenses'!$A$2:$A$108,0),6))</f>
        <v>1.2177083333333334</v>
      </c>
      <c r="H28" s="2"/>
    </row>
    <row r="29" spans="1:8" x14ac:dyDescent="0.2">
      <c r="A29" s="48" t="s">
        <v>71</v>
      </c>
      <c r="B29" s="46"/>
      <c r="C29" s="46"/>
      <c r="D29" s="46"/>
      <c r="E29" s="46"/>
      <c r="F29" s="52"/>
      <c r="G29" s="52">
        <f>SUM(G21:G28)</f>
        <v>13.438541666666666</v>
      </c>
      <c r="H29" s="2"/>
    </row>
    <row r="30" spans="1:8" x14ac:dyDescent="0.2">
      <c r="A30" s="48" t="s">
        <v>72</v>
      </c>
      <c r="B30" s="46"/>
      <c r="C30" s="46"/>
      <c r="D30" s="46"/>
      <c r="E30" s="46"/>
      <c r="F30" s="52"/>
      <c r="G30" s="52">
        <f>'Crawley Expenses'!F103</f>
        <v>13.403125000000001</v>
      </c>
      <c r="H30" s="50">
        <f>G29-G30</f>
        <v>3.5416666666664653E-2</v>
      </c>
    </row>
    <row r="31" spans="1:8" x14ac:dyDescent="0.2">
      <c r="A31" s="48" t="s">
        <v>373</v>
      </c>
      <c r="B31" s="46"/>
      <c r="C31" s="46"/>
      <c r="D31" s="46"/>
      <c r="E31" s="46"/>
      <c r="F31" s="52"/>
      <c r="G31" s="52">
        <f>'Crawley Expenses'!F108</f>
        <v>8.8708333333333336</v>
      </c>
      <c r="H31" s="2"/>
    </row>
    <row r="32" spans="1:8" x14ac:dyDescent="0.2">
      <c r="A32" s="10"/>
      <c r="B32" s="10"/>
      <c r="C32" s="10"/>
      <c r="D32" s="10"/>
      <c r="E32" s="10"/>
      <c r="F32" s="51"/>
      <c r="G32" s="51"/>
      <c r="H32" s="2"/>
    </row>
    <row r="33" spans="1:9" x14ac:dyDescent="0.2">
      <c r="A33" s="71" t="s">
        <v>73</v>
      </c>
      <c r="B33" s="71"/>
      <c r="C33" s="71"/>
      <c r="D33" s="71"/>
      <c r="E33" s="71"/>
      <c r="F33" s="72"/>
      <c r="G33" s="72">
        <f>'Crawley Expenses'!F105</f>
        <v>42.726041666666667</v>
      </c>
      <c r="H33" s="2"/>
    </row>
    <row r="34" spans="1:9" x14ac:dyDescent="0.2">
      <c r="A34" s="71" t="s">
        <v>74</v>
      </c>
      <c r="B34" s="71"/>
      <c r="C34" s="71"/>
      <c r="D34" s="71"/>
      <c r="E34" s="71"/>
      <c r="F34" s="72"/>
      <c r="G34" s="72"/>
      <c r="H34" s="50"/>
    </row>
    <row r="35" spans="1:9" x14ac:dyDescent="0.2">
      <c r="A35" s="10"/>
      <c r="B35" s="10"/>
      <c r="C35" s="10"/>
      <c r="D35" s="10"/>
      <c r="E35" s="10"/>
      <c r="F35" s="51"/>
      <c r="G35" s="51"/>
      <c r="H35" s="2"/>
    </row>
    <row r="36" spans="1:9" x14ac:dyDescent="0.2">
      <c r="A36" s="71" t="s">
        <v>176</v>
      </c>
      <c r="B36" s="71"/>
      <c r="C36" s="71"/>
      <c r="D36" s="71"/>
      <c r="E36" s="71"/>
      <c r="F36" s="72"/>
      <c r="G36" s="73">
        <f>'Crawley Expenses'!F106</f>
        <v>27.716666666666665</v>
      </c>
      <c r="H36" s="2"/>
    </row>
    <row r="37" spans="1:9" x14ac:dyDescent="0.2">
      <c r="A37" s="74" t="s">
        <v>75</v>
      </c>
      <c r="B37" s="75" t="s">
        <v>174</v>
      </c>
      <c r="C37" s="75"/>
      <c r="D37" s="75"/>
      <c r="E37" s="75"/>
      <c r="F37" s="76"/>
      <c r="G37" s="76"/>
      <c r="H37" s="2"/>
    </row>
    <row r="38" spans="1:9" x14ac:dyDescent="0.2">
      <c r="A38" s="10"/>
      <c r="B38" s="10"/>
      <c r="C38" s="10"/>
      <c r="D38" s="10"/>
      <c r="E38" s="10"/>
      <c r="F38" s="51"/>
      <c r="G38" s="51"/>
      <c r="H38" s="2"/>
    </row>
    <row r="39" spans="1:9" x14ac:dyDescent="0.2">
      <c r="A39" s="71" t="s">
        <v>76</v>
      </c>
      <c r="B39" s="71"/>
      <c r="C39" s="71"/>
      <c r="D39" s="71"/>
      <c r="E39" s="71"/>
      <c r="F39" s="72"/>
      <c r="G39" s="73">
        <f>G33-G36</f>
        <v>15.009375000000002</v>
      </c>
      <c r="H39" s="2"/>
    </row>
    <row r="40" spans="1:9" x14ac:dyDescent="0.2">
      <c r="A40" s="71" t="s">
        <v>77</v>
      </c>
      <c r="B40" s="71"/>
      <c r="C40" s="71"/>
      <c r="D40" s="71"/>
      <c r="E40" s="71"/>
      <c r="F40" s="72"/>
      <c r="G40" s="73">
        <f>'Crawley Expenses'!F107</f>
        <v>15.009375</v>
      </c>
      <c r="H40" s="50">
        <f>G39-G40</f>
        <v>0</v>
      </c>
    </row>
    <row r="41" spans="1:9" x14ac:dyDescent="0.2">
      <c r="A41" s="10"/>
      <c r="B41" s="10"/>
      <c r="C41" s="10"/>
      <c r="D41" s="10"/>
      <c r="E41" s="10"/>
      <c r="F41" s="51"/>
      <c r="G41" s="51"/>
      <c r="H41" s="2"/>
    </row>
    <row r="42" spans="1:9" x14ac:dyDescent="0.2">
      <c r="A42" s="45" t="s">
        <v>78</v>
      </c>
      <c r="B42" s="104" t="s">
        <v>208</v>
      </c>
      <c r="C42" s="104"/>
      <c r="D42" s="46"/>
      <c r="E42" s="46"/>
      <c r="F42" s="52"/>
      <c r="G42" s="52"/>
      <c r="H42" s="2"/>
    </row>
    <row r="43" spans="1:9" x14ac:dyDescent="0.2">
      <c r="A43" s="9" t="s">
        <v>79</v>
      </c>
      <c r="B43" s="78" t="s">
        <v>46</v>
      </c>
      <c r="C43" s="15"/>
      <c r="D43" s="10"/>
      <c r="E43" s="10"/>
      <c r="F43" s="51"/>
      <c r="G43" s="79" t="s">
        <v>0</v>
      </c>
      <c r="H43" s="2"/>
      <c r="I43" t="s">
        <v>235</v>
      </c>
    </row>
    <row r="44" spans="1:9" x14ac:dyDescent="0.2">
      <c r="A44" t="s">
        <v>229</v>
      </c>
      <c r="B44" s="68">
        <f>IF(INDEX('Issues of the Grange'!$A$2:$P$26,MATCH('Crawley Overview'!$A44,'Issues of the Grange'!$A$2:$A$26,0),10)=0,"",INDEX('Issues of the Grange'!$A$2:$P$26,MATCH('Crawley Overview'!$A44,'Issues of the Grange'!$A$2:$A$26,0),10))</f>
        <v>40</v>
      </c>
      <c r="C44" s="10"/>
      <c r="D44" s="10"/>
      <c r="E44" s="10"/>
      <c r="F44" s="51"/>
      <c r="G44" s="81">
        <f>IF(INDEX('Issues of the Grange'!$A$2:$P$26,MATCH('Crawley Overview'!$A44,'Issues of the Grange'!$A$2:$A$26,0),13)=0,"",INDEX('Issues of the Grange'!$A$2:$P$26,MATCH('Crawley Overview'!$A44,'Issues of the Grange'!$A$2:$A$26,0),13))</f>
        <v>11.908333333333335</v>
      </c>
      <c r="H44" s="2"/>
    </row>
    <row r="45" spans="1:9" x14ac:dyDescent="0.2">
      <c r="A45" t="s">
        <v>230</v>
      </c>
      <c r="B45" s="68">
        <f>IF(INDEX('Issues of the Grange'!$A$2:$P$26,MATCH('Crawley Overview'!$A45,'Issues of the Grange'!$A$2:$A$26,0),10)=0,"",INDEX('Issues of the Grange'!$A$2:$P$26,MATCH('Crawley Overview'!$A45,'Issues of the Grange'!$A$2:$A$26,0),10))</f>
        <v>12.0625</v>
      </c>
      <c r="C45" s="10"/>
      <c r="D45" s="10"/>
      <c r="E45" s="10"/>
      <c r="F45" s="51"/>
      <c r="G45" s="81">
        <f>IF(INDEX('Issues of the Grange'!$A$2:$P$26,MATCH('Crawley Overview'!$A45,'Issues of the Grange'!$A$2:$A$26,0),13)=0,"",INDEX('Issues of the Grange'!$A$2:$P$26,MATCH('Crawley Overview'!$A45,'Issues of the Grange'!$A$2:$A$26,0),13))</f>
        <v>2.2770833333333331</v>
      </c>
      <c r="H45" s="2"/>
    </row>
    <row r="46" spans="1:9" x14ac:dyDescent="0.2">
      <c r="A46" t="s">
        <v>370</v>
      </c>
      <c r="B46" s="68" t="str">
        <f>IF(INDEX('Issues of the Grange'!$A$2:$P$26,MATCH('Crawley Overview'!$A46,'Issues of the Grange'!$A$2:$A$26,0),10)=0,"",INDEX('Issues of the Grange'!$A$2:$P$26,MATCH('Crawley Overview'!$A46,'Issues of the Grange'!$A$2:$A$26,0),10))</f>
        <v/>
      </c>
      <c r="C46" s="10"/>
      <c r="D46" s="10"/>
      <c r="E46" s="10"/>
      <c r="F46" s="51"/>
      <c r="G46" s="81" t="str">
        <f>IF(INDEX('Issues of the Grange'!$A$2:$P$26,MATCH('Crawley Overview'!$A46,'Issues of the Grange'!$A$2:$A$26,0),13)=0,"",INDEX('Issues of the Grange'!$A$2:$P$26,MATCH('Crawley Overview'!$A46,'Issues of the Grange'!$A$2:$A$26,0),13))</f>
        <v/>
      </c>
      <c r="H46" s="2"/>
    </row>
    <row r="47" spans="1:9" x14ac:dyDescent="0.2">
      <c r="A47" t="s">
        <v>231</v>
      </c>
      <c r="B47" s="68">
        <f>IF(INDEX('Issues of the Grange'!$A$2:$P$26,MATCH('Crawley Overview'!$A47,'Issues of the Grange'!$A$2:$A$26,0),10)=0,"",INDEX('Issues of the Grange'!$A$2:$P$26,MATCH('Crawley Overview'!$A47,'Issues of the Grange'!$A$2:$A$26,0),10))</f>
        <v>22.1875</v>
      </c>
      <c r="C47" s="10"/>
      <c r="D47" s="10"/>
      <c r="E47" s="10"/>
      <c r="F47" s="51"/>
      <c r="G47" s="81">
        <f>IF(INDEX('Issues of the Grange'!$A$2:$P$26,MATCH('Crawley Overview'!$A47,'Issues of the Grange'!$A$2:$A$26,0),13)=0,"",INDEX('Issues of the Grange'!$A$2:$P$26,MATCH('Crawley Overview'!$A47,'Issues of the Grange'!$A$2:$A$26,0),13))</f>
        <v>4.4832045880149805</v>
      </c>
      <c r="H47" s="2"/>
    </row>
    <row r="48" spans="1:9" x14ac:dyDescent="0.2">
      <c r="A48" t="s">
        <v>232</v>
      </c>
      <c r="B48" s="68">
        <f>IF(INDEX('Issues of the Grange'!$A$2:$P$26,MATCH('Crawley Overview'!$A48,'Issues of the Grange'!$A$2:$A$26,0),10)=0,"",INDEX('Issues of the Grange'!$A$2:$P$26,MATCH('Crawley Overview'!$A48,'Issues of the Grange'!$A$2:$A$26,0),10))</f>
        <v>43</v>
      </c>
      <c r="C48" s="10"/>
      <c r="D48" s="10"/>
      <c r="E48" s="10"/>
      <c r="F48" s="51"/>
      <c r="G48" s="81">
        <f>IF(INDEX('Issues of the Grange'!$A$2:$P$26,MATCH('Crawley Overview'!$A48,'Issues of the Grange'!$A$2:$A$26,0),13)=0,"",INDEX('Issues of the Grange'!$A$2:$P$26,MATCH('Crawley Overview'!$A48,'Issues of the Grange'!$A$2:$A$26,0),13))</f>
        <v>4.3833333333333329</v>
      </c>
      <c r="H48" s="2"/>
    </row>
    <row r="49" spans="1:9" x14ac:dyDescent="0.2">
      <c r="A49" t="s">
        <v>233</v>
      </c>
      <c r="B49" s="68">
        <f>IF(INDEX('Issues of the Grange'!$A$2:$P$26,MATCH('Crawley Overview'!$A49,'Issues of the Grange'!$A$2:$A$26,0),10)=0,"",INDEX('Issues of the Grange'!$A$2:$P$26,MATCH('Crawley Overview'!$A49,'Issues of the Grange'!$A$2:$A$26,0),10))</f>
        <v>3.125</v>
      </c>
      <c r="C49" s="10"/>
      <c r="D49" s="10"/>
      <c r="E49" s="10"/>
      <c r="F49" s="51"/>
      <c r="G49" s="81">
        <f>IF(INDEX('Issues of the Grange'!$A$2:$P$26,MATCH('Crawley Overview'!$A49,'Issues of the Grange'!$A$2:$A$26,0),13)=0,"",INDEX('Issues of the Grange'!$A$2:$P$26,MATCH('Crawley Overview'!$A49,'Issues of the Grange'!$A$2:$A$26,0),13))</f>
        <v>0.46875</v>
      </c>
      <c r="H49" s="2"/>
    </row>
    <row r="50" spans="1:9" x14ac:dyDescent="0.2">
      <c r="A50" t="s">
        <v>234</v>
      </c>
      <c r="B50" s="68">
        <f>IF(INDEX('Issues of the Grange'!$A$2:$P$26,MATCH('Crawley Overview'!$A50,'Issues of the Grange'!$A$2:$A$26,0),10)=0,"",INDEX('Issues of the Grange'!$A$2:$P$26,MATCH('Crawley Overview'!$A50,'Issues of the Grange'!$A$2:$A$26,0),10))</f>
        <v>4.5</v>
      </c>
      <c r="C50" s="10"/>
      <c r="D50" s="10"/>
      <c r="E50" s="10"/>
      <c r="F50" s="51"/>
      <c r="G50" s="81">
        <f>IF(INDEX('Issues of the Grange'!$A$2:$P$26,MATCH('Crawley Overview'!$A50,'Issues of the Grange'!$A$2:$A$26,0),13)=0,"",INDEX('Issues of the Grange'!$A$2:$P$26,MATCH('Crawley Overview'!$A50,'Issues of the Grange'!$A$2:$A$26,0),13))</f>
        <v>0.45</v>
      </c>
      <c r="H50" s="2"/>
    </row>
    <row r="51" spans="1:9" x14ac:dyDescent="0.2">
      <c r="A51" s="48" t="s">
        <v>207</v>
      </c>
      <c r="B51" s="46"/>
      <c r="C51" s="46"/>
      <c r="D51" s="46"/>
      <c r="E51" s="46"/>
      <c r="F51" s="52"/>
      <c r="G51" s="77">
        <f>SUM(G44:G50)</f>
        <v>23.970704588014982</v>
      </c>
      <c r="H51" s="2"/>
    </row>
    <row r="52" spans="1:9" x14ac:dyDescent="0.2">
      <c r="A52" s="48" t="s">
        <v>81</v>
      </c>
      <c r="B52" s="46"/>
      <c r="C52" s="46"/>
      <c r="D52" s="46"/>
      <c r="E52" s="46"/>
      <c r="F52" s="52"/>
      <c r="G52" s="52">
        <f>'Issues of the Grange'!N26</f>
        <v>23.983333333333334</v>
      </c>
      <c r="H52" s="2"/>
    </row>
    <row r="53" spans="1:9" x14ac:dyDescent="0.2">
      <c r="A53" s="10"/>
      <c r="B53" s="10"/>
      <c r="C53" s="10"/>
      <c r="D53" s="10"/>
      <c r="E53" s="10"/>
      <c r="F53" s="51"/>
      <c r="G53" s="51"/>
      <c r="H53" s="2"/>
    </row>
    <row r="54" spans="1:9" x14ac:dyDescent="0.2">
      <c r="A54" s="45" t="s">
        <v>82</v>
      </c>
      <c r="B54" s="46"/>
      <c r="C54" s="46"/>
      <c r="D54" s="46"/>
      <c r="E54" s="46"/>
      <c r="F54" s="52"/>
      <c r="G54" s="52"/>
      <c r="H54" s="2"/>
    </row>
    <row r="55" spans="1:9" x14ac:dyDescent="0.2">
      <c r="A55" s="9" t="s">
        <v>83</v>
      </c>
      <c r="B55" s="13" t="s">
        <v>46</v>
      </c>
      <c r="C55" s="15" t="s">
        <v>47</v>
      </c>
      <c r="D55" s="10"/>
      <c r="E55" s="10"/>
      <c r="F55" s="51"/>
      <c r="G55" s="65" t="s">
        <v>0</v>
      </c>
      <c r="H55" s="2"/>
      <c r="I55" t="s">
        <v>376</v>
      </c>
    </row>
    <row r="56" spans="1:9" x14ac:dyDescent="0.2">
      <c r="A56" s="10" t="s">
        <v>49</v>
      </c>
      <c r="B56" s="10"/>
      <c r="C56" s="10"/>
      <c r="D56" s="10"/>
      <c r="E56" s="10"/>
      <c r="F56" s="51"/>
      <c r="G56" s="51"/>
      <c r="H56" s="2"/>
    </row>
    <row r="57" spans="1:9" x14ac:dyDescent="0.2">
      <c r="A57" s="10" t="s">
        <v>84</v>
      </c>
      <c r="B57" s="10"/>
      <c r="C57" s="10"/>
      <c r="D57" s="10"/>
      <c r="E57" s="10"/>
      <c r="F57" s="51"/>
      <c r="G57" s="51"/>
      <c r="H57" s="2"/>
    </row>
    <row r="58" spans="1:9" x14ac:dyDescent="0.2">
      <c r="A58" s="10" t="s">
        <v>85</v>
      </c>
      <c r="B58" s="10"/>
      <c r="C58" s="10"/>
      <c r="D58" s="10"/>
      <c r="E58" s="10"/>
      <c r="F58" s="51"/>
      <c r="G58" s="51"/>
      <c r="H58" s="2"/>
    </row>
    <row r="59" spans="1:9" x14ac:dyDescent="0.2">
      <c r="A59" s="10" t="s">
        <v>86</v>
      </c>
      <c r="B59" s="10"/>
      <c r="C59" s="10"/>
      <c r="D59" s="10"/>
      <c r="E59" s="10"/>
      <c r="F59" s="51"/>
      <c r="G59" s="51"/>
      <c r="H59" s="2"/>
    </row>
    <row r="60" spans="1:9" x14ac:dyDescent="0.2">
      <c r="A60" s="10" t="s">
        <v>87</v>
      </c>
      <c r="B60" s="10"/>
      <c r="C60" s="10"/>
      <c r="D60" s="10"/>
      <c r="E60" s="10"/>
      <c r="F60" s="51"/>
      <c r="G60" s="51"/>
      <c r="H60" s="2"/>
    </row>
    <row r="61" spans="1:9" x14ac:dyDescent="0.2">
      <c r="A61" s="48" t="s">
        <v>80</v>
      </c>
      <c r="B61" s="46"/>
      <c r="C61" s="46"/>
      <c r="D61" s="46"/>
      <c r="E61" s="46"/>
      <c r="F61" s="52"/>
      <c r="G61" s="77"/>
      <c r="H61" s="2"/>
    </row>
    <row r="62" spans="1:9" x14ac:dyDescent="0.2">
      <c r="A62" s="48" t="s">
        <v>81</v>
      </c>
      <c r="B62" s="46"/>
      <c r="C62" s="46"/>
      <c r="D62" s="46"/>
      <c r="E62" s="46"/>
      <c r="F62" s="52"/>
      <c r="G62" s="77"/>
      <c r="H62" s="2"/>
    </row>
    <row r="63" spans="1:9" x14ac:dyDescent="0.2">
      <c r="A63" s="10"/>
      <c r="B63" s="10"/>
      <c r="C63" s="10"/>
      <c r="D63" s="10"/>
      <c r="E63" s="10"/>
      <c r="F63" s="51"/>
      <c r="G63" s="51"/>
      <c r="H63" s="2"/>
    </row>
    <row r="64" spans="1:9" x14ac:dyDescent="0.2">
      <c r="A64" s="45" t="s">
        <v>88</v>
      </c>
      <c r="B64" s="46"/>
      <c r="C64" s="46"/>
      <c r="D64" s="46"/>
      <c r="E64" s="46"/>
      <c r="F64" s="52"/>
      <c r="G64" s="52"/>
      <c r="H64" s="2"/>
    </row>
    <row r="65" spans="1:8" ht="51" x14ac:dyDescent="0.2">
      <c r="A65" s="70" t="s">
        <v>89</v>
      </c>
      <c r="B65" s="66" t="s">
        <v>142</v>
      </c>
      <c r="C65" s="66" t="s">
        <v>148</v>
      </c>
      <c r="D65" s="67" t="s">
        <v>90</v>
      </c>
      <c r="E65" s="68"/>
      <c r="F65" s="69" t="s">
        <v>151</v>
      </c>
      <c r="G65" s="69" t="s">
        <v>166</v>
      </c>
      <c r="H65" s="2"/>
    </row>
    <row r="66" spans="1:8" ht="17" x14ac:dyDescent="0.2">
      <c r="A66" s="53" t="s">
        <v>91</v>
      </c>
      <c r="B66" s="68">
        <f>IFERROR(INDEX(Stock!$A$3:$T$92,MATCH('Crawley Overview'!$A66,Stock!$A$3:$A$92,0),MATCH('Crawley Overview'!B$65,Stock!$A$3:$T$3,0)),0)</f>
        <v>2</v>
      </c>
      <c r="C66" s="68">
        <f>IFERROR(INDEX(Stock!$A$3:$T$92,MATCH('Crawley Overview'!$A66,Stock!$A$3:$A$92,0),MATCH('Crawley Overview'!C$65,Stock!$A$3:$T$3,0)),0)</f>
        <v>2</v>
      </c>
      <c r="D66" s="68">
        <f>C66-B66</f>
        <v>0</v>
      </c>
      <c r="E66" s="51"/>
      <c r="F66" s="81" t="str">
        <f>IFERROR(INDEX(Stock!$A$3:$T$92,MATCH('Crawley Overview'!$A66,Stock!$A$3:$A$92,0),MATCH('Crawley Overview'!F$65,Stock!$A$3:$T$3,0)),0)</f>
        <v/>
      </c>
      <c r="G66" s="81" t="str">
        <f>IFERROR(INDEX(Stock!$A$3:$T$92,MATCH('Crawley Overview'!$A66,Stock!$A$3:$A$92,0),MATCH('Crawley Overview'!G$65,Stock!$A$3:$T$3,0)),0)</f>
        <v/>
      </c>
      <c r="H66" s="2"/>
    </row>
    <row r="67" spans="1:8" ht="17" x14ac:dyDescent="0.2">
      <c r="A67" s="53" t="s">
        <v>92</v>
      </c>
      <c r="B67" s="68">
        <f>IFERROR(INDEX(Stock!$A$3:$T$92,MATCH('Crawley Overview'!$A67,Stock!$A$3:$A$92,0),MATCH('Crawley Overview'!B$65,Stock!$A$3:$T$3,0)),0)</f>
        <v>0</v>
      </c>
      <c r="C67" s="68">
        <f>IFERROR(INDEX(Stock!$A$3:$T$92,MATCH('Crawley Overview'!$A67,Stock!$A$3:$A$92,0),MATCH('Crawley Overview'!C$65,Stock!$A$3:$T$3,0)),0)</f>
        <v>0</v>
      </c>
      <c r="D67" s="68">
        <f t="shared" ref="D67:D91" si="0">C67-B67</f>
        <v>0</v>
      </c>
      <c r="E67" s="51"/>
      <c r="F67" s="81" t="str">
        <f>IFERROR(INDEX(Stock!$A$3:$T$92,MATCH('Crawley Overview'!$A67,Stock!$A$3:$A$92,0),MATCH('Crawley Overview'!F$65,Stock!$A$3:$T$3,0)),0)</f>
        <v/>
      </c>
      <c r="G67" s="81" t="str">
        <f>IFERROR(INDEX(Stock!$A$3:$T$92,MATCH('Crawley Overview'!$A67,Stock!$A$3:$A$92,0),MATCH('Crawley Overview'!G$65,Stock!$A$3:$T$3,0)),0)</f>
        <v/>
      </c>
      <c r="H67" s="2"/>
    </row>
    <row r="68" spans="1:8" x14ac:dyDescent="0.2">
      <c r="A68" s="10" t="s">
        <v>93</v>
      </c>
      <c r="B68" s="68">
        <f>IFERROR(INDEX(Stock!$A$3:$T$92,MATCH('Crawley Overview'!$A68,Stock!$A$3:$A$92,0),MATCH('Crawley Overview'!B$65,Stock!$A$3:$T$3,0)),0)</f>
        <v>5</v>
      </c>
      <c r="C68" s="68">
        <f>IFERROR(INDEX(Stock!$A$3:$T$92,MATCH('Crawley Overview'!$A68,Stock!$A$3:$A$92,0),MATCH('Crawley Overview'!C$65,Stock!$A$3:$T$3,0)),0)</f>
        <v>6</v>
      </c>
      <c r="D68" s="68">
        <f t="shared" si="0"/>
        <v>1</v>
      </c>
      <c r="E68" s="51"/>
      <c r="F68" s="81" t="str">
        <f>IFERROR(INDEX(Stock!$A$3:$T$92,MATCH('Crawley Overview'!$A68,Stock!$A$3:$A$92,0),MATCH('Crawley Overview'!F$65,Stock!$A$3:$T$3,0)),0)</f>
        <v/>
      </c>
      <c r="G68" s="81" t="str">
        <f>IFERROR(INDEX(Stock!$A$3:$T$92,MATCH('Crawley Overview'!$A68,Stock!$A$3:$A$92,0),MATCH('Crawley Overview'!G$65,Stock!$A$3:$T$3,0)),0)</f>
        <v/>
      </c>
      <c r="H68" s="2"/>
    </row>
    <row r="69" spans="1:8" x14ac:dyDescent="0.2">
      <c r="A69" s="10" t="s">
        <v>94</v>
      </c>
      <c r="B69" s="68">
        <f>IFERROR(INDEX(Stock!$A$3:$T$92,MATCH('Crawley Overview'!$A69,Stock!$A$3:$A$92,0),MATCH('Crawley Overview'!B$65,Stock!$A$3:$T$3,0)),0)</f>
        <v>0</v>
      </c>
      <c r="C69" s="68">
        <f>IFERROR(INDEX(Stock!$A$3:$T$92,MATCH('Crawley Overview'!$A69,Stock!$A$3:$A$92,0),MATCH('Crawley Overview'!C$65,Stock!$A$3:$T$3,0)),0)</f>
        <v>0</v>
      </c>
      <c r="D69" s="68">
        <f t="shared" si="0"/>
        <v>0</v>
      </c>
      <c r="E69" s="51"/>
      <c r="F69" s="81" t="str">
        <f>IFERROR(INDEX(Stock!$A$3:$T$92,MATCH('Crawley Overview'!$A69,Stock!$A$3:$A$92,0),MATCH('Crawley Overview'!F$65,Stock!$A$3:$T$3,0)),0)</f>
        <v/>
      </c>
      <c r="G69" s="81" t="str">
        <f>IFERROR(INDEX(Stock!$A$3:$T$92,MATCH('Crawley Overview'!$A69,Stock!$A$3:$A$92,0),MATCH('Crawley Overview'!G$65,Stock!$A$3:$T$3,0)),0)</f>
        <v/>
      </c>
      <c r="H69" s="2"/>
    </row>
    <row r="70" spans="1:8" x14ac:dyDescent="0.2">
      <c r="A70" s="10" t="s">
        <v>94</v>
      </c>
      <c r="B70" s="68">
        <f>IFERROR(INDEX(Stock!$A$3:$T$92,MATCH('Crawley Overview'!$A70,Stock!$A$3:$A$92,0),MATCH('Crawley Overview'!B$65,Stock!$A$3:$T$3,0)),0)</f>
        <v>0</v>
      </c>
      <c r="C70" s="68">
        <f>IFERROR(INDEX(Stock!$A$3:$T$92,MATCH('Crawley Overview'!$A70,Stock!$A$3:$A$92,0),MATCH('Crawley Overview'!C$65,Stock!$A$3:$T$3,0)),0)</f>
        <v>0</v>
      </c>
      <c r="D70" s="68">
        <f t="shared" si="0"/>
        <v>0</v>
      </c>
      <c r="E70" s="51"/>
      <c r="F70" s="81" t="str">
        <f>IFERROR(INDEX(Stock!$A$3:$T$92,MATCH('Crawley Overview'!$A70,Stock!$A$3:$A$92,0),MATCH('Crawley Overview'!F$65,Stock!$A$3:$T$3,0)),0)</f>
        <v/>
      </c>
      <c r="G70" s="81" t="str">
        <f>IFERROR(INDEX(Stock!$A$3:$T$92,MATCH('Crawley Overview'!$A70,Stock!$A$3:$A$92,0),MATCH('Crawley Overview'!G$65,Stock!$A$3:$T$3,0)),0)</f>
        <v/>
      </c>
      <c r="H70" s="2"/>
    </row>
    <row r="71" spans="1:8" x14ac:dyDescent="0.2">
      <c r="A71" s="10" t="s">
        <v>95</v>
      </c>
      <c r="B71" s="68">
        <f>IFERROR(INDEX(Stock!$A$3:$T$92,MATCH('Crawley Overview'!$A71,Stock!$A$3:$A$92,0),MATCH('Crawley Overview'!B$65,Stock!$A$3:$T$3,0)),0)</f>
        <v>0</v>
      </c>
      <c r="C71" s="68">
        <f>IFERROR(INDEX(Stock!$A$3:$T$92,MATCH('Crawley Overview'!$A71,Stock!$A$3:$A$92,0),MATCH('Crawley Overview'!C$65,Stock!$A$3:$T$3,0)),0)</f>
        <v>0</v>
      </c>
      <c r="D71" s="68">
        <f t="shared" si="0"/>
        <v>0</v>
      </c>
      <c r="E71" s="51"/>
      <c r="F71" s="81" t="str">
        <f>IFERROR(INDEX(Stock!$A$3:$T$92,MATCH('Crawley Overview'!$A71,Stock!$A$3:$A$92,0),MATCH('Crawley Overview'!F$65,Stock!$A$3:$T$3,0)),0)</f>
        <v/>
      </c>
      <c r="G71" s="81" t="str">
        <f>IFERROR(INDEX(Stock!$A$3:$T$92,MATCH('Crawley Overview'!$A71,Stock!$A$3:$A$92,0),MATCH('Crawley Overview'!G$65,Stock!$A$3:$T$3,0)),0)</f>
        <v/>
      </c>
      <c r="H71" s="2"/>
    </row>
    <row r="72" spans="1:8" x14ac:dyDescent="0.2">
      <c r="A72" s="10" t="s">
        <v>96</v>
      </c>
      <c r="B72" s="68">
        <f>IFERROR(INDEX(Stock!$A$3:$T$92,MATCH('Crawley Overview'!$A72,Stock!$A$3:$A$92,0),MATCH('Crawley Overview'!B$65,Stock!$A$3:$T$3,0)),0)</f>
        <v>0</v>
      </c>
      <c r="C72" s="68">
        <f>IFERROR(INDEX(Stock!$A$3:$T$92,MATCH('Crawley Overview'!$A72,Stock!$A$3:$A$92,0),MATCH('Crawley Overview'!C$65,Stock!$A$3:$T$3,0)),0)</f>
        <v>0</v>
      </c>
      <c r="D72" s="68">
        <f t="shared" si="0"/>
        <v>0</v>
      </c>
      <c r="E72" s="51"/>
      <c r="F72" s="81" t="str">
        <f>IFERROR(INDEX(Stock!$A$3:$T$92,MATCH('Crawley Overview'!$A72,Stock!$A$3:$A$92,0),MATCH('Crawley Overview'!F$65,Stock!$A$3:$T$3,0)),0)</f>
        <v/>
      </c>
      <c r="G72" s="81" t="str">
        <f>IFERROR(INDEX(Stock!$A$3:$T$92,MATCH('Crawley Overview'!$A72,Stock!$A$3:$A$92,0),MATCH('Crawley Overview'!G$65,Stock!$A$3:$T$3,0)),0)</f>
        <v/>
      </c>
      <c r="H72" s="2"/>
    </row>
    <row r="73" spans="1:8" x14ac:dyDescent="0.2">
      <c r="A73" s="10" t="s">
        <v>97</v>
      </c>
      <c r="B73" s="68">
        <f>IFERROR(INDEX(Stock!$A$3:$T$92,MATCH('Crawley Overview'!$A73,Stock!$A$3:$A$92,0),MATCH('Crawley Overview'!B$65,Stock!$A$3:$T$3,0)),0)</f>
        <v>30</v>
      </c>
      <c r="C73" s="68">
        <f>IFERROR(INDEX(Stock!$A$3:$T$92,MATCH('Crawley Overview'!$A73,Stock!$A$3:$A$92,0),MATCH('Crawley Overview'!C$65,Stock!$A$3:$T$3,0)),0)</f>
        <v>35</v>
      </c>
      <c r="D73" s="68">
        <f t="shared" si="0"/>
        <v>5</v>
      </c>
      <c r="E73" s="51"/>
      <c r="F73" s="81" t="str">
        <f>IFERROR(INDEX(Stock!$A$3:$T$92,MATCH('Crawley Overview'!$A73,Stock!$A$3:$A$92,0),MATCH('Crawley Overview'!F$65,Stock!$A$3:$T$3,0)),0)</f>
        <v/>
      </c>
      <c r="G73" s="81" t="str">
        <f>IFERROR(INDEX(Stock!$A$3:$T$92,MATCH('Crawley Overview'!$A73,Stock!$A$3:$A$92,0),MATCH('Crawley Overview'!G$65,Stock!$A$3:$T$3,0)),0)</f>
        <v/>
      </c>
      <c r="H73" s="2"/>
    </row>
    <row r="74" spans="1:8" x14ac:dyDescent="0.2">
      <c r="A74" s="10" t="s">
        <v>98</v>
      </c>
      <c r="B74" s="68">
        <f>IFERROR(INDEX(Stock!$A$3:$T$92,MATCH('Crawley Overview'!$A74,Stock!$A$3:$A$92,0),MATCH('Crawley Overview'!B$65,Stock!$A$3:$T$3,0)),0)</f>
        <v>1</v>
      </c>
      <c r="C74" s="68">
        <f>IFERROR(INDEX(Stock!$A$3:$T$92,MATCH('Crawley Overview'!$A74,Stock!$A$3:$A$92,0),MATCH('Crawley Overview'!C$65,Stock!$A$3:$T$3,0)),0)</f>
        <v>1</v>
      </c>
      <c r="D74" s="68">
        <f t="shared" si="0"/>
        <v>0</v>
      </c>
      <c r="E74" s="51"/>
      <c r="F74" s="81" t="str">
        <f>IFERROR(INDEX(Stock!$A$3:$T$92,MATCH('Crawley Overview'!$A74,Stock!$A$3:$A$92,0),MATCH('Crawley Overview'!F$65,Stock!$A$3:$T$3,0)),0)</f>
        <v/>
      </c>
      <c r="G74" s="81" t="str">
        <f>IFERROR(INDEX(Stock!$A$3:$T$92,MATCH('Crawley Overview'!$A74,Stock!$A$3:$A$92,0),MATCH('Crawley Overview'!G$65,Stock!$A$3:$T$3,0)),0)</f>
        <v/>
      </c>
      <c r="H74" s="2"/>
    </row>
    <row r="75" spans="1:8" x14ac:dyDescent="0.2">
      <c r="A75" s="10" t="s">
        <v>99</v>
      </c>
      <c r="B75" s="68">
        <f>IFERROR(INDEX(Stock!$A$3:$T$92,MATCH('Crawley Overview'!$A75,Stock!$A$3:$A$92,0),MATCH('Crawley Overview'!B$65,Stock!$A$3:$T$3,0)),0)</f>
        <v>17</v>
      </c>
      <c r="C75" s="68">
        <f>IFERROR(INDEX(Stock!$A$3:$T$92,MATCH('Crawley Overview'!$A75,Stock!$A$3:$A$92,0),MATCH('Crawley Overview'!C$65,Stock!$A$3:$T$3,0)),0)</f>
        <v>19</v>
      </c>
      <c r="D75" s="68">
        <f t="shared" si="0"/>
        <v>2</v>
      </c>
      <c r="E75" s="51"/>
      <c r="F75" s="81" t="str">
        <f>IFERROR(INDEX(Stock!$A$3:$T$92,MATCH('Crawley Overview'!$A75,Stock!$A$3:$A$92,0),MATCH('Crawley Overview'!F$65,Stock!$A$3:$T$3,0)),0)</f>
        <v/>
      </c>
      <c r="G75" s="81" t="str">
        <f>IFERROR(INDEX(Stock!$A$3:$T$92,MATCH('Crawley Overview'!$A75,Stock!$A$3:$A$92,0),MATCH('Crawley Overview'!G$65,Stock!$A$3:$T$3,0)),0)</f>
        <v/>
      </c>
      <c r="H75" s="2"/>
    </row>
    <row r="76" spans="1:8" x14ac:dyDescent="0.2">
      <c r="A76" s="10" t="s">
        <v>100</v>
      </c>
      <c r="B76" s="68">
        <f>IFERROR(INDEX(Stock!$A$3:$T$92,MATCH('Crawley Overview'!$A76,Stock!$A$3:$A$92,0),MATCH('Crawley Overview'!B$65,Stock!$A$3:$T$3,0)),0)</f>
        <v>4</v>
      </c>
      <c r="C76" s="68">
        <f>IFERROR(INDEX(Stock!$A$3:$T$92,MATCH('Crawley Overview'!$A76,Stock!$A$3:$A$92,0),MATCH('Crawley Overview'!C$65,Stock!$A$3:$T$3,0)),0)</f>
        <v>0</v>
      </c>
      <c r="D76" s="68">
        <f t="shared" si="0"/>
        <v>-4</v>
      </c>
      <c r="E76" s="51"/>
      <c r="F76" s="81" t="str">
        <f>IFERROR(INDEX(Stock!$A$3:$T$92,MATCH('Crawley Overview'!$A76,Stock!$A$3:$A$92,0),MATCH('Crawley Overview'!F$65,Stock!$A$3:$T$3,0)),0)</f>
        <v/>
      </c>
      <c r="G76" s="81" t="str">
        <f>IFERROR(INDEX(Stock!$A$3:$T$92,MATCH('Crawley Overview'!$A76,Stock!$A$3:$A$92,0),MATCH('Crawley Overview'!G$65,Stock!$A$3:$T$3,0)),0)</f>
        <v/>
      </c>
      <c r="H76" s="2"/>
    </row>
    <row r="77" spans="1:8" x14ac:dyDescent="0.2">
      <c r="A77" s="10" t="s">
        <v>101</v>
      </c>
      <c r="B77" s="68">
        <f>IFERROR(INDEX(Stock!$A$3:$T$92,MATCH('Crawley Overview'!$A77,Stock!$A$3:$A$92,0),MATCH('Crawley Overview'!B$65,Stock!$A$3:$T$3,0)),0)</f>
        <v>5</v>
      </c>
      <c r="C77" s="68">
        <f>IFERROR(INDEX(Stock!$A$3:$T$92,MATCH('Crawley Overview'!$A77,Stock!$A$3:$A$92,0),MATCH('Crawley Overview'!C$65,Stock!$A$3:$T$3,0)),0)</f>
        <v>4</v>
      </c>
      <c r="D77" s="68">
        <f t="shared" si="0"/>
        <v>-1</v>
      </c>
      <c r="E77" s="51"/>
      <c r="F77" s="81" t="str">
        <f>IFERROR(INDEX(Stock!$A$3:$T$92,MATCH('Crawley Overview'!$A77,Stock!$A$3:$A$92,0),MATCH('Crawley Overview'!F$65,Stock!$A$3:$T$3,0)),0)</f>
        <v/>
      </c>
      <c r="G77" s="81" t="str">
        <f>IFERROR(INDEX(Stock!$A$3:$T$92,MATCH('Crawley Overview'!$A77,Stock!$A$3:$A$92,0),MATCH('Crawley Overview'!G$65,Stock!$A$3:$T$3,0)),0)</f>
        <v/>
      </c>
      <c r="H77" s="2"/>
    </row>
    <row r="78" spans="1:8" x14ac:dyDescent="0.2">
      <c r="A78" s="10" t="s">
        <v>102</v>
      </c>
      <c r="B78" s="68">
        <f>IFERROR(INDEX(Stock!$A$3:$T$92,MATCH('Crawley Overview'!$A78,Stock!$A$3:$A$92,0),MATCH('Crawley Overview'!B$65,Stock!$A$3:$T$3,0)),0)</f>
        <v>6</v>
      </c>
      <c r="C78" s="68">
        <f>IFERROR(INDEX(Stock!$A$3:$T$92,MATCH('Crawley Overview'!$A78,Stock!$A$3:$A$92,0),MATCH('Crawley Overview'!C$65,Stock!$A$3:$T$3,0)),0)</f>
        <v>5</v>
      </c>
      <c r="D78" s="68">
        <f t="shared" si="0"/>
        <v>-1</v>
      </c>
      <c r="E78" s="51"/>
      <c r="F78" s="81" t="str">
        <f>IFERROR(INDEX(Stock!$A$3:$T$92,MATCH('Crawley Overview'!$A78,Stock!$A$3:$A$92,0),MATCH('Crawley Overview'!F$65,Stock!$A$3:$T$3,0)),0)</f>
        <v/>
      </c>
      <c r="G78" s="81" t="str">
        <f>IFERROR(INDEX(Stock!$A$3:$T$92,MATCH('Crawley Overview'!$A78,Stock!$A$3:$A$92,0),MATCH('Crawley Overview'!G$65,Stock!$A$3:$T$3,0)),0)</f>
        <v/>
      </c>
      <c r="H78" s="2"/>
    </row>
    <row r="79" spans="1:8" x14ac:dyDescent="0.2">
      <c r="A79" s="10" t="s">
        <v>103</v>
      </c>
      <c r="B79" s="68">
        <f>IFERROR(INDEX(Stock!$A$3:$T$92,MATCH('Crawley Overview'!$A79,Stock!$A$3:$A$92,0),MATCH('Crawley Overview'!B$65,Stock!$A$3:$T$3,0)),0)</f>
        <v>0</v>
      </c>
      <c r="C79" s="68">
        <f>IFERROR(INDEX(Stock!$A$3:$T$92,MATCH('Crawley Overview'!$A79,Stock!$A$3:$A$92,0),MATCH('Crawley Overview'!C$65,Stock!$A$3:$T$3,0)),0)</f>
        <v>6</v>
      </c>
      <c r="D79" s="68">
        <f t="shared" si="0"/>
        <v>6</v>
      </c>
      <c r="E79" s="51"/>
      <c r="F79" s="81">
        <f>IFERROR(INDEX(Stock!$A$3:$T$92,MATCH('Crawley Overview'!$A79,Stock!$A$3:$A$92,0),MATCH('Crawley Overview'!F$65,Stock!$A$3:$T$3,0)),0)</f>
        <v>0.25</v>
      </c>
      <c r="G79" s="81">
        <f>IFERROR(INDEX(Stock!$A$3:$T$92,MATCH('Crawley Overview'!$A79,Stock!$A$3:$A$92,0),MATCH('Crawley Overview'!G$65,Stock!$A$3:$T$3,0)),0)</f>
        <v>0.65</v>
      </c>
      <c r="H79" s="2"/>
    </row>
    <row r="80" spans="1:8" x14ac:dyDescent="0.2">
      <c r="A80" s="10" t="s">
        <v>104</v>
      </c>
      <c r="B80" s="68">
        <f>IFERROR(INDEX(Stock!$A$3:$T$92,MATCH('Crawley Overview'!$A80,Stock!$A$3:$A$92,0),MATCH('Crawley Overview'!B$65,Stock!$A$3:$T$3,0)),0)</f>
        <v>383</v>
      </c>
      <c r="C80" s="68">
        <f>IFERROR(INDEX(Stock!$A$3:$T$92,MATCH('Crawley Overview'!$A80,Stock!$A$3:$A$92,0),MATCH('Crawley Overview'!C$65,Stock!$A$3:$T$3,0)),0)</f>
        <v>433</v>
      </c>
      <c r="D80" s="68">
        <f t="shared" si="0"/>
        <v>50</v>
      </c>
      <c r="E80" s="51"/>
      <c r="F80" s="81">
        <f>IFERROR(INDEX(Stock!$A$3:$T$92,MATCH('Crawley Overview'!$A80,Stock!$A$3:$A$92,0),MATCH('Crawley Overview'!F$65,Stock!$A$3:$T$3,0)),0)</f>
        <v>2.7416666666666667</v>
      </c>
      <c r="G80" s="81">
        <f>IFERROR(INDEX(Stock!$A$3:$T$92,MATCH('Crawley Overview'!$A80,Stock!$A$3:$A$92,0),MATCH('Crawley Overview'!G$65,Stock!$A$3:$T$3,0)),0)</f>
        <v>7.7</v>
      </c>
      <c r="H80" s="2"/>
    </row>
    <row r="81" spans="1:8" x14ac:dyDescent="0.2">
      <c r="A81" s="10" t="s">
        <v>105</v>
      </c>
      <c r="B81" s="68">
        <f>IFERROR(INDEX(Stock!$A$3:$T$92,MATCH('Crawley Overview'!$A81,Stock!$A$3:$A$92,0),MATCH('Crawley Overview'!B$65,Stock!$A$3:$T$3,0)),0)</f>
        <v>0</v>
      </c>
      <c r="C81" s="68">
        <f>IFERROR(INDEX(Stock!$A$3:$T$92,MATCH('Crawley Overview'!$A81,Stock!$A$3:$A$92,0),MATCH('Crawley Overview'!C$65,Stock!$A$3:$T$3,0)),0)</f>
        <v>0</v>
      </c>
      <c r="D81" s="68">
        <f t="shared" si="0"/>
        <v>0</v>
      </c>
      <c r="E81" s="51"/>
      <c r="F81" s="81" t="str">
        <f>IFERROR(INDEX(Stock!$A$3:$T$92,MATCH('Crawley Overview'!$A81,Stock!$A$3:$A$92,0),MATCH('Crawley Overview'!F$65,Stock!$A$3:$T$3,0)),0)</f>
        <v/>
      </c>
      <c r="G81" s="81" t="str">
        <f>IFERROR(INDEX(Stock!$A$3:$T$92,MATCH('Crawley Overview'!$A81,Stock!$A$3:$A$92,0),MATCH('Crawley Overview'!G$65,Stock!$A$3:$T$3,0)),0)</f>
        <v/>
      </c>
      <c r="H81" s="2"/>
    </row>
    <row r="82" spans="1:8" x14ac:dyDescent="0.2">
      <c r="A82" s="10" t="s">
        <v>106</v>
      </c>
      <c r="B82" s="68">
        <f>IFERROR(INDEX(Stock!$A$3:$T$92,MATCH('Crawley Overview'!$A82,Stock!$A$3:$A$92,0),MATCH('Crawley Overview'!B$65,Stock!$A$3:$T$3,0)),0)</f>
        <v>536</v>
      </c>
      <c r="C82" s="68">
        <f>IFERROR(INDEX(Stock!$A$3:$T$92,MATCH('Crawley Overview'!$A82,Stock!$A$3:$A$92,0),MATCH('Crawley Overview'!C$65,Stock!$A$3:$T$3,0)),0)</f>
        <v>575</v>
      </c>
      <c r="D82" s="68">
        <f t="shared" si="0"/>
        <v>39</v>
      </c>
      <c r="E82" s="51"/>
      <c r="F82" s="81">
        <f>IFERROR(INDEX(Stock!$A$3:$T$92,MATCH('Crawley Overview'!$A82,Stock!$A$3:$A$92,0),MATCH('Crawley Overview'!F$65,Stock!$A$3:$T$3,0)),0)</f>
        <v>2.2916666666666665</v>
      </c>
      <c r="G82" s="81">
        <f>IFERROR(INDEX(Stock!$A$3:$T$92,MATCH('Crawley Overview'!$A82,Stock!$A$3:$A$92,0),MATCH('Crawley Overview'!G$65,Stock!$A$3:$T$3,0)),0)</f>
        <v>5.458333333333333</v>
      </c>
      <c r="H82" s="2"/>
    </row>
    <row r="83" spans="1:8" x14ac:dyDescent="0.2">
      <c r="A83" s="10" t="s">
        <v>107</v>
      </c>
      <c r="B83" s="68">
        <f>IFERROR(INDEX(Stock!$A$3:$T$92,MATCH('Crawley Overview'!$A83,Stock!$A$3:$A$92,0),MATCH('Crawley Overview'!B$65,Stock!$A$3:$T$3,0)),0)</f>
        <v>286</v>
      </c>
      <c r="C83" s="68">
        <f>IFERROR(INDEX(Stock!$A$3:$T$92,MATCH('Crawley Overview'!$A83,Stock!$A$3:$A$92,0),MATCH('Crawley Overview'!C$65,Stock!$A$3:$T$3,0)),0)</f>
        <v>0</v>
      </c>
      <c r="D83" s="68">
        <f t="shared" si="0"/>
        <v>-286</v>
      </c>
      <c r="E83" s="51"/>
      <c r="F83" s="81" t="str">
        <f>IFERROR(INDEX(Stock!$A$3:$T$92,MATCH('Crawley Overview'!$A83,Stock!$A$3:$A$92,0),MATCH('Crawley Overview'!F$65,Stock!$A$3:$T$3,0)),0)</f>
        <v/>
      </c>
      <c r="G83" s="81" t="str">
        <f>IFERROR(INDEX(Stock!$A$3:$T$92,MATCH('Crawley Overview'!$A83,Stock!$A$3:$A$92,0),MATCH('Crawley Overview'!G$65,Stock!$A$3:$T$3,0)),0)</f>
        <v/>
      </c>
      <c r="H83" s="2"/>
    </row>
    <row r="84" spans="1:8" x14ac:dyDescent="0.2">
      <c r="A84" s="10" t="s">
        <v>108</v>
      </c>
      <c r="B84" s="68">
        <f>IFERROR(INDEX(Stock!$A$3:$T$92,MATCH('Crawley Overview'!$A84,Stock!$A$3:$A$92,0),MATCH('Crawley Overview'!B$65,Stock!$A$3:$T$3,0)),0)</f>
        <v>0</v>
      </c>
      <c r="C84" s="68">
        <f>IFERROR(INDEX(Stock!$A$3:$T$92,MATCH('Crawley Overview'!$A84,Stock!$A$3:$A$92,0),MATCH('Crawley Overview'!C$65,Stock!$A$3:$T$3,0)),0)</f>
        <v>268</v>
      </c>
      <c r="D84" s="68">
        <f t="shared" si="0"/>
        <v>268</v>
      </c>
      <c r="E84" s="51"/>
      <c r="F84" s="81" t="str">
        <f>IFERROR(INDEX(Stock!$A$3:$T$92,MATCH('Crawley Overview'!$A84,Stock!$A$3:$A$92,0),MATCH('Crawley Overview'!F$65,Stock!$A$3:$T$3,0)),0)</f>
        <v/>
      </c>
      <c r="G84" s="81" t="str">
        <f>IFERROR(INDEX(Stock!$A$3:$T$92,MATCH('Crawley Overview'!$A84,Stock!$A$3:$A$92,0),MATCH('Crawley Overview'!G$65,Stock!$A$3:$T$3,0)),0)</f>
        <v/>
      </c>
      <c r="H84" s="2"/>
    </row>
    <row r="85" spans="1:8" x14ac:dyDescent="0.2">
      <c r="A85" s="10" t="s">
        <v>109</v>
      </c>
      <c r="B85" s="68">
        <f>IFERROR(INDEX(Stock!$A$3:$T$92,MATCH('Crawley Overview'!$A85,Stock!$A$3:$A$92,0),MATCH('Crawley Overview'!B$65,Stock!$A$3:$T$3,0)),0)</f>
        <v>1</v>
      </c>
      <c r="C85" s="68">
        <f>IFERROR(INDEX(Stock!$A$3:$T$92,MATCH('Crawley Overview'!$A85,Stock!$A$3:$A$92,0),MATCH('Crawley Overview'!C$65,Stock!$A$3:$T$3,0)),0)</f>
        <v>1</v>
      </c>
      <c r="D85" s="68">
        <f t="shared" si="0"/>
        <v>0</v>
      </c>
      <c r="E85" s="51"/>
      <c r="F85" s="81" t="str">
        <f>IFERROR(INDEX(Stock!$A$3:$T$92,MATCH('Crawley Overview'!$A85,Stock!$A$3:$A$92,0),MATCH('Crawley Overview'!F$65,Stock!$A$3:$T$3,0)),0)</f>
        <v/>
      </c>
      <c r="G85" s="81" t="str">
        <f>IFERROR(INDEX(Stock!$A$3:$T$92,MATCH('Crawley Overview'!$A85,Stock!$A$3:$A$92,0),MATCH('Crawley Overview'!G$65,Stock!$A$3:$T$3,0)),0)</f>
        <v/>
      </c>
      <c r="H85" s="2"/>
    </row>
    <row r="86" spans="1:8" x14ac:dyDescent="0.2">
      <c r="A86" s="10" t="s">
        <v>110</v>
      </c>
      <c r="B86" s="68">
        <f>IFERROR(INDEX(Stock!$A$3:$T$92,MATCH('Crawley Overview'!$A86,Stock!$A$3:$A$92,0),MATCH('Crawley Overview'!B$65,Stock!$A$3:$T$3,0)),0)</f>
        <v>0</v>
      </c>
      <c r="C86" s="68">
        <f>IFERROR(INDEX(Stock!$A$3:$T$92,MATCH('Crawley Overview'!$A86,Stock!$A$3:$A$92,0),MATCH('Crawley Overview'!C$65,Stock!$A$3:$T$3,0)),0)</f>
        <v>0</v>
      </c>
      <c r="D86" s="68">
        <f t="shared" si="0"/>
        <v>0</v>
      </c>
      <c r="E86" s="51"/>
      <c r="F86" s="81" t="str">
        <f>IFERROR(INDEX(Stock!$A$3:$T$92,MATCH('Crawley Overview'!$A86,Stock!$A$3:$A$92,0),MATCH('Crawley Overview'!F$65,Stock!$A$3:$T$3,0)),0)</f>
        <v/>
      </c>
      <c r="G86" s="81" t="str">
        <f>IFERROR(INDEX(Stock!$A$3:$T$92,MATCH('Crawley Overview'!$A86,Stock!$A$3:$A$92,0),MATCH('Crawley Overview'!G$65,Stock!$A$3:$T$3,0)),0)</f>
        <v/>
      </c>
      <c r="H86" s="2"/>
    </row>
    <row r="87" spans="1:8" x14ac:dyDescent="0.2">
      <c r="A87" s="10" t="s">
        <v>111</v>
      </c>
      <c r="B87" s="68">
        <f>IFERROR(INDEX(Stock!$A$3:$T$92,MATCH('Crawley Overview'!$A87,Stock!$A$3:$A$92,0),MATCH('Crawley Overview'!B$65,Stock!$A$3:$T$3,0)),0)</f>
        <v>27</v>
      </c>
      <c r="C87" s="68">
        <f>IFERROR(INDEX(Stock!$A$3:$T$92,MATCH('Crawley Overview'!$A87,Stock!$A$3:$A$92,0),MATCH('Crawley Overview'!C$65,Stock!$A$3:$T$3,0)),0)</f>
        <v>30</v>
      </c>
      <c r="D87" s="68">
        <f t="shared" si="0"/>
        <v>3</v>
      </c>
      <c r="E87" s="51"/>
      <c r="F87" s="81">
        <f>IFERROR(INDEX(Stock!$A$3:$T$92,MATCH('Crawley Overview'!$A87,Stock!$A$3:$A$92,0),MATCH('Crawley Overview'!F$65,Stock!$A$3:$T$3,0)),0)</f>
        <v>3.3666666666666671</v>
      </c>
      <c r="G87" s="81">
        <f>IFERROR(INDEX(Stock!$A$3:$T$92,MATCH('Crawley Overview'!$A87,Stock!$A$3:$A$92,0),MATCH('Crawley Overview'!G$65,Stock!$A$3:$T$3,0)),0)</f>
        <v>3.7551282051282056</v>
      </c>
      <c r="H87" s="2"/>
    </row>
    <row r="88" spans="1:8" x14ac:dyDescent="0.2">
      <c r="A88" s="10" t="s">
        <v>112</v>
      </c>
      <c r="B88" s="68">
        <f>IFERROR(INDEX(Stock!$A$3:$T$92,MATCH('Crawley Overview'!$A88,Stock!$A$3:$A$92,0),MATCH('Crawley Overview'!B$65,Stock!$A$3:$T$3,0)),0)</f>
        <v>29</v>
      </c>
      <c r="C88" s="68">
        <f>IFERROR(INDEX(Stock!$A$3:$T$92,MATCH('Crawley Overview'!$A88,Stock!$A$3:$A$92,0),MATCH('Crawley Overview'!C$65,Stock!$A$3:$T$3,0)),0)</f>
        <v>0</v>
      </c>
      <c r="D88" s="68">
        <f t="shared" si="0"/>
        <v>-29</v>
      </c>
      <c r="E88" s="51"/>
      <c r="F88" s="81" t="str">
        <f>IFERROR(INDEX(Stock!$A$3:$T$92,MATCH('Crawley Overview'!$A88,Stock!$A$3:$A$92,0),MATCH('Crawley Overview'!F$65,Stock!$A$3:$T$3,0)),0)</f>
        <v/>
      </c>
      <c r="G88" s="81" t="str">
        <f>IFERROR(INDEX(Stock!$A$3:$T$92,MATCH('Crawley Overview'!$A88,Stock!$A$3:$A$92,0),MATCH('Crawley Overview'!G$65,Stock!$A$3:$T$3,0)),0)</f>
        <v/>
      </c>
      <c r="H88" s="2"/>
    </row>
    <row r="89" spans="1:8" x14ac:dyDescent="0.2">
      <c r="A89" s="10" t="s">
        <v>113</v>
      </c>
      <c r="B89" s="68">
        <f>IFERROR(INDEX(Stock!$A$3:$T$92,MATCH('Crawley Overview'!$A89,Stock!$A$3:$A$92,0),MATCH('Crawley Overview'!B$65,Stock!$A$3:$T$3,0)),0)</f>
        <v>0</v>
      </c>
      <c r="C89" s="68">
        <f>IFERROR(INDEX(Stock!$A$3:$T$92,MATCH('Crawley Overview'!$A89,Stock!$A$3:$A$92,0),MATCH('Crawley Overview'!C$65,Stock!$A$3:$T$3,0)),0)</f>
        <v>23</v>
      </c>
      <c r="D89" s="68">
        <f t="shared" si="0"/>
        <v>23</v>
      </c>
      <c r="E89" s="51"/>
      <c r="F89" s="81" t="str">
        <f>IFERROR(INDEX(Stock!$A$3:$T$92,MATCH('Crawley Overview'!$A89,Stock!$A$3:$A$92,0),MATCH('Crawley Overview'!F$65,Stock!$A$3:$T$3,0)),0)</f>
        <v/>
      </c>
      <c r="G89" s="81" t="str">
        <f>IFERROR(INDEX(Stock!$A$3:$T$92,MATCH('Crawley Overview'!$A89,Stock!$A$3:$A$92,0),MATCH('Crawley Overview'!G$65,Stock!$A$3:$T$3,0)),0)</f>
        <v/>
      </c>
      <c r="H89" s="2"/>
    </row>
    <row r="90" spans="1:8" x14ac:dyDescent="0.2">
      <c r="A90" s="10" t="s">
        <v>114</v>
      </c>
      <c r="B90" s="68">
        <f>IFERROR(INDEX(Stock!$A$3:$T$92,MATCH('Crawley Overview'!$A90,Stock!$A$3:$A$92,0),MATCH('Crawley Overview'!B$65,Stock!$A$3:$T$3,0)),0)</f>
        <v>0</v>
      </c>
      <c r="C90" s="68">
        <f>IFERROR(INDEX(Stock!$A$3:$T$92,MATCH('Crawley Overview'!$A90,Stock!$A$3:$A$92,0),MATCH('Crawley Overview'!C$65,Stock!$A$3:$T$3,0)),0)</f>
        <v>0</v>
      </c>
      <c r="D90" s="68">
        <f t="shared" si="0"/>
        <v>0</v>
      </c>
      <c r="E90" s="51"/>
      <c r="F90" s="81" t="str">
        <f>IFERROR(INDEX(Stock!$A$3:$T$92,MATCH('Crawley Overview'!$A90,Stock!$A$3:$A$92,0),MATCH('Crawley Overview'!F$65,Stock!$A$3:$T$3,0)),0)</f>
        <v/>
      </c>
      <c r="G90" s="81" t="str">
        <f>IFERROR(INDEX(Stock!$A$3:$T$92,MATCH('Crawley Overview'!$A90,Stock!$A$3:$A$92,0),MATCH('Crawley Overview'!G$65,Stock!$A$3:$T$3,0)),0)</f>
        <v/>
      </c>
      <c r="H90" s="2"/>
    </row>
    <row r="91" spans="1:8" x14ac:dyDescent="0.2">
      <c r="A91" s="10" t="s">
        <v>115</v>
      </c>
      <c r="B91" s="68">
        <f>IFERROR(INDEX(Stock!$A$3:$T$92,MATCH('Crawley Overview'!$A91,Stock!$A$3:$A$92,0),MATCH('Crawley Overview'!B$65,Stock!$A$3:$T$3,0)),0)</f>
        <v>0</v>
      </c>
      <c r="C91" s="68">
        <f>IFERROR(INDEX(Stock!$A$3:$T$92,MATCH('Crawley Overview'!$A91,Stock!$A$3:$A$92,0),MATCH('Crawley Overview'!C$65,Stock!$A$3:$T$3,0)),0)</f>
        <v>0</v>
      </c>
      <c r="D91" s="68">
        <f t="shared" si="0"/>
        <v>0</v>
      </c>
      <c r="E91" s="51"/>
      <c r="F91" s="81" t="str">
        <f>IFERROR(INDEX(Stock!$A$3:$T$92,MATCH('Crawley Overview'!$A91,Stock!$A$3:$A$92,0),MATCH('Crawley Overview'!F$65,Stock!$A$3:$T$3,0)),0)</f>
        <v/>
      </c>
      <c r="G91" s="81" t="str">
        <f>IFERROR(INDEX(Stock!$A$3:$T$92,MATCH('Crawley Overview'!$A91,Stock!$A$3:$A$92,0),MATCH('Crawley Overview'!G$65,Stock!$A$3:$T$3,0)),0)</f>
        <v/>
      </c>
      <c r="H91" s="2"/>
    </row>
    <row r="92" spans="1:8" x14ac:dyDescent="0.2">
      <c r="A92" s="48" t="s">
        <v>9</v>
      </c>
      <c r="B92" s="46"/>
      <c r="C92" s="46"/>
      <c r="D92" s="46"/>
      <c r="E92" s="46"/>
      <c r="F92" s="52"/>
      <c r="G92" s="52">
        <f>SUM(G66:G91)</f>
        <v>17.563461538461539</v>
      </c>
      <c r="H92" s="2"/>
    </row>
    <row r="93" spans="1:8" x14ac:dyDescent="0.2">
      <c r="A93" s="48" t="s">
        <v>81</v>
      </c>
      <c r="B93" s="46"/>
      <c r="C93" s="46"/>
      <c r="D93" s="46"/>
      <c r="E93" s="46"/>
      <c r="F93" s="52"/>
      <c r="G93" s="52">
        <f>SUM(F66:F91)</f>
        <v>8.65</v>
      </c>
      <c r="H93" s="2"/>
    </row>
    <row r="94" spans="1:8" x14ac:dyDescent="0.2">
      <c r="A94" s="10"/>
      <c r="B94" s="10"/>
      <c r="C94" s="10"/>
      <c r="D94" s="10"/>
      <c r="E94" s="10"/>
      <c r="F94" s="51"/>
      <c r="G94" s="51"/>
      <c r="H94" s="2"/>
    </row>
    <row r="95" spans="1:8" ht="51" x14ac:dyDescent="0.2">
      <c r="A95" s="45" t="s">
        <v>116</v>
      </c>
      <c r="B95" s="66" t="s">
        <v>142</v>
      </c>
      <c r="C95" s="66" t="s">
        <v>148</v>
      </c>
      <c r="D95" s="67" t="s">
        <v>90</v>
      </c>
      <c r="E95" s="68"/>
      <c r="F95" s="69" t="s">
        <v>151</v>
      </c>
      <c r="G95" s="69" t="s">
        <v>166</v>
      </c>
      <c r="H95" s="2"/>
    </row>
    <row r="96" spans="1:8" ht="17" x14ac:dyDescent="0.2">
      <c r="A96" s="53" t="s">
        <v>163</v>
      </c>
      <c r="B96" s="68">
        <f>IFERROR(INDEX(Stock!$A$3:$T$92,MATCH('Crawley Overview'!$A96,Stock!$A$3:$A$92,0),MATCH('Crawley Overview'!B$65,Stock!$A$3:$T$3,0)),0)</f>
        <v>0</v>
      </c>
      <c r="C96" s="68">
        <f>IFERROR(INDEX(Stock!$A$3:$T$92,MATCH('Crawley Overview'!$A96,Stock!$A$3:$A$92,0),MATCH('Crawley Overview'!C$65,Stock!$A$3:$T$3,0)),0)</f>
        <v>0</v>
      </c>
      <c r="D96" s="68">
        <f t="shared" ref="D96:D100" si="1">C96-B96</f>
        <v>0</v>
      </c>
      <c r="F96" s="81" t="str">
        <f>IFERROR(INDEX(Stock!$A$3:$T$92,MATCH('Crawley Overview'!$A96,Stock!$A$3:$A$92,0),MATCH('Crawley Overview'!F$65,Stock!$A$3:$T$3,0)),0)</f>
        <v/>
      </c>
      <c r="G96" s="81" t="str">
        <f>IFERROR(INDEX(Stock!$A$3:$T$92,MATCH('Crawley Overview'!$A96,Stock!$A$3:$A$92,0),MATCH('Crawley Overview'!G$65,Stock!$A$3:$T$3,0)),0)</f>
        <v/>
      </c>
      <c r="H96" s="2"/>
    </row>
    <row r="97" spans="1:8" x14ac:dyDescent="0.2">
      <c r="A97" s="10" t="s">
        <v>117</v>
      </c>
      <c r="B97" s="68">
        <f>IFERROR(INDEX(Stock!$A$3:$T$92,MATCH('Crawley Overview'!$A97,Stock!$A$3:$A$92,0),MATCH('Crawley Overview'!B$65,Stock!$A$3:$T$3,0)),0)</f>
        <v>0</v>
      </c>
      <c r="C97" s="68">
        <f>IFERROR(INDEX(Stock!$A$3:$T$92,MATCH('Crawley Overview'!$A97,Stock!$A$3:$A$92,0),MATCH('Crawley Overview'!C$65,Stock!$A$3:$T$3,0)),0)</f>
        <v>0</v>
      </c>
      <c r="D97" s="68">
        <f t="shared" si="1"/>
        <v>0</v>
      </c>
      <c r="F97" s="81">
        <f>IFERROR(INDEX(Stock!$A$3:$T$92,MATCH('Crawley Overview'!$A97,Stock!$A$3:$A$92,0),MATCH('Crawley Overview'!F$65,Stock!$A$3:$T$3,0)),0)</f>
        <v>18.580000000000002</v>
      </c>
      <c r="G97" s="81">
        <f>IFERROR(INDEX(Stock!$A$3:$T$92,MATCH('Crawley Overview'!$A97,Stock!$A$3:$A$92,0),MATCH('Crawley Overview'!G$65,Stock!$A$3:$T$3,0)),0)</f>
        <v>20.7</v>
      </c>
      <c r="H97" s="2"/>
    </row>
    <row r="98" spans="1:8" x14ac:dyDescent="0.2">
      <c r="A98" s="10" t="s">
        <v>118</v>
      </c>
      <c r="B98" s="68">
        <f>IFERROR(INDEX(Stock!$A$3:$T$92,MATCH('Crawley Overview'!$A98,Stock!$A$3:$A$92,0),MATCH('Crawley Overview'!B$65,Stock!$A$3:$T$3,0)),0)</f>
        <v>0</v>
      </c>
      <c r="C98" s="68">
        <f>IFERROR(INDEX(Stock!$A$3:$T$92,MATCH('Crawley Overview'!$A98,Stock!$A$3:$A$92,0),MATCH('Crawley Overview'!C$65,Stock!$A$3:$T$3,0)),0)</f>
        <v>0</v>
      </c>
      <c r="D98" s="68">
        <f t="shared" si="1"/>
        <v>0</v>
      </c>
      <c r="F98" s="81">
        <f>IFERROR(INDEX(Stock!$A$3:$T$92,MATCH('Crawley Overview'!$A98,Stock!$A$3:$A$92,0),MATCH('Crawley Overview'!F$65,Stock!$A$3:$T$3,0)),0)</f>
        <v>2.83</v>
      </c>
      <c r="G98" s="81">
        <f>IFERROR(INDEX(Stock!$A$3:$T$92,MATCH('Crawley Overview'!$A98,Stock!$A$3:$A$92,0),MATCH('Crawley Overview'!G$65,Stock!$A$3:$T$3,0)),0)</f>
        <v>2.83</v>
      </c>
      <c r="H98" s="2"/>
    </row>
    <row r="99" spans="1:8" x14ac:dyDescent="0.2">
      <c r="A99" s="10" t="s">
        <v>119</v>
      </c>
      <c r="B99" s="68">
        <f>IFERROR(INDEX(Stock!$A$3:$T$92,MATCH('Crawley Overview'!$A99,Stock!$A$3:$A$92,0),MATCH('Crawley Overview'!B$65,Stock!$A$3:$T$3,0)),0)</f>
        <v>0</v>
      </c>
      <c r="C99" s="68">
        <f>IFERROR(INDEX(Stock!$A$3:$T$92,MATCH('Crawley Overview'!$A99,Stock!$A$3:$A$92,0),MATCH('Crawley Overview'!C$65,Stock!$A$3:$T$3,0)),0)</f>
        <v>0</v>
      </c>
      <c r="D99" s="68">
        <f t="shared" si="1"/>
        <v>0</v>
      </c>
      <c r="F99" s="81">
        <f>IFERROR(INDEX(Stock!$A$3:$T$92,MATCH('Crawley Overview'!$A99,Stock!$A$3:$A$92,0),MATCH('Crawley Overview'!F$65,Stock!$A$3:$T$3,0)),0)</f>
        <v>0.21875</v>
      </c>
      <c r="G99" s="81">
        <f>IFERROR(INDEX(Stock!$A$3:$T$92,MATCH('Crawley Overview'!$A99,Stock!$A$3:$A$92,0),MATCH('Crawley Overview'!G$65,Stock!$A$3:$T$3,0)),0)</f>
        <v>0.21875</v>
      </c>
      <c r="H99" s="2"/>
    </row>
    <row r="100" spans="1:8" x14ac:dyDescent="0.2">
      <c r="A100" s="10" t="s">
        <v>153</v>
      </c>
      <c r="B100" s="68">
        <f>IFERROR(INDEX(Stock!$A$3:$T$92,MATCH('Crawley Overview'!$A100,Stock!$A$3:$A$92,0),MATCH('Crawley Overview'!B$65,Stock!$A$3:$T$3,0)),0)</f>
        <v>0</v>
      </c>
      <c r="C100" s="68">
        <f>IFERROR(INDEX(Stock!$A$3:$T$92,MATCH('Crawley Overview'!$A100,Stock!$A$3:$A$92,0),MATCH('Crawley Overview'!C$65,Stock!$A$3:$T$3,0)),0)</f>
        <v>0</v>
      </c>
      <c r="D100" s="68">
        <f t="shared" si="1"/>
        <v>0</v>
      </c>
      <c r="F100" s="81" t="str">
        <f>IFERROR(INDEX(Stock!$A$3:$T$92,MATCH('Crawley Overview'!$A100,Stock!$A$3:$A$92,0),MATCH('Crawley Overview'!F$65,Stock!$A$3:$T$3,0)),0)</f>
        <v/>
      </c>
      <c r="G100" s="81" t="str">
        <f>IFERROR(INDEX(Stock!$A$3:$T$92,MATCH('Crawley Overview'!$A100,Stock!$A$3:$A$92,0),MATCH('Crawley Overview'!G$65,Stock!$A$3:$T$3,0)),0)</f>
        <v/>
      </c>
      <c r="H100" s="2"/>
    </row>
    <row r="101" spans="1:8" x14ac:dyDescent="0.2">
      <c r="A101" s="48" t="s">
        <v>80</v>
      </c>
      <c r="B101" s="46"/>
      <c r="C101" s="46"/>
      <c r="D101" s="46"/>
      <c r="E101" s="46"/>
      <c r="F101" s="52"/>
      <c r="G101" s="52">
        <f>SUM(G96:G100)</f>
        <v>23.748750000000001</v>
      </c>
      <c r="H101" s="2"/>
    </row>
    <row r="102" spans="1:8" x14ac:dyDescent="0.2">
      <c r="A102" s="48" t="s">
        <v>81</v>
      </c>
      <c r="B102" s="46"/>
      <c r="C102" s="46"/>
      <c r="D102" s="46"/>
      <c r="E102" s="46"/>
      <c r="F102" s="52"/>
      <c r="G102" s="52">
        <f>SUM(F96:F100)</f>
        <v>21.628750000000004</v>
      </c>
      <c r="H102" s="2"/>
    </row>
    <row r="103" spans="1:8" x14ac:dyDescent="0.2">
      <c r="A103" s="9"/>
      <c r="B103" s="10"/>
      <c r="C103" s="10"/>
      <c r="D103" s="10"/>
      <c r="E103" s="10"/>
      <c r="F103" s="51"/>
      <c r="G103" s="51"/>
      <c r="H103" s="2"/>
    </row>
    <row r="104" spans="1:8" ht="51" x14ac:dyDescent="0.2">
      <c r="A104" s="45" t="s">
        <v>120</v>
      </c>
      <c r="B104" s="66" t="s">
        <v>142</v>
      </c>
      <c r="C104" s="66" t="s">
        <v>148</v>
      </c>
      <c r="D104" s="67" t="s">
        <v>90</v>
      </c>
      <c r="E104" s="68"/>
      <c r="F104" s="69" t="s">
        <v>151</v>
      </c>
      <c r="G104" s="69" t="s">
        <v>166</v>
      </c>
      <c r="H104" s="2"/>
    </row>
    <row r="105" spans="1:8" x14ac:dyDescent="0.2">
      <c r="A105" s="10" t="s">
        <v>121</v>
      </c>
      <c r="B105" s="68">
        <f>IFERROR(INDEX(Stock!$A$3:$T$92,MATCH('Crawley Overview'!$A105,Stock!$A$3:$A$92,0),MATCH('Crawley Overview'!B$65,Stock!$A$3:$T$3,0)),0)</f>
        <v>0</v>
      </c>
      <c r="C105" s="68">
        <f>IFERROR(INDEX(Stock!$A$3:$T$92,MATCH('Crawley Overview'!$A105,Stock!$A$3:$A$92,0),MATCH('Crawley Overview'!C$65,Stock!$A$3:$T$3,0)),0)</f>
        <v>0</v>
      </c>
      <c r="D105" s="68">
        <f t="shared" ref="D105:D124" si="2">C105-B105</f>
        <v>0</v>
      </c>
      <c r="E105" s="10"/>
      <c r="F105" s="81">
        <f>IFERROR(INDEX(Stock!$A$3:$T$92,MATCH('Crawley Overview'!$A105,Stock!$A$3:$A$92,0),MATCH('Crawley Overview'!F$65,Stock!$A$3:$T$3,0)),0)</f>
        <v>0.22708333333333336</v>
      </c>
      <c r="G105" s="81">
        <f>IFERROR(INDEX(Stock!$A$3:$T$92,MATCH('Crawley Overview'!$A105,Stock!$A$3:$A$92,0),MATCH('Crawley Overview'!G$65,Stock!$A$3:$T$3,0)),0)</f>
        <v>0.22708333333333336</v>
      </c>
      <c r="H105" s="2"/>
    </row>
    <row r="106" spans="1:8" x14ac:dyDescent="0.2">
      <c r="A106" s="10" t="s">
        <v>187</v>
      </c>
      <c r="B106" s="68">
        <f>IFERROR(INDEX(Stock!$A$3:$T$92,MATCH('Crawley Overview'!$A106,Stock!$A$3:$A$92,0),MATCH('Crawley Overview'!B$65,Stock!$A$3:$T$3,0)),0)</f>
        <v>0</v>
      </c>
      <c r="C106" s="68">
        <f>IFERROR(INDEX(Stock!$A$3:$T$92,MATCH('Crawley Overview'!$A106,Stock!$A$3:$A$92,0),MATCH('Crawley Overview'!C$65,Stock!$A$3:$T$3,0)),0)</f>
        <v>0</v>
      </c>
      <c r="D106" s="68">
        <f t="shared" si="2"/>
        <v>0</v>
      </c>
      <c r="E106" s="10"/>
      <c r="F106" s="81" t="str">
        <f>IFERROR(INDEX(Stock!$A$3:$T$92,MATCH('Crawley Overview'!$A106,Stock!$A$3:$A$92,0),MATCH('Crawley Overview'!F$65,Stock!$A$3:$T$3,0)),0)</f>
        <v/>
      </c>
      <c r="G106" s="81" t="str">
        <f>IFERROR(INDEX(Stock!$A$3:$T$92,MATCH('Crawley Overview'!$A106,Stock!$A$3:$A$92,0),MATCH('Crawley Overview'!G$65,Stock!$A$3:$T$3,0)),0)</f>
        <v/>
      </c>
      <c r="H106" s="2"/>
    </row>
    <row r="107" spans="1:8" x14ac:dyDescent="0.2">
      <c r="A107" s="10" t="s">
        <v>188</v>
      </c>
      <c r="B107" s="68">
        <f>IFERROR(INDEX(Stock!$A$3:$T$92,MATCH('Crawley Overview'!$A107,Stock!$A$3:$A$92,0),MATCH('Crawley Overview'!B$65,Stock!$A$3:$T$3,0)),0)</f>
        <v>0</v>
      </c>
      <c r="C107" s="68">
        <f>IFERROR(INDEX(Stock!$A$3:$T$92,MATCH('Crawley Overview'!$A107,Stock!$A$3:$A$92,0),MATCH('Crawley Overview'!C$65,Stock!$A$3:$T$3,0)),0)</f>
        <v>0</v>
      </c>
      <c r="D107" s="68">
        <f t="shared" si="2"/>
        <v>0</v>
      </c>
      <c r="E107" s="10"/>
      <c r="F107" s="81">
        <f>IFERROR(INDEX(Stock!$A$3:$T$92,MATCH('Crawley Overview'!$A107,Stock!$A$3:$A$92,0),MATCH('Crawley Overview'!F$65,Stock!$A$3:$T$3,0)),0)</f>
        <v>4.583333333333333E-2</v>
      </c>
      <c r="G107" s="81">
        <f>IFERROR(INDEX(Stock!$A$3:$T$92,MATCH('Crawley Overview'!$A107,Stock!$A$3:$A$92,0),MATCH('Crawley Overview'!G$65,Stock!$A$3:$T$3,0)),0)</f>
        <v>4.583333333333333E-2</v>
      </c>
      <c r="H107" s="2"/>
    </row>
    <row r="108" spans="1:8" x14ac:dyDescent="0.2">
      <c r="A108" s="10" t="s">
        <v>189</v>
      </c>
      <c r="B108" s="68">
        <f>IFERROR(INDEX(Stock!$A$3:$T$92,MATCH('Crawley Overview'!$A108,Stock!$A$3:$A$92,0),MATCH('Crawley Overview'!B$65,Stock!$A$3:$T$3,0)),0)</f>
        <v>0</v>
      </c>
      <c r="C108" s="68">
        <f>IFERROR(INDEX(Stock!$A$3:$T$92,MATCH('Crawley Overview'!$A108,Stock!$A$3:$A$92,0),MATCH('Crawley Overview'!C$65,Stock!$A$3:$T$3,0)),0)</f>
        <v>0</v>
      </c>
      <c r="D108" s="68">
        <f t="shared" si="2"/>
        <v>0</v>
      </c>
      <c r="E108" s="10"/>
      <c r="F108" s="81">
        <f>IFERROR(INDEX(Stock!$A$3:$T$92,MATCH('Crawley Overview'!$A108,Stock!$A$3:$A$92,0),MATCH('Crawley Overview'!F$65,Stock!$A$3:$T$3,0)),0)</f>
        <v>0.05</v>
      </c>
      <c r="G108" s="81">
        <f>IFERROR(INDEX(Stock!$A$3:$T$92,MATCH('Crawley Overview'!$A108,Stock!$A$3:$A$92,0),MATCH('Crawley Overview'!G$65,Stock!$A$3:$T$3,0)),0)</f>
        <v>0.05</v>
      </c>
      <c r="H108" s="2"/>
    </row>
    <row r="109" spans="1:8" x14ac:dyDescent="0.2">
      <c r="A109" s="10" t="s">
        <v>190</v>
      </c>
      <c r="B109" s="68">
        <f>IFERROR(INDEX(Stock!$A$3:$T$92,MATCH('Crawley Overview'!$A109,Stock!$A$3:$A$92,0),MATCH('Crawley Overview'!B$65,Stock!$A$3:$T$3,0)),0)</f>
        <v>0</v>
      </c>
      <c r="C109" s="68">
        <f>IFERROR(INDEX(Stock!$A$3:$T$92,MATCH('Crawley Overview'!$A109,Stock!$A$3:$A$92,0),MATCH('Crawley Overview'!C$65,Stock!$A$3:$T$3,0)),0)</f>
        <v>0</v>
      </c>
      <c r="D109" s="68">
        <f t="shared" si="2"/>
        <v>0</v>
      </c>
      <c r="E109" s="10"/>
      <c r="F109" s="81">
        <f>IFERROR(INDEX(Stock!$A$3:$T$92,MATCH('Crawley Overview'!$A109,Stock!$A$3:$A$92,0),MATCH('Crawley Overview'!F$65,Stock!$A$3:$T$3,0)),0)</f>
        <v>6.2500000000000003E-3</v>
      </c>
      <c r="G109" s="81">
        <f>IFERROR(INDEX(Stock!$A$3:$T$92,MATCH('Crawley Overview'!$A109,Stock!$A$3:$A$92,0),MATCH('Crawley Overview'!G$65,Stock!$A$3:$T$3,0)),0)</f>
        <v>6.2500000000000003E-3</v>
      </c>
      <c r="H109" s="2"/>
    </row>
    <row r="110" spans="1:8" x14ac:dyDescent="0.2">
      <c r="A110" s="10" t="s">
        <v>191</v>
      </c>
      <c r="B110" s="68">
        <f>IFERROR(INDEX(Stock!$A$3:$T$92,MATCH('Crawley Overview'!$A110,Stock!$A$3:$A$92,0),MATCH('Crawley Overview'!B$65,Stock!$A$3:$T$3,0)),0)</f>
        <v>0</v>
      </c>
      <c r="C110" s="68">
        <f>IFERROR(INDEX(Stock!$A$3:$T$92,MATCH('Crawley Overview'!$A110,Stock!$A$3:$A$92,0),MATCH('Crawley Overview'!C$65,Stock!$A$3:$T$3,0)),0)</f>
        <v>0</v>
      </c>
      <c r="D110" s="68">
        <f t="shared" si="2"/>
        <v>0</v>
      </c>
      <c r="E110" s="10"/>
      <c r="F110" s="81">
        <f>IFERROR(INDEX(Stock!$A$3:$T$92,MATCH('Crawley Overview'!$A110,Stock!$A$3:$A$92,0),MATCH('Crawley Overview'!F$65,Stock!$A$3:$T$3,0)),0)</f>
        <v>4.1666666666666666E-3</v>
      </c>
      <c r="G110" s="81">
        <f>IFERROR(INDEX(Stock!$A$3:$T$92,MATCH('Crawley Overview'!$A110,Stock!$A$3:$A$92,0),MATCH('Crawley Overview'!G$65,Stock!$A$3:$T$3,0)),0)</f>
        <v>4.1666666666666666E-3</v>
      </c>
      <c r="H110" s="2"/>
    </row>
    <row r="111" spans="1:8" x14ac:dyDescent="0.2">
      <c r="A111" s="59" t="s">
        <v>192</v>
      </c>
      <c r="B111" s="68">
        <f>IFERROR(INDEX(Stock!$A$3:$T$92,MATCH('Crawley Overview'!$A111,Stock!$A$3:$A$92,0),MATCH('Crawley Overview'!B$65,Stock!$A$3:$T$3,0)),0)</f>
        <v>0</v>
      </c>
      <c r="C111" s="68">
        <f>IFERROR(INDEX(Stock!$A$3:$T$92,MATCH('Crawley Overview'!$A111,Stock!$A$3:$A$92,0),MATCH('Crawley Overview'!C$65,Stock!$A$3:$T$3,0)),0)</f>
        <v>0</v>
      </c>
      <c r="D111" s="68">
        <f t="shared" si="2"/>
        <v>0</v>
      </c>
      <c r="E111" s="10"/>
      <c r="F111" s="81" t="str">
        <f>IFERROR(INDEX(Stock!$A$3:$T$92,MATCH('Crawley Overview'!$A111,Stock!$A$3:$A$92,0),MATCH('Crawley Overview'!F$65,Stock!$A$3:$T$3,0)),0)</f>
        <v/>
      </c>
      <c r="G111" s="81" t="str">
        <f>IFERROR(INDEX(Stock!$A$3:$T$92,MATCH('Crawley Overview'!$A111,Stock!$A$3:$A$92,0),MATCH('Crawley Overview'!G$65,Stock!$A$3:$T$3,0)),0)</f>
        <v/>
      </c>
      <c r="H111" s="2"/>
    </row>
    <row r="112" spans="1:8" x14ac:dyDescent="0.2">
      <c r="A112" s="60" t="s">
        <v>193</v>
      </c>
      <c r="B112" s="68">
        <f>IFERROR(INDEX(Stock!$A$3:$T$92,MATCH('Crawley Overview'!$A112,Stock!$A$3:$A$92,0),MATCH('Crawley Overview'!B$65,Stock!$A$3:$T$3,0)),0)</f>
        <v>0</v>
      </c>
      <c r="C112" s="68">
        <f>IFERROR(INDEX(Stock!$A$3:$T$92,MATCH('Crawley Overview'!$A112,Stock!$A$3:$A$92,0),MATCH('Crawley Overview'!C$65,Stock!$A$3:$T$3,0)),0)</f>
        <v>0</v>
      </c>
      <c r="D112" s="68">
        <f t="shared" si="2"/>
        <v>0</v>
      </c>
      <c r="E112" s="10"/>
      <c r="F112" s="81" t="str">
        <f>IFERROR(INDEX(Stock!$A$3:$T$92,MATCH('Crawley Overview'!$A112,Stock!$A$3:$A$92,0),MATCH('Crawley Overview'!F$65,Stock!$A$3:$T$3,0)),0)</f>
        <v/>
      </c>
      <c r="G112" s="81" t="str">
        <f>IFERROR(INDEX(Stock!$A$3:$T$92,MATCH('Crawley Overview'!$A112,Stock!$A$3:$A$92,0),MATCH('Crawley Overview'!G$65,Stock!$A$3:$T$3,0)),0)</f>
        <v/>
      </c>
      <c r="H112" s="2"/>
    </row>
    <row r="113" spans="1:8" x14ac:dyDescent="0.2">
      <c r="A113" s="60" t="s">
        <v>194</v>
      </c>
      <c r="B113" s="68">
        <f>IFERROR(INDEX(Stock!$A$3:$T$92,MATCH('Crawley Overview'!$A113,Stock!$A$3:$A$92,0),MATCH('Crawley Overview'!B$65,Stock!$A$3:$T$3,0)),0)</f>
        <v>0</v>
      </c>
      <c r="C113" s="68">
        <f>IFERROR(INDEX(Stock!$A$3:$T$92,MATCH('Crawley Overview'!$A113,Stock!$A$3:$A$92,0),MATCH('Crawley Overview'!C$65,Stock!$A$3:$T$3,0)),0)</f>
        <v>0</v>
      </c>
      <c r="D113" s="68">
        <f t="shared" si="2"/>
        <v>0</v>
      </c>
      <c r="E113" s="10"/>
      <c r="F113" s="81" t="str">
        <f>IFERROR(INDEX(Stock!$A$3:$T$92,MATCH('Crawley Overview'!$A113,Stock!$A$3:$A$92,0),MATCH('Crawley Overview'!F$65,Stock!$A$3:$T$3,0)),0)</f>
        <v/>
      </c>
      <c r="G113" s="81" t="str">
        <f>IFERROR(INDEX(Stock!$A$3:$T$92,MATCH('Crawley Overview'!$A113,Stock!$A$3:$A$92,0),MATCH('Crawley Overview'!G$65,Stock!$A$3:$T$3,0)),0)</f>
        <v/>
      </c>
      <c r="H113" s="2"/>
    </row>
    <row r="114" spans="1:8" x14ac:dyDescent="0.2">
      <c r="A114" s="60" t="s">
        <v>195</v>
      </c>
      <c r="B114" s="68">
        <f>IFERROR(INDEX(Stock!$A$3:$T$92,MATCH('Crawley Overview'!$A114,Stock!$A$3:$A$92,0),MATCH('Crawley Overview'!B$65,Stock!$A$3:$T$3,0)),0)</f>
        <v>0</v>
      </c>
      <c r="C114" s="68">
        <f>IFERROR(INDEX(Stock!$A$3:$T$92,MATCH('Crawley Overview'!$A114,Stock!$A$3:$A$92,0),MATCH('Crawley Overview'!C$65,Stock!$A$3:$T$3,0)),0)</f>
        <v>0</v>
      </c>
      <c r="D114" s="68">
        <f t="shared" si="2"/>
        <v>0</v>
      </c>
      <c r="E114" s="10"/>
      <c r="F114" s="81" t="str">
        <f>IFERROR(INDEX(Stock!$A$3:$T$92,MATCH('Crawley Overview'!$A114,Stock!$A$3:$A$92,0),MATCH('Crawley Overview'!F$65,Stock!$A$3:$T$3,0)),0)</f>
        <v/>
      </c>
      <c r="G114" s="81" t="str">
        <f>IFERROR(INDEX(Stock!$A$3:$T$92,MATCH('Crawley Overview'!$A114,Stock!$A$3:$A$92,0),MATCH('Crawley Overview'!G$65,Stock!$A$3:$T$3,0)),0)</f>
        <v/>
      </c>
      <c r="H114" s="2"/>
    </row>
    <row r="115" spans="1:8" x14ac:dyDescent="0.2">
      <c r="A115" s="60" t="s">
        <v>196</v>
      </c>
      <c r="B115" s="68">
        <f>IFERROR(INDEX(Stock!$A$3:$T$92,MATCH('Crawley Overview'!$A115,Stock!$A$3:$A$92,0),MATCH('Crawley Overview'!B$65,Stock!$A$3:$T$3,0)),0)</f>
        <v>0</v>
      </c>
      <c r="C115" s="68">
        <f>IFERROR(INDEX(Stock!$A$3:$T$92,MATCH('Crawley Overview'!$A115,Stock!$A$3:$A$92,0),MATCH('Crawley Overview'!C$65,Stock!$A$3:$T$3,0)),0)</f>
        <v>0</v>
      </c>
      <c r="D115" s="68">
        <f t="shared" si="2"/>
        <v>0</v>
      </c>
      <c r="E115" s="10"/>
      <c r="F115" s="81" t="str">
        <f>IFERROR(INDEX(Stock!$A$3:$T$92,MATCH('Crawley Overview'!$A115,Stock!$A$3:$A$92,0),MATCH('Crawley Overview'!F$65,Stock!$A$3:$T$3,0)),0)</f>
        <v/>
      </c>
      <c r="G115" s="81" t="str">
        <f>IFERROR(INDEX(Stock!$A$3:$T$92,MATCH('Crawley Overview'!$A115,Stock!$A$3:$A$92,0),MATCH('Crawley Overview'!G$65,Stock!$A$3:$T$3,0)),0)</f>
        <v/>
      </c>
      <c r="H115" s="2"/>
    </row>
    <row r="116" spans="1:8" x14ac:dyDescent="0.2">
      <c r="A116" s="61" t="s">
        <v>164</v>
      </c>
      <c r="B116" s="68">
        <f>IFERROR(INDEX(Stock!$A$3:$T$92,MATCH('Crawley Overview'!$A116,Stock!$A$3:$A$92,0),MATCH('Crawley Overview'!B$65,Stock!$A$3:$T$3,0)),0)</f>
        <v>0</v>
      </c>
      <c r="C116" s="68">
        <f>IFERROR(INDEX(Stock!$A$3:$T$92,MATCH('Crawley Overview'!$A116,Stock!$A$3:$A$92,0),MATCH('Crawley Overview'!C$65,Stock!$A$3:$T$3,0)),0)</f>
        <v>0</v>
      </c>
      <c r="D116" s="68">
        <f t="shared" si="2"/>
        <v>0</v>
      </c>
      <c r="E116" s="10"/>
      <c r="F116" s="81">
        <f>IFERROR(INDEX(Stock!$A$3:$T$92,MATCH('Crawley Overview'!$A116,Stock!$A$3:$A$92,0),MATCH('Crawley Overview'!F$65,Stock!$A$3:$T$3,0)),0)</f>
        <v>0.94166666666666665</v>
      </c>
      <c r="G116" s="81">
        <f>IFERROR(INDEX(Stock!$A$3:$T$92,MATCH('Crawley Overview'!$A116,Stock!$A$3:$A$92,0),MATCH('Crawley Overview'!G$65,Stock!$A$3:$T$3,0)),0)</f>
        <v>0.94166666666666665</v>
      </c>
      <c r="H116" s="2"/>
    </row>
    <row r="117" spans="1:8" x14ac:dyDescent="0.2">
      <c r="A117" s="60" t="s">
        <v>197</v>
      </c>
      <c r="B117" s="68">
        <f>IFERROR(INDEX(Stock!$A$3:$T$92,MATCH('Crawley Overview'!$A117,Stock!$A$3:$A$92,0),MATCH('Crawley Overview'!B$65,Stock!$A$3:$T$3,0)),0)</f>
        <v>0</v>
      </c>
      <c r="C117" s="68">
        <f>IFERROR(INDEX(Stock!$A$3:$T$92,MATCH('Crawley Overview'!$A117,Stock!$A$3:$A$92,0),MATCH('Crawley Overview'!C$65,Stock!$A$3:$T$3,0)),0)</f>
        <v>0</v>
      </c>
      <c r="D117" s="68">
        <f t="shared" si="2"/>
        <v>0</v>
      </c>
      <c r="E117" s="10"/>
      <c r="F117" s="81" t="str">
        <f>IFERROR(INDEX(Stock!$A$3:$T$92,MATCH('Crawley Overview'!$A117,Stock!$A$3:$A$92,0),MATCH('Crawley Overview'!F$65,Stock!$A$3:$T$3,0)),0)</f>
        <v/>
      </c>
      <c r="G117" s="81" t="str">
        <f>IFERROR(INDEX(Stock!$A$3:$T$92,MATCH('Crawley Overview'!$A117,Stock!$A$3:$A$92,0),MATCH('Crawley Overview'!G$65,Stock!$A$3:$T$3,0)),0)</f>
        <v/>
      </c>
      <c r="H117" s="2"/>
    </row>
    <row r="118" spans="1:8" x14ac:dyDescent="0.2">
      <c r="A118" s="60" t="s">
        <v>198</v>
      </c>
      <c r="B118" s="68">
        <f>IFERROR(INDEX(Stock!$A$3:$T$92,MATCH('Crawley Overview'!$A118,Stock!$A$3:$A$92,0),MATCH('Crawley Overview'!B$65,Stock!$A$3:$T$3,0)),0)</f>
        <v>0</v>
      </c>
      <c r="C118" s="68">
        <f>IFERROR(INDEX(Stock!$A$3:$T$92,MATCH('Crawley Overview'!$A118,Stock!$A$3:$A$92,0),MATCH('Crawley Overview'!C$65,Stock!$A$3:$T$3,0)),0)</f>
        <v>0</v>
      </c>
      <c r="D118" s="68">
        <f t="shared" si="2"/>
        <v>0</v>
      </c>
      <c r="E118" s="10"/>
      <c r="F118" s="81" t="str">
        <f>IFERROR(INDEX(Stock!$A$3:$T$92,MATCH('Crawley Overview'!$A118,Stock!$A$3:$A$92,0),MATCH('Crawley Overview'!F$65,Stock!$A$3:$T$3,0)),0)</f>
        <v/>
      </c>
      <c r="G118" s="81" t="str">
        <f>IFERROR(INDEX(Stock!$A$3:$T$92,MATCH('Crawley Overview'!$A118,Stock!$A$3:$A$92,0),MATCH('Crawley Overview'!G$65,Stock!$A$3:$T$3,0)),0)</f>
        <v/>
      </c>
      <c r="H118" s="2"/>
    </row>
    <row r="119" spans="1:8" x14ac:dyDescent="0.2">
      <c r="A119" s="60" t="s">
        <v>199</v>
      </c>
      <c r="B119" s="68">
        <f>IFERROR(INDEX(Stock!$A$3:$T$92,MATCH('Crawley Overview'!$A119,Stock!$A$3:$A$92,0),MATCH('Crawley Overview'!B$65,Stock!$A$3:$T$3,0)),0)</f>
        <v>0</v>
      </c>
      <c r="C119" s="68">
        <f>IFERROR(INDEX(Stock!$A$3:$T$92,MATCH('Crawley Overview'!$A119,Stock!$A$3:$A$92,0),MATCH('Crawley Overview'!C$65,Stock!$A$3:$T$3,0)),0)</f>
        <v>0</v>
      </c>
      <c r="D119" s="68">
        <f t="shared" si="2"/>
        <v>0</v>
      </c>
      <c r="E119" s="10"/>
      <c r="F119" s="81" t="str">
        <f>IFERROR(INDEX(Stock!$A$3:$T$92,MATCH('Crawley Overview'!$A119,Stock!$A$3:$A$92,0),MATCH('Crawley Overview'!F$65,Stock!$A$3:$T$3,0)),0)</f>
        <v/>
      </c>
      <c r="G119" s="81" t="str">
        <f>IFERROR(INDEX(Stock!$A$3:$T$92,MATCH('Crawley Overview'!$A119,Stock!$A$3:$A$92,0),MATCH('Crawley Overview'!G$65,Stock!$A$3:$T$3,0)),0)</f>
        <v/>
      </c>
      <c r="H119" s="2"/>
    </row>
    <row r="120" spans="1:8" x14ac:dyDescent="0.2">
      <c r="A120" s="60" t="s">
        <v>200</v>
      </c>
      <c r="B120" s="68">
        <f>IFERROR(INDEX(Stock!$A$3:$T$92,MATCH('Crawley Overview'!$A120,Stock!$A$3:$A$92,0),MATCH('Crawley Overview'!B$65,Stock!$A$3:$T$3,0)),0)</f>
        <v>0</v>
      </c>
      <c r="C120" s="68">
        <f>IFERROR(INDEX(Stock!$A$3:$T$92,MATCH('Crawley Overview'!$A120,Stock!$A$3:$A$92,0),MATCH('Crawley Overview'!C$65,Stock!$A$3:$T$3,0)),0)</f>
        <v>0</v>
      </c>
      <c r="D120" s="68">
        <f t="shared" si="2"/>
        <v>0</v>
      </c>
      <c r="E120" s="10"/>
      <c r="F120" s="81" t="str">
        <f>IFERROR(INDEX(Stock!$A$3:$T$92,MATCH('Crawley Overview'!$A120,Stock!$A$3:$A$92,0),MATCH('Crawley Overview'!F$65,Stock!$A$3:$T$3,0)),0)</f>
        <v/>
      </c>
      <c r="G120" s="81" t="str">
        <f>IFERROR(INDEX(Stock!$A$3:$T$92,MATCH('Crawley Overview'!$A120,Stock!$A$3:$A$92,0),MATCH('Crawley Overview'!G$65,Stock!$A$3:$T$3,0)),0)</f>
        <v/>
      </c>
      <c r="H120" s="2"/>
    </row>
    <row r="121" spans="1:8" x14ac:dyDescent="0.2">
      <c r="A121" s="61" t="s">
        <v>122</v>
      </c>
      <c r="B121" s="68">
        <f>IFERROR(INDEX(Stock!$A$3:$T$92,MATCH('Crawley Overview'!$A121,Stock!$A$3:$A$92,0),MATCH('Crawley Overview'!B$65,Stock!$A$3:$T$3,0)),0)</f>
        <v>0</v>
      </c>
      <c r="C121" s="68">
        <f>IFERROR(INDEX(Stock!$A$3:$T$92,MATCH('Crawley Overview'!$A121,Stock!$A$3:$A$92,0),MATCH('Crawley Overview'!C$65,Stock!$A$3:$T$3,0)),0)</f>
        <v>0</v>
      </c>
      <c r="D121" s="68">
        <f t="shared" si="2"/>
        <v>0</v>
      </c>
      <c r="E121" s="10"/>
      <c r="F121" s="81">
        <f>IFERROR(INDEX(Stock!$A$3:$T$92,MATCH('Crawley Overview'!$A121,Stock!$A$3:$A$92,0),MATCH('Crawley Overview'!F$65,Stock!$A$3:$T$3,0)),0)</f>
        <v>0.22500000000000001</v>
      </c>
      <c r="G121" s="81">
        <f>IFERROR(INDEX(Stock!$A$3:$T$92,MATCH('Crawley Overview'!$A121,Stock!$A$3:$A$92,0),MATCH('Crawley Overview'!G$65,Stock!$A$3:$T$3,0)),0)</f>
        <v>0.22500000000000001</v>
      </c>
      <c r="H121" s="2"/>
    </row>
    <row r="122" spans="1:8" x14ac:dyDescent="0.2">
      <c r="A122" s="10" t="s">
        <v>165</v>
      </c>
      <c r="B122" s="68">
        <f>IFERROR(INDEX(Stock!$A$3:$T$92,MATCH('Crawley Overview'!$A122,Stock!$A$3:$A$92,0),MATCH('Crawley Overview'!B$65,Stock!$A$3:$T$3,0)),0)</f>
        <v>0</v>
      </c>
      <c r="C122" s="68">
        <f>IFERROR(INDEX(Stock!$A$3:$T$92,MATCH('Crawley Overview'!$A122,Stock!$A$3:$A$92,0),MATCH('Crawley Overview'!C$65,Stock!$A$3:$T$3,0)),0)</f>
        <v>0</v>
      </c>
      <c r="D122" s="68">
        <f t="shared" si="2"/>
        <v>0</v>
      </c>
      <c r="E122" s="10"/>
      <c r="F122" s="81">
        <f>IFERROR(INDEX(Stock!$A$3:$T$92,MATCH('Crawley Overview'!$A122,Stock!$A$3:$A$92,0),MATCH('Crawley Overview'!F$65,Stock!$A$3:$T$3,0)),0)</f>
        <v>0.30000000000000004</v>
      </c>
      <c r="G122" s="81">
        <f>IFERROR(INDEX(Stock!$A$3:$T$92,MATCH('Crawley Overview'!$A122,Stock!$A$3:$A$92,0),MATCH('Crawley Overview'!G$65,Stock!$A$3:$T$3,0)),0)</f>
        <v>0.32195121951219519</v>
      </c>
      <c r="H122" s="2"/>
    </row>
    <row r="123" spans="1:8" x14ac:dyDescent="0.2">
      <c r="A123" s="10" t="s">
        <v>123</v>
      </c>
      <c r="B123" s="68">
        <f>IFERROR(INDEX(Stock!$A$3:$T$92,MATCH('Crawley Overview'!$A123,Stock!$A$3:$A$92,0),MATCH('Crawley Overview'!B$65,Stock!$A$3:$T$3,0)),0)</f>
        <v>0</v>
      </c>
      <c r="C123" s="68">
        <f>IFERROR(INDEX(Stock!$A$3:$T$92,MATCH('Crawley Overview'!$A123,Stock!$A$3:$A$92,0),MATCH('Crawley Overview'!C$65,Stock!$A$3:$T$3,0)),0)</f>
        <v>0</v>
      </c>
      <c r="D123" s="68">
        <f t="shared" si="2"/>
        <v>0</v>
      </c>
      <c r="E123" s="10"/>
      <c r="F123" s="81" t="str">
        <f>IFERROR(INDEX(Stock!$A$3:$T$92,MATCH('Crawley Overview'!$A123,Stock!$A$3:$A$92,0),MATCH('Crawley Overview'!F$65,Stock!$A$3:$T$3,0)),0)</f>
        <v/>
      </c>
      <c r="G123" s="81" t="str">
        <f>IFERROR(INDEX(Stock!$A$3:$T$92,MATCH('Crawley Overview'!$A123,Stock!$A$3:$A$92,0),MATCH('Crawley Overview'!G$65,Stock!$A$3:$T$3,0)),0)</f>
        <v/>
      </c>
      <c r="H123" s="2"/>
    </row>
    <row r="124" spans="1:8" x14ac:dyDescent="0.2">
      <c r="A124" s="10" t="s">
        <v>124</v>
      </c>
      <c r="B124" s="68">
        <f>IFERROR(INDEX(Stock!$A$3:$T$92,MATCH('Crawley Overview'!$A124,Stock!$A$3:$A$92,0),MATCH('Crawley Overview'!B$65,Stock!$A$3:$T$3,0)),0)</f>
        <v>0</v>
      </c>
      <c r="C124" s="68">
        <f>IFERROR(INDEX(Stock!$A$3:$T$92,MATCH('Crawley Overview'!$A124,Stock!$A$3:$A$92,0),MATCH('Crawley Overview'!C$65,Stock!$A$3:$T$3,0)),0)</f>
        <v>0</v>
      </c>
      <c r="D124" s="68">
        <f t="shared" si="2"/>
        <v>0</v>
      </c>
      <c r="E124" s="10"/>
      <c r="F124" s="81" t="str">
        <f>IFERROR(INDEX(Stock!$A$3:$T$92,MATCH('Crawley Overview'!$A124,Stock!$A$3:$A$92,0),MATCH('Crawley Overview'!F$65,Stock!$A$3:$T$3,0)),0)</f>
        <v/>
      </c>
      <c r="G124" s="81" t="str">
        <f>IFERROR(INDEX(Stock!$A$3:$T$92,MATCH('Crawley Overview'!$A124,Stock!$A$3:$A$92,0),MATCH('Crawley Overview'!G$65,Stock!$A$3:$T$3,0)),0)</f>
        <v/>
      </c>
      <c r="H124" s="2"/>
    </row>
    <row r="125" spans="1:8" x14ac:dyDescent="0.2">
      <c r="A125" s="48" t="s">
        <v>80</v>
      </c>
      <c r="B125" s="46"/>
      <c r="C125" s="46"/>
      <c r="D125" s="46"/>
      <c r="E125" s="46"/>
      <c r="F125" s="52"/>
      <c r="G125" s="52">
        <f>SUM(G105:G124)</f>
        <v>1.8219512195121952</v>
      </c>
      <c r="H125" s="2"/>
    </row>
    <row r="126" spans="1:8" x14ac:dyDescent="0.2">
      <c r="A126" s="48" t="s">
        <v>81</v>
      </c>
      <c r="B126" s="46"/>
      <c r="C126" s="46"/>
      <c r="D126" s="46"/>
      <c r="E126" s="46"/>
      <c r="F126" s="52"/>
      <c r="G126" s="52">
        <f>SUM(F105:F124)</f>
        <v>1.8</v>
      </c>
      <c r="H126" s="2"/>
    </row>
    <row r="127" spans="1:8" x14ac:dyDescent="0.2">
      <c r="A127" s="10"/>
      <c r="B127" s="10"/>
      <c r="C127" s="10"/>
      <c r="D127" s="10"/>
      <c r="E127" s="10"/>
      <c r="F127" s="51"/>
      <c r="G127" s="51"/>
      <c r="H127" s="2"/>
    </row>
    <row r="128" spans="1:8" ht="51" x14ac:dyDescent="0.2">
      <c r="A128" s="45" t="s">
        <v>125</v>
      </c>
      <c r="B128" s="66" t="s">
        <v>142</v>
      </c>
      <c r="C128" s="66" t="s">
        <v>148</v>
      </c>
      <c r="D128" s="67" t="s">
        <v>90</v>
      </c>
      <c r="E128" s="68"/>
      <c r="F128" s="69" t="s">
        <v>151</v>
      </c>
      <c r="G128" s="69" t="s">
        <v>166</v>
      </c>
      <c r="H128" s="2"/>
    </row>
    <row r="129" spans="1:8" ht="17" x14ac:dyDescent="0.2">
      <c r="A129" s="53" t="s">
        <v>126</v>
      </c>
      <c r="B129" s="68">
        <f>IFERROR(INDEX(Stock!$A$3:$T$92,MATCH('Crawley Overview'!$A129,Stock!$A$3:$A$92,0),MATCH('Crawley Overview'!B$65,Stock!$A$3:$T$3,0)),0)</f>
        <v>0</v>
      </c>
      <c r="C129" s="68">
        <f>IFERROR(INDEX(Stock!$A$3:$T$92,MATCH('Crawley Overview'!$A129,Stock!$A$3:$A$92,0),MATCH('Crawley Overview'!C$65,Stock!$A$3:$T$3,0)),0)</f>
        <v>0</v>
      </c>
      <c r="D129" s="68">
        <f t="shared" ref="D129:D132" si="3">C129-B129</f>
        <v>0</v>
      </c>
      <c r="E129" s="10"/>
      <c r="F129" s="81">
        <f>IFERROR(INDEX(Stock!$A$3:$T$92,MATCH('Crawley Overview'!$A129,Stock!$A$3:$A$92,0),MATCH('Crawley Overview'!F$65,Stock!$A$3:$T$3,0)),0)</f>
        <v>0.39583333333333331</v>
      </c>
      <c r="G129" s="81">
        <f>IFERROR(INDEX(Stock!$A$3:$T$92,MATCH('Crawley Overview'!$A129,Stock!$A$3:$A$92,0),MATCH('Crawley Overview'!G$65,Stock!$A$3:$T$3,0)),0)</f>
        <v>0.52083333333333337</v>
      </c>
      <c r="H129" s="2"/>
    </row>
    <row r="130" spans="1:8" x14ac:dyDescent="0.2">
      <c r="A130" s="10" t="s">
        <v>127</v>
      </c>
      <c r="B130" s="68">
        <f>IFERROR(INDEX(Stock!$A$3:$T$92,MATCH('Crawley Overview'!$A130,Stock!$A$3:$A$92,0),MATCH('Crawley Overview'!B$65,Stock!$A$3:$T$3,0)),0)</f>
        <v>0</v>
      </c>
      <c r="C130" s="68">
        <f>IFERROR(INDEX(Stock!$A$3:$T$92,MATCH('Crawley Overview'!$A130,Stock!$A$3:$A$92,0),MATCH('Crawley Overview'!C$65,Stock!$A$3:$T$3,0)),0)</f>
        <v>0</v>
      </c>
      <c r="D130" s="68">
        <f t="shared" si="3"/>
        <v>0</v>
      </c>
      <c r="E130" s="10"/>
      <c r="F130" s="81" t="str">
        <f>IFERROR(INDEX(Stock!$A$3:$T$92,MATCH('Crawley Overview'!$A130,Stock!$A$3:$A$92,0),MATCH('Crawley Overview'!F$65,Stock!$A$3:$T$3,0)),0)</f>
        <v/>
      </c>
      <c r="G130" s="81" t="str">
        <f>IFERROR(INDEX(Stock!$A$3:$T$92,MATCH('Crawley Overview'!$A130,Stock!$A$3:$A$92,0),MATCH('Crawley Overview'!G$65,Stock!$A$3:$T$3,0)),0)</f>
        <v/>
      </c>
      <c r="H130" s="2"/>
    </row>
    <row r="131" spans="1:8" x14ac:dyDescent="0.2">
      <c r="A131" s="10" t="s">
        <v>128</v>
      </c>
      <c r="B131" s="68">
        <f>IFERROR(INDEX(Stock!$A$3:$T$92,MATCH('Crawley Overview'!$A131,Stock!$A$3:$A$92,0),MATCH('Crawley Overview'!B$65,Stock!$A$3:$T$3,0)),0)</f>
        <v>0</v>
      </c>
      <c r="C131" s="68">
        <f>IFERROR(INDEX(Stock!$A$3:$T$92,MATCH('Crawley Overview'!$A131,Stock!$A$3:$A$92,0),MATCH('Crawley Overview'!C$65,Stock!$A$3:$T$3,0)),0)</f>
        <v>0</v>
      </c>
      <c r="D131" s="68">
        <f t="shared" si="3"/>
        <v>0</v>
      </c>
      <c r="E131" s="10"/>
      <c r="F131" s="81" t="str">
        <f>IFERROR(INDEX(Stock!$A$3:$T$92,MATCH('Crawley Overview'!$A131,Stock!$A$3:$A$92,0),MATCH('Crawley Overview'!F$65,Stock!$A$3:$T$3,0)),0)</f>
        <v/>
      </c>
      <c r="G131" s="81" t="str">
        <f>IFERROR(INDEX(Stock!$A$3:$T$92,MATCH('Crawley Overview'!$A131,Stock!$A$3:$A$92,0),MATCH('Crawley Overview'!G$65,Stock!$A$3:$T$3,0)),0)</f>
        <v/>
      </c>
      <c r="H131" s="2"/>
    </row>
    <row r="132" spans="1:8" x14ac:dyDescent="0.2">
      <c r="A132" s="10" t="s">
        <v>129</v>
      </c>
      <c r="B132" s="68">
        <f>IFERROR(INDEX(Stock!$A$3:$T$92,MATCH('Crawley Overview'!$A132,Stock!$A$3:$A$92,0),MATCH('Crawley Overview'!B$65,Stock!$A$3:$T$3,0)),0)</f>
        <v>0</v>
      </c>
      <c r="C132" s="68">
        <f>IFERROR(INDEX(Stock!$A$3:$T$92,MATCH('Crawley Overview'!$A132,Stock!$A$3:$A$92,0),MATCH('Crawley Overview'!C$65,Stock!$A$3:$T$3,0)),0)</f>
        <v>0</v>
      </c>
      <c r="D132" s="68">
        <f t="shared" si="3"/>
        <v>0</v>
      </c>
      <c r="E132" s="10"/>
      <c r="F132" s="81" t="str">
        <f>IFERROR(INDEX(Stock!$A$3:$T$92,MATCH('Crawley Overview'!$A132,Stock!$A$3:$A$92,0),MATCH('Crawley Overview'!F$65,Stock!$A$3:$T$3,0)),0)</f>
        <v/>
      </c>
      <c r="G132" s="81" t="str">
        <f>IFERROR(INDEX(Stock!$A$3:$T$92,MATCH('Crawley Overview'!$A132,Stock!$A$3:$A$92,0),MATCH('Crawley Overview'!G$65,Stock!$A$3:$T$3,0)),0)</f>
        <v/>
      </c>
      <c r="H132" s="2"/>
    </row>
    <row r="133" spans="1:8" x14ac:dyDescent="0.2">
      <c r="A133" s="48" t="s">
        <v>80</v>
      </c>
      <c r="B133" s="46"/>
      <c r="C133" s="46"/>
      <c r="D133" s="46"/>
      <c r="E133" s="46"/>
      <c r="F133" s="52"/>
      <c r="G133" s="52">
        <f>SUM(G129:G132)</f>
        <v>0.52083333333333337</v>
      </c>
      <c r="H133" s="2"/>
    </row>
    <row r="134" spans="1:8" x14ac:dyDescent="0.2">
      <c r="A134" s="48" t="s">
        <v>81</v>
      </c>
      <c r="B134" s="46"/>
      <c r="C134" s="46"/>
      <c r="D134" s="46"/>
      <c r="E134" s="46"/>
      <c r="F134" s="52"/>
      <c r="G134" s="52">
        <f>SUM(F129:F132)</f>
        <v>0.39583333333333331</v>
      </c>
      <c r="H134" s="2"/>
    </row>
    <row r="135" spans="1:8" x14ac:dyDescent="0.2">
      <c r="A135" s="10"/>
      <c r="B135" s="10"/>
      <c r="C135" s="10"/>
      <c r="D135" s="10"/>
      <c r="E135" s="10"/>
      <c r="F135" s="51"/>
      <c r="G135" s="51"/>
      <c r="H135" s="2"/>
    </row>
    <row r="136" spans="1:8" ht="51" x14ac:dyDescent="0.2">
      <c r="A136" s="45" t="s">
        <v>130</v>
      </c>
      <c r="B136" s="66" t="s">
        <v>142</v>
      </c>
      <c r="C136" s="66" t="s">
        <v>148</v>
      </c>
      <c r="D136" s="67" t="s">
        <v>90</v>
      </c>
      <c r="E136" s="68"/>
      <c r="F136" s="69" t="s">
        <v>151</v>
      </c>
      <c r="G136" s="69" t="s">
        <v>166</v>
      </c>
      <c r="H136" s="2"/>
    </row>
    <row r="137" spans="1:8" x14ac:dyDescent="0.2">
      <c r="A137" s="10" t="s">
        <v>131</v>
      </c>
      <c r="B137" s="68">
        <f>IFERROR(INDEX(Stock!$A$3:$T$92,MATCH('Crawley Overview'!$A137,Stock!$A$3:$A$92,0),MATCH('Crawley Overview'!B$65,Stock!$A$3:$T$3,0)),0)</f>
        <v>0</v>
      </c>
      <c r="C137" s="68">
        <f>IFERROR(INDEX(Stock!$A$3:$T$92,MATCH('Crawley Overview'!$A137,Stock!$A$3:$A$92,0),MATCH('Crawley Overview'!C$65,Stock!$A$3:$T$3,0)),0)</f>
        <v>0</v>
      </c>
      <c r="D137" s="68">
        <f t="shared" ref="D137:D138" si="4">C137-B137</f>
        <v>0</v>
      </c>
      <c r="E137" s="10"/>
      <c r="F137" s="81" t="str">
        <f>IFERROR(INDEX(Stock!$A$3:$T$92,MATCH('Crawley Overview'!$A137,Stock!$A$3:$A$92,0),MATCH('Crawley Overview'!F$65,Stock!$A$3:$T$3,0)),0)</f>
        <v/>
      </c>
      <c r="G137" s="81" t="str">
        <f>IFERROR(INDEX(Stock!$A$3:$T$92,MATCH('Crawley Overview'!$A137,Stock!$A$3:$A$92,0),MATCH('Crawley Overview'!G$65,Stock!$A$3:$T$3,0)),0)</f>
        <v/>
      </c>
      <c r="H137" s="2"/>
    </row>
    <row r="138" spans="1:8" x14ac:dyDescent="0.2">
      <c r="A138" s="10" t="s">
        <v>132</v>
      </c>
      <c r="B138" s="68">
        <f>IFERROR(INDEX(Stock!$A$3:$T$92,MATCH('Crawley Overview'!$A138,Stock!$A$3:$A$92,0),MATCH('Crawley Overview'!B$65,Stock!$A$3:$T$3,0)),0)</f>
        <v>0</v>
      </c>
      <c r="C138" s="68">
        <f>IFERROR(INDEX(Stock!$A$3:$T$92,MATCH('Crawley Overview'!$A138,Stock!$A$3:$A$92,0),MATCH('Crawley Overview'!C$65,Stock!$A$3:$T$3,0)),0)</f>
        <v>0</v>
      </c>
      <c r="D138" s="68">
        <f t="shared" si="4"/>
        <v>0</v>
      </c>
      <c r="E138" s="10"/>
      <c r="F138" s="81" t="str">
        <f>IFERROR(INDEX(Stock!$A$3:$T$92,MATCH('Crawley Overview'!$A138,Stock!$A$3:$A$92,0),MATCH('Crawley Overview'!F$65,Stock!$A$3:$T$3,0)),0)</f>
        <v/>
      </c>
      <c r="G138" s="81" t="str">
        <f>IFERROR(INDEX(Stock!$A$3:$T$92,MATCH('Crawley Overview'!$A138,Stock!$A$3:$A$92,0),MATCH('Crawley Overview'!G$65,Stock!$A$3:$T$3,0)),0)</f>
        <v/>
      </c>
      <c r="H138" s="2"/>
    </row>
    <row r="139" spans="1:8" x14ac:dyDescent="0.2">
      <c r="A139" s="10" t="s">
        <v>133</v>
      </c>
      <c r="B139" s="68">
        <f>SUM(B137:B138)</f>
        <v>0</v>
      </c>
      <c r="C139" s="68">
        <f t="shared" ref="C139:D139" si="5">SUM(C137:C138)</f>
        <v>0</v>
      </c>
      <c r="D139" s="68">
        <f t="shared" si="5"/>
        <v>0</v>
      </c>
      <c r="E139" s="10"/>
      <c r="F139" s="81">
        <f>IFERROR(INDEX(Stock!$A$3:$T$92,MATCH('Crawley Overview'!$A139,Stock!$A$3:$A$92,0),MATCH('Crawley Overview'!F$65,Stock!$A$3:$T$3,0)),0)</f>
        <v>0</v>
      </c>
      <c r="G139" s="81">
        <f>IFERROR(INDEX(Stock!$A$3:$T$92,MATCH('Crawley Overview'!$A139,Stock!$A$3:$A$92,0),MATCH('Crawley Overview'!G$65,Stock!$A$3:$T$3,0)),0)</f>
        <v>0</v>
      </c>
      <c r="H139" s="2"/>
    </row>
    <row r="140" spans="1:8" x14ac:dyDescent="0.2">
      <c r="A140" s="48" t="s">
        <v>134</v>
      </c>
      <c r="B140" s="46"/>
      <c r="C140" s="46"/>
      <c r="D140" s="46"/>
      <c r="E140" s="46"/>
      <c r="F140" s="52"/>
      <c r="G140" s="52">
        <f>SUM(G137:G139)</f>
        <v>0</v>
      </c>
      <c r="H140" s="2"/>
    </row>
    <row r="141" spans="1:8" x14ac:dyDescent="0.2">
      <c r="A141" s="48" t="s">
        <v>81</v>
      </c>
      <c r="B141" s="46"/>
      <c r="C141" s="46"/>
      <c r="D141" s="46"/>
      <c r="E141" s="46"/>
      <c r="F141" s="52"/>
      <c r="G141" s="52">
        <f>SUM(F137:F139)</f>
        <v>0</v>
      </c>
      <c r="H141" s="2"/>
    </row>
    <row r="142" spans="1:8" x14ac:dyDescent="0.2">
      <c r="A142" s="10"/>
      <c r="B142" s="10"/>
      <c r="C142" s="10"/>
      <c r="D142" s="10"/>
      <c r="E142" s="10"/>
      <c r="F142" s="51"/>
      <c r="G142" s="51"/>
      <c r="H142" s="2"/>
    </row>
    <row r="143" spans="1:8" ht="51" x14ac:dyDescent="0.2">
      <c r="A143" s="45" t="s">
        <v>135</v>
      </c>
      <c r="B143" s="66" t="s">
        <v>142</v>
      </c>
      <c r="C143" s="66" t="s">
        <v>148</v>
      </c>
      <c r="D143" s="67" t="s">
        <v>90</v>
      </c>
      <c r="E143" s="68"/>
      <c r="F143" s="69" t="s">
        <v>151</v>
      </c>
      <c r="G143" s="69" t="s">
        <v>166</v>
      </c>
      <c r="H143" s="2"/>
    </row>
    <row r="144" spans="1:8" x14ac:dyDescent="0.2">
      <c r="A144" s="10" t="s">
        <v>136</v>
      </c>
      <c r="B144" s="68">
        <f>IFERROR(INDEX(Stock!$A$3:$T$92,MATCH('Crawley Overview'!$A144,Stock!$A$3:$A$92,0),MATCH('Crawley Overview'!B$65,Stock!$A$3:$T$3,0)),0)</f>
        <v>0</v>
      </c>
      <c r="C144" s="68">
        <f>IFERROR(INDEX(Stock!$A$3:$T$92,MATCH('Crawley Overview'!$A144,Stock!$A$3:$A$92,0),MATCH('Crawley Overview'!C$65,Stock!$A$3:$T$3,0)),0)</f>
        <v>0</v>
      </c>
      <c r="D144" s="68">
        <f t="shared" ref="D144:D146" si="6">C144-B144</f>
        <v>0</v>
      </c>
      <c r="E144" s="10"/>
      <c r="F144" s="81">
        <f>IFERROR(INDEX(Stock!$A$3:$T$92,MATCH('Crawley Overview'!$A144,Stock!$A$3:$A$92,0),MATCH('Crawley Overview'!F$65,Stock!$A$3:$T$3,0)),0)</f>
        <v>0</v>
      </c>
      <c r="G144" s="81">
        <f>IFERROR(INDEX(Stock!$A$3:$T$92,MATCH('Crawley Overview'!$A144,Stock!$A$3:$A$92,0),MATCH('Crawley Overview'!G$65,Stock!$A$3:$T$3,0)),0)</f>
        <v>0</v>
      </c>
      <c r="H144" s="2"/>
    </row>
    <row r="145" spans="1:8" x14ac:dyDescent="0.2">
      <c r="A145" s="10" t="s">
        <v>137</v>
      </c>
      <c r="B145" s="68">
        <f>IFERROR(INDEX(Stock!$A$3:$T$92,MATCH('Crawley Overview'!$A145,Stock!$A$3:$A$92,0),MATCH('Crawley Overview'!B$65,Stock!$A$3:$T$3,0)),0)</f>
        <v>0</v>
      </c>
      <c r="C145" s="68">
        <f>IFERROR(INDEX(Stock!$A$3:$T$92,MATCH('Crawley Overview'!$A145,Stock!$A$3:$A$92,0),MATCH('Crawley Overview'!C$65,Stock!$A$3:$T$3,0)),0)</f>
        <v>0</v>
      </c>
      <c r="D145" s="68">
        <f t="shared" si="6"/>
        <v>0</v>
      </c>
      <c r="E145" s="10"/>
      <c r="F145" s="81">
        <f>IFERROR(INDEX(Stock!$A$3:$T$92,MATCH('Crawley Overview'!$A145,Stock!$A$3:$A$92,0),MATCH('Crawley Overview'!F$65,Stock!$A$3:$T$3,0)),0)</f>
        <v>7.5000000000000011E-2</v>
      </c>
      <c r="G145" s="81">
        <f>IFERROR(INDEX(Stock!$A$3:$T$92,MATCH('Crawley Overview'!$A145,Stock!$A$3:$A$92,0),MATCH('Crawley Overview'!G$65,Stock!$A$3:$T$3,0)),0)</f>
        <v>7.5000000000000011E-2</v>
      </c>
      <c r="H145" s="2"/>
    </row>
    <row r="146" spans="1:8" x14ac:dyDescent="0.2">
      <c r="A146" s="10" t="s">
        <v>138</v>
      </c>
      <c r="B146" s="68">
        <f>IFERROR(INDEX(Stock!$A$3:$T$92,MATCH('Crawley Overview'!$A146,Stock!$A$3:$A$92,0),MATCH('Crawley Overview'!B$65,Stock!$A$3:$T$3,0)),0)</f>
        <v>0</v>
      </c>
      <c r="C146" s="68">
        <f>IFERROR(INDEX(Stock!$A$3:$T$92,MATCH('Crawley Overview'!$A146,Stock!$A$3:$A$92,0),MATCH('Crawley Overview'!C$65,Stock!$A$3:$T$3,0)),0)</f>
        <v>0</v>
      </c>
      <c r="D146" s="68">
        <f t="shared" si="6"/>
        <v>0</v>
      </c>
      <c r="E146" s="10"/>
      <c r="F146" s="81">
        <f>IFERROR(INDEX(Stock!$A$3:$T$92,MATCH('Crawley Overview'!$A146,Stock!$A$3:$A$92,0),MATCH('Crawley Overview'!F$65,Stock!$A$3:$T$3,0)),0)</f>
        <v>61.280284043441938</v>
      </c>
      <c r="G146" s="81">
        <f>IFERROR(INDEX(Stock!$A$3:$T$92,MATCH('Crawley Overview'!$A146,Stock!$A$3:$A$92,0),MATCH('Crawley Overview'!G$65,Stock!$A$3:$T$3,0)),0)</f>
        <v>69.561403508771932</v>
      </c>
      <c r="H146" s="2"/>
    </row>
    <row r="147" spans="1:8" x14ac:dyDescent="0.2">
      <c r="A147" s="48" t="s">
        <v>80</v>
      </c>
      <c r="B147" s="46"/>
      <c r="C147" s="46"/>
      <c r="D147" s="46"/>
      <c r="E147" s="46"/>
      <c r="F147" s="52"/>
      <c r="G147" s="52">
        <f>SUM(G144:G146)</f>
        <v>69.636403508771934</v>
      </c>
      <c r="H147" s="2"/>
    </row>
    <row r="148" spans="1:8" x14ac:dyDescent="0.2">
      <c r="A148" s="48" t="s">
        <v>81</v>
      </c>
      <c r="B148" s="46"/>
      <c r="C148" s="46"/>
      <c r="D148" s="46"/>
      <c r="E148" s="46"/>
      <c r="F148" s="52"/>
      <c r="G148" s="52">
        <f>SUM(F144:F146)</f>
        <v>61.355284043441941</v>
      </c>
      <c r="H148" s="2"/>
    </row>
    <row r="149" spans="1:8" x14ac:dyDescent="0.2">
      <c r="A149" s="10"/>
      <c r="B149" s="10"/>
      <c r="C149" s="10"/>
      <c r="D149" s="10"/>
      <c r="E149" s="10"/>
      <c r="F149" s="51"/>
      <c r="G149" s="51"/>
      <c r="H149" s="2"/>
    </row>
    <row r="150" spans="1:8" ht="17" thickBot="1" x14ac:dyDescent="0.25">
      <c r="A150" s="10"/>
      <c r="B150" s="10"/>
      <c r="C150" s="10"/>
      <c r="D150" s="10"/>
      <c r="E150" s="10"/>
      <c r="F150" s="51"/>
      <c r="G150" s="51"/>
      <c r="H150" s="2"/>
    </row>
    <row r="151" spans="1:8" ht="17" thickBot="1" x14ac:dyDescent="0.25">
      <c r="A151" s="83"/>
      <c r="B151" s="84" t="s">
        <v>3</v>
      </c>
      <c r="C151" s="85"/>
      <c r="D151" s="86"/>
      <c r="E151" s="87"/>
      <c r="F151" s="51"/>
      <c r="G151" s="51"/>
      <c r="H151" s="2"/>
    </row>
    <row r="152" spans="1:8" x14ac:dyDescent="0.2">
      <c r="A152" s="88" t="s">
        <v>379</v>
      </c>
      <c r="B152" s="89">
        <f>G147+G140+G125+G101+G51</f>
        <v>119.17780931629912</v>
      </c>
      <c r="C152" s="2"/>
      <c r="D152" s="90"/>
      <c r="E152" s="91"/>
      <c r="F152" s="51"/>
      <c r="G152" s="82"/>
      <c r="H152" s="2"/>
    </row>
    <row r="153" spans="1:8" x14ac:dyDescent="0.2">
      <c r="A153" s="92" t="s">
        <v>377</v>
      </c>
      <c r="B153" s="89">
        <f>G148+G141+G126+G102+G52</f>
        <v>108.76736737677528</v>
      </c>
      <c r="C153" s="2"/>
      <c r="D153" s="90"/>
      <c r="E153" s="91"/>
      <c r="F153" s="51"/>
      <c r="G153" s="82"/>
      <c r="H153" s="2"/>
    </row>
    <row r="154" spans="1:8" x14ac:dyDescent="0.2">
      <c r="A154" s="92" t="s">
        <v>378</v>
      </c>
      <c r="B154" s="89">
        <f>G11+G12</f>
        <v>43.929166666666667</v>
      </c>
      <c r="C154" s="2"/>
      <c r="D154" s="90"/>
      <c r="E154" s="91"/>
      <c r="F154" s="51"/>
      <c r="G154" s="82"/>
      <c r="H154" s="2"/>
    </row>
    <row r="155" spans="1:8" x14ac:dyDescent="0.2">
      <c r="A155" s="92" t="s">
        <v>375</v>
      </c>
      <c r="B155" s="89">
        <f>B152+G9+G10+G13+G14</f>
        <v>131.4069759829658</v>
      </c>
      <c r="C155" s="2"/>
      <c r="D155" s="90"/>
      <c r="E155" s="91"/>
      <c r="F155" s="51"/>
      <c r="G155" s="51"/>
      <c r="H155" s="2"/>
    </row>
    <row r="156" spans="1:8" x14ac:dyDescent="0.2">
      <c r="A156" s="93"/>
      <c r="B156" s="90"/>
      <c r="C156" s="2"/>
      <c r="D156" s="90"/>
      <c r="E156" s="91"/>
      <c r="F156" s="51"/>
      <c r="G156" s="51"/>
      <c r="H156" s="2"/>
    </row>
    <row r="157" spans="1:8" x14ac:dyDescent="0.2">
      <c r="A157" s="94" t="s">
        <v>139</v>
      </c>
      <c r="B157" s="95">
        <f>G31/B152</f>
        <v>7.4433599545281545E-2</v>
      </c>
      <c r="C157" s="18"/>
      <c r="D157" s="90"/>
      <c r="E157" s="91"/>
      <c r="F157" s="51"/>
      <c r="G157" s="82"/>
      <c r="H157" s="2"/>
    </row>
    <row r="158" spans="1:8" x14ac:dyDescent="0.2">
      <c r="A158" s="92" t="s">
        <v>140</v>
      </c>
      <c r="B158" s="95">
        <f>G31/B155</f>
        <v>6.7506563232101566E-2</v>
      </c>
      <c r="C158" s="2"/>
      <c r="D158" s="90"/>
      <c r="E158" s="91"/>
      <c r="F158" s="51"/>
      <c r="G158" s="51"/>
      <c r="H158" s="2"/>
    </row>
    <row r="159" spans="1:8" x14ac:dyDescent="0.2">
      <c r="A159" s="93"/>
      <c r="B159" s="95"/>
      <c r="C159" s="2"/>
      <c r="D159" s="90"/>
      <c r="E159" s="91"/>
      <c r="F159" s="51"/>
      <c r="G159" s="82"/>
      <c r="H159" s="2"/>
    </row>
    <row r="160" spans="1:8" ht="17" thickBot="1" x14ac:dyDescent="0.25">
      <c r="A160" s="96" t="s">
        <v>141</v>
      </c>
      <c r="B160" s="100">
        <v>4.802E-2</v>
      </c>
      <c r="C160" s="98"/>
      <c r="D160" s="97"/>
      <c r="E160" s="99"/>
    </row>
  </sheetData>
  <mergeCells count="1"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110"/>
  <sheetViews>
    <sheetView workbookViewId="0">
      <pane xSplit="1" ySplit="2" topLeftCell="B78" activePane="bottomRight" state="frozen"/>
      <selection pane="topRight" activeCell="B1" sqref="B1"/>
      <selection pane="bottomLeft" activeCell="A3" sqref="A3"/>
      <selection pane="bottomRight" activeCell="D109" sqref="D109"/>
    </sheetView>
  </sheetViews>
  <sheetFormatPr baseColWidth="10" defaultRowHeight="16" x14ac:dyDescent="0.2"/>
  <cols>
    <col min="1" max="1" width="41.5" bestFit="1" customWidth="1"/>
    <col min="7" max="7" width="10.83203125" style="2"/>
  </cols>
  <sheetData>
    <row r="1" spans="1:8" x14ac:dyDescent="0.2">
      <c r="A1" t="s">
        <v>236</v>
      </c>
      <c r="F1" s="1"/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6" t="s">
        <v>3</v>
      </c>
      <c r="G2" s="7" t="s">
        <v>5</v>
      </c>
      <c r="H2" s="5" t="s">
        <v>4</v>
      </c>
    </row>
    <row r="3" spans="1:8" x14ac:dyDescent="0.2">
      <c r="F3" s="1"/>
      <c r="H3" s="2"/>
    </row>
    <row r="4" spans="1:8" x14ac:dyDescent="0.2">
      <c r="A4" s="5" t="s">
        <v>6</v>
      </c>
      <c r="F4" s="1"/>
      <c r="H4" s="2"/>
    </row>
    <row r="5" spans="1:8" x14ac:dyDescent="0.2">
      <c r="A5" t="s">
        <v>211</v>
      </c>
      <c r="B5">
        <v>7</v>
      </c>
      <c r="C5">
        <v>8</v>
      </c>
      <c r="D5">
        <v>8</v>
      </c>
      <c r="F5" s="8">
        <f t="shared" ref="F5:F6" si="0">B5+C5/20+D5/240</f>
        <v>7.4333333333333336</v>
      </c>
      <c r="H5" s="2"/>
    </row>
    <row r="6" spans="1:8" x14ac:dyDescent="0.2">
      <c r="A6" t="s">
        <v>7</v>
      </c>
      <c r="B6">
        <v>7</v>
      </c>
      <c r="C6">
        <v>8</v>
      </c>
      <c r="D6">
        <v>8</v>
      </c>
      <c r="F6" s="8">
        <f t="shared" si="0"/>
        <v>7.4333333333333336</v>
      </c>
      <c r="H6" s="2"/>
    </row>
    <row r="8" spans="1:8" x14ac:dyDescent="0.2">
      <c r="A8" s="5" t="s">
        <v>173</v>
      </c>
    </row>
    <row r="9" spans="1:8" x14ac:dyDescent="0.2">
      <c r="A9" t="s">
        <v>239</v>
      </c>
      <c r="B9">
        <v>3</v>
      </c>
      <c r="C9">
        <v>1</v>
      </c>
      <c r="D9">
        <v>4</v>
      </c>
      <c r="F9" s="8">
        <f t="shared" ref="F9:F14" si="1">B9+C9/20+D9/240</f>
        <v>3.0666666666666664</v>
      </c>
    </row>
    <row r="10" spans="1:8" x14ac:dyDescent="0.2">
      <c r="A10" t="s">
        <v>240</v>
      </c>
      <c r="B10">
        <v>3</v>
      </c>
      <c r="C10">
        <v>1</v>
      </c>
      <c r="D10">
        <v>4</v>
      </c>
      <c r="F10" s="8">
        <f t="shared" si="1"/>
        <v>3.0666666666666664</v>
      </c>
    </row>
    <row r="11" spans="1:8" x14ac:dyDescent="0.2">
      <c r="A11" t="s">
        <v>241</v>
      </c>
      <c r="B11">
        <v>3</v>
      </c>
      <c r="C11">
        <v>1</v>
      </c>
      <c r="D11">
        <v>4</v>
      </c>
      <c r="F11" s="8">
        <f t="shared" si="1"/>
        <v>3.0666666666666664</v>
      </c>
    </row>
    <row r="12" spans="1:8" x14ac:dyDescent="0.2">
      <c r="A12" t="s">
        <v>242</v>
      </c>
      <c r="B12">
        <v>4</v>
      </c>
      <c r="C12">
        <v>17</v>
      </c>
      <c r="D12">
        <v>7</v>
      </c>
      <c r="F12" s="8">
        <f t="shared" si="1"/>
        <v>4.8791666666666664</v>
      </c>
    </row>
    <row r="13" spans="1:8" x14ac:dyDescent="0.2">
      <c r="A13" s="5" t="s">
        <v>8</v>
      </c>
      <c r="B13">
        <v>14</v>
      </c>
      <c r="C13">
        <v>1</v>
      </c>
      <c r="D13">
        <v>7</v>
      </c>
      <c r="F13" s="8">
        <f t="shared" si="1"/>
        <v>14.079166666666667</v>
      </c>
    </row>
    <row r="14" spans="1:8" x14ac:dyDescent="0.2">
      <c r="A14" s="5" t="s">
        <v>212</v>
      </c>
      <c r="B14">
        <f>SUM(B9:B12)</f>
        <v>13</v>
      </c>
      <c r="C14">
        <f t="shared" ref="C14:D14" si="2">SUM(C9:C12)</f>
        <v>20</v>
      </c>
      <c r="D14">
        <f t="shared" si="2"/>
        <v>19</v>
      </c>
      <c r="F14" s="8">
        <f t="shared" si="1"/>
        <v>14.079166666666667</v>
      </c>
      <c r="G14" s="50">
        <f>F14-F13</f>
        <v>0</v>
      </c>
    </row>
    <row r="16" spans="1:8" x14ac:dyDescent="0.2">
      <c r="A16" s="5" t="s">
        <v>10</v>
      </c>
    </row>
    <row r="17" spans="1:7" x14ac:dyDescent="0.2">
      <c r="A17" t="s">
        <v>243</v>
      </c>
      <c r="C17">
        <v>5</v>
      </c>
      <c r="F17" s="8">
        <f t="shared" ref="F17:F23" si="3">B17+C17/20+D17/240</f>
        <v>0.25</v>
      </c>
    </row>
    <row r="18" spans="1:7" x14ac:dyDescent="0.2">
      <c r="A18" t="s">
        <v>244</v>
      </c>
      <c r="C18">
        <v>18</v>
      </c>
      <c r="D18">
        <v>8</v>
      </c>
      <c r="F18" s="8">
        <f t="shared" si="3"/>
        <v>0.93333333333333335</v>
      </c>
    </row>
    <row r="19" spans="1:7" x14ac:dyDescent="0.2">
      <c r="A19" t="s">
        <v>245</v>
      </c>
      <c r="C19">
        <v>5</v>
      </c>
      <c r="D19">
        <v>4</v>
      </c>
      <c r="F19" s="8">
        <f t="shared" si="3"/>
        <v>0.26666666666666666</v>
      </c>
    </row>
    <row r="20" spans="1:7" x14ac:dyDescent="0.2">
      <c r="A20" t="s">
        <v>246</v>
      </c>
      <c r="B20">
        <v>1</v>
      </c>
      <c r="C20">
        <v>1</v>
      </c>
      <c r="D20">
        <v>4</v>
      </c>
      <c r="F20" s="8">
        <f t="shared" si="3"/>
        <v>1.0666666666666667</v>
      </c>
    </row>
    <row r="21" spans="1:7" x14ac:dyDescent="0.2">
      <c r="A21" t="s">
        <v>247</v>
      </c>
      <c r="C21">
        <v>5</v>
      </c>
      <c r="D21">
        <v>4</v>
      </c>
      <c r="F21" s="8">
        <f t="shared" si="3"/>
        <v>0.26666666666666666</v>
      </c>
    </row>
    <row r="22" spans="1:7" x14ac:dyDescent="0.2">
      <c r="A22" s="5" t="s">
        <v>8</v>
      </c>
      <c r="B22">
        <v>2</v>
      </c>
      <c r="C22">
        <v>15</v>
      </c>
      <c r="D22">
        <v>8</v>
      </c>
      <c r="F22" s="8">
        <f t="shared" si="3"/>
        <v>2.7833333333333332</v>
      </c>
    </row>
    <row r="23" spans="1:7" x14ac:dyDescent="0.2">
      <c r="A23" s="5" t="s">
        <v>213</v>
      </c>
      <c r="B23">
        <f>SUM(B17:B21)</f>
        <v>1</v>
      </c>
      <c r="C23">
        <f t="shared" ref="C23:D23" si="4">SUM(C17:C21)</f>
        <v>34</v>
      </c>
      <c r="D23">
        <f t="shared" si="4"/>
        <v>20</v>
      </c>
      <c r="F23" s="8">
        <f t="shared" si="3"/>
        <v>2.7833333333333337</v>
      </c>
      <c r="G23" s="50">
        <f>F23-F22</f>
        <v>0</v>
      </c>
    </row>
    <row r="25" spans="1:7" x14ac:dyDescent="0.2">
      <c r="A25" s="5" t="s">
        <v>11</v>
      </c>
    </row>
    <row r="26" spans="1:7" x14ac:dyDescent="0.2">
      <c r="A26" t="s">
        <v>248</v>
      </c>
      <c r="C26">
        <v>2</v>
      </c>
      <c r="F26" s="8">
        <f t="shared" ref="F26:F36" si="5">B26+C26/20+D26/240</f>
        <v>0.1</v>
      </c>
    </row>
    <row r="27" spans="1:7" x14ac:dyDescent="0.2">
      <c r="A27" t="s">
        <v>249</v>
      </c>
      <c r="C27">
        <v>2</v>
      </c>
      <c r="D27">
        <v>8</v>
      </c>
      <c r="F27" s="8">
        <f t="shared" si="5"/>
        <v>0.13333333333333333</v>
      </c>
    </row>
    <row r="28" spans="1:7" x14ac:dyDescent="0.2">
      <c r="A28" t="s">
        <v>250</v>
      </c>
      <c r="C28">
        <v>5</v>
      </c>
      <c r="F28" s="8">
        <f t="shared" si="5"/>
        <v>0.25</v>
      </c>
    </row>
    <row r="29" spans="1:7" x14ac:dyDescent="0.2">
      <c r="A29" t="s">
        <v>251</v>
      </c>
      <c r="C29">
        <v>2</v>
      </c>
      <c r="D29">
        <v>8</v>
      </c>
      <c r="F29" s="8">
        <f t="shared" si="5"/>
        <v>0.13333333333333333</v>
      </c>
    </row>
    <row r="30" spans="1:7" x14ac:dyDescent="0.2">
      <c r="A30" t="s">
        <v>252</v>
      </c>
      <c r="C30">
        <v>2</v>
      </c>
      <c r="D30">
        <v>8</v>
      </c>
      <c r="F30" s="8">
        <f t="shared" si="5"/>
        <v>0.13333333333333333</v>
      </c>
    </row>
    <row r="31" spans="1:7" x14ac:dyDescent="0.2">
      <c r="A31" t="s">
        <v>253</v>
      </c>
      <c r="C31">
        <v>2</v>
      </c>
      <c r="D31">
        <v>8</v>
      </c>
      <c r="F31" s="8">
        <f t="shared" si="5"/>
        <v>0.13333333333333333</v>
      </c>
    </row>
    <row r="32" spans="1:7" x14ac:dyDescent="0.2">
      <c r="A32" t="s">
        <v>254</v>
      </c>
      <c r="C32">
        <v>2</v>
      </c>
      <c r="D32">
        <v>8</v>
      </c>
      <c r="F32" s="8">
        <f t="shared" si="5"/>
        <v>0.13333333333333333</v>
      </c>
    </row>
    <row r="33" spans="1:8" x14ac:dyDescent="0.2">
      <c r="A33" s="5" t="s">
        <v>8</v>
      </c>
      <c r="B33">
        <v>1</v>
      </c>
      <c r="D33">
        <v>4</v>
      </c>
      <c r="F33" s="8">
        <f t="shared" si="5"/>
        <v>1.0166666666666666</v>
      </c>
    </row>
    <row r="34" spans="1:8" x14ac:dyDescent="0.2">
      <c r="A34" s="5" t="s">
        <v>214</v>
      </c>
      <c r="B34">
        <f>SUM(B26:B32)</f>
        <v>0</v>
      </c>
      <c r="C34">
        <f t="shared" ref="C34:D34" si="6">SUM(C26:C32)</f>
        <v>17</v>
      </c>
      <c r="D34">
        <f t="shared" si="6"/>
        <v>40</v>
      </c>
      <c r="F34" s="8">
        <f t="shared" si="5"/>
        <v>1.0166666666666666</v>
      </c>
      <c r="G34" s="50">
        <f>F34-F33</f>
        <v>0</v>
      </c>
    </row>
    <row r="36" spans="1:8" x14ac:dyDescent="0.2">
      <c r="A36" s="5" t="s">
        <v>12</v>
      </c>
      <c r="B36">
        <v>10</v>
      </c>
      <c r="C36">
        <v>5</v>
      </c>
      <c r="D36">
        <v>7</v>
      </c>
      <c r="F36" s="8">
        <f t="shared" si="5"/>
        <v>10.279166666666667</v>
      </c>
      <c r="H36" t="s">
        <v>20</v>
      </c>
    </row>
    <row r="37" spans="1:8" x14ac:dyDescent="0.2">
      <c r="A37" s="5"/>
      <c r="F37" s="8"/>
    </row>
    <row r="38" spans="1:8" x14ac:dyDescent="0.2">
      <c r="A38" s="5" t="s">
        <v>13</v>
      </c>
    </row>
    <row r="39" spans="1:8" x14ac:dyDescent="0.2">
      <c r="A39" t="s">
        <v>287</v>
      </c>
      <c r="D39">
        <v>6</v>
      </c>
      <c r="F39" s="8">
        <f t="shared" ref="F39:F44" si="7">B39+C39/20+D39/240</f>
        <v>2.5000000000000001E-2</v>
      </c>
    </row>
    <row r="40" spans="1:8" x14ac:dyDescent="0.2">
      <c r="A40" t="s">
        <v>288</v>
      </c>
      <c r="D40">
        <v>6</v>
      </c>
      <c r="F40" s="8">
        <f t="shared" si="7"/>
        <v>2.5000000000000001E-2</v>
      </c>
    </row>
    <row r="41" spans="1:8" x14ac:dyDescent="0.2">
      <c r="A41" t="s">
        <v>289</v>
      </c>
      <c r="D41">
        <v>6</v>
      </c>
      <c r="F41" s="8">
        <f t="shared" si="7"/>
        <v>2.5000000000000001E-2</v>
      </c>
    </row>
    <row r="42" spans="1:8" x14ac:dyDescent="0.2">
      <c r="A42" t="s">
        <v>290</v>
      </c>
      <c r="D42">
        <v>3</v>
      </c>
      <c r="F42" s="8">
        <f t="shared" si="7"/>
        <v>1.2500000000000001E-2</v>
      </c>
    </row>
    <row r="43" spans="1:8" x14ac:dyDescent="0.2">
      <c r="A43" s="5" t="s">
        <v>8</v>
      </c>
      <c r="C43">
        <v>1</v>
      </c>
      <c r="D43">
        <v>9</v>
      </c>
      <c r="F43" s="8">
        <f t="shared" si="7"/>
        <v>8.7499999999999994E-2</v>
      </c>
    </row>
    <row r="44" spans="1:8" x14ac:dyDescent="0.2">
      <c r="A44" s="5" t="s">
        <v>225</v>
      </c>
      <c r="B44">
        <f>SUM(B39:B42)</f>
        <v>0</v>
      </c>
      <c r="C44">
        <f t="shared" ref="C44:D44" si="8">SUM(C39:C42)</f>
        <v>0</v>
      </c>
      <c r="D44">
        <f t="shared" si="8"/>
        <v>21</v>
      </c>
      <c r="F44" s="8">
        <f t="shared" si="7"/>
        <v>8.7499999999999994E-2</v>
      </c>
      <c r="G44" s="50">
        <f>F44-F43</f>
        <v>0</v>
      </c>
    </row>
    <row r="45" spans="1:8" x14ac:dyDescent="0.2">
      <c r="A45" s="1"/>
    </row>
    <row r="46" spans="1:8" x14ac:dyDescent="0.2">
      <c r="A46" s="5" t="s">
        <v>14</v>
      </c>
    </row>
    <row r="47" spans="1:8" x14ac:dyDescent="0.2">
      <c r="A47" t="s">
        <v>256</v>
      </c>
      <c r="C47">
        <v>6</v>
      </c>
      <c r="D47">
        <v>2.5</v>
      </c>
      <c r="F47" s="8">
        <f t="shared" ref="F47:F79" si="9">B47+C47/20+D47/240</f>
        <v>0.31041666666666667</v>
      </c>
    </row>
    <row r="48" spans="1:8" x14ac:dyDescent="0.2">
      <c r="A48" t="s">
        <v>255</v>
      </c>
      <c r="B48">
        <v>2</v>
      </c>
      <c r="C48">
        <v>5</v>
      </c>
      <c r="D48">
        <v>4</v>
      </c>
      <c r="F48" s="8">
        <f t="shared" si="9"/>
        <v>2.2666666666666666</v>
      </c>
    </row>
    <row r="49" spans="1:6" x14ac:dyDescent="0.2">
      <c r="A49" t="s">
        <v>257</v>
      </c>
      <c r="C49">
        <v>2</v>
      </c>
      <c r="D49">
        <v>8</v>
      </c>
      <c r="F49" s="8">
        <f t="shared" si="9"/>
        <v>0.13333333333333333</v>
      </c>
    </row>
    <row r="50" spans="1:6" x14ac:dyDescent="0.2">
      <c r="A50" t="s">
        <v>258</v>
      </c>
      <c r="D50">
        <v>11</v>
      </c>
      <c r="F50" s="8">
        <f t="shared" si="9"/>
        <v>4.583333333333333E-2</v>
      </c>
    </row>
    <row r="51" spans="1:6" x14ac:dyDescent="0.2">
      <c r="A51" t="s">
        <v>259</v>
      </c>
      <c r="C51">
        <v>8</v>
      </c>
      <c r="F51" s="8">
        <f t="shared" si="9"/>
        <v>0.4</v>
      </c>
    </row>
    <row r="52" spans="1:6" x14ac:dyDescent="0.2">
      <c r="A52" t="s">
        <v>260</v>
      </c>
      <c r="C52">
        <v>1</v>
      </c>
      <c r="D52">
        <v>6</v>
      </c>
      <c r="F52" s="8">
        <f t="shared" si="9"/>
        <v>7.5000000000000011E-2</v>
      </c>
    </row>
    <row r="53" spans="1:6" x14ac:dyDescent="0.2">
      <c r="A53" t="s">
        <v>261</v>
      </c>
      <c r="C53">
        <v>1</v>
      </c>
      <c r="D53">
        <v>4</v>
      </c>
      <c r="F53" s="8">
        <f t="shared" si="9"/>
        <v>6.6666666666666666E-2</v>
      </c>
    </row>
    <row r="54" spans="1:6" x14ac:dyDescent="0.2">
      <c r="A54" t="s">
        <v>262</v>
      </c>
      <c r="C54">
        <v>5</v>
      </c>
      <c r="F54" s="8">
        <f t="shared" si="9"/>
        <v>0.25</v>
      </c>
    </row>
    <row r="55" spans="1:6" x14ac:dyDescent="0.2">
      <c r="A55" t="s">
        <v>263</v>
      </c>
      <c r="B55">
        <v>2</v>
      </c>
      <c r="C55">
        <v>14</v>
      </c>
      <c r="D55">
        <v>10</v>
      </c>
      <c r="F55" s="8">
        <f t="shared" si="9"/>
        <v>2.7416666666666667</v>
      </c>
    </row>
    <row r="56" spans="1:6" x14ac:dyDescent="0.2">
      <c r="A56" t="s">
        <v>264</v>
      </c>
      <c r="B56">
        <v>2</v>
      </c>
      <c r="C56">
        <v>5</v>
      </c>
      <c r="D56">
        <v>10</v>
      </c>
      <c r="F56" s="8">
        <f t="shared" si="9"/>
        <v>2.2916666666666665</v>
      </c>
    </row>
    <row r="57" spans="1:6" x14ac:dyDescent="0.2">
      <c r="A57" t="s">
        <v>265</v>
      </c>
      <c r="B57">
        <v>3</v>
      </c>
      <c r="C57">
        <v>7</v>
      </c>
      <c r="D57">
        <v>4</v>
      </c>
      <c r="F57" s="8">
        <f t="shared" si="9"/>
        <v>3.3666666666666667</v>
      </c>
    </row>
    <row r="58" spans="1:6" x14ac:dyDescent="0.2">
      <c r="A58" t="s">
        <v>266</v>
      </c>
      <c r="D58">
        <v>11</v>
      </c>
      <c r="F58" s="8">
        <f t="shared" si="9"/>
        <v>4.583333333333333E-2</v>
      </c>
    </row>
    <row r="59" spans="1:6" x14ac:dyDescent="0.2">
      <c r="A59" t="s">
        <v>267</v>
      </c>
      <c r="C59">
        <v>4</v>
      </c>
      <c r="D59">
        <v>6.5</v>
      </c>
      <c r="F59" s="8">
        <f t="shared" si="9"/>
        <v>0.22708333333333336</v>
      </c>
    </row>
    <row r="60" spans="1:6" x14ac:dyDescent="0.2">
      <c r="A60" t="s">
        <v>268</v>
      </c>
      <c r="C60">
        <v>2</v>
      </c>
      <c r="D60">
        <v>8</v>
      </c>
      <c r="F60" s="8">
        <f t="shared" si="9"/>
        <v>0.13333333333333333</v>
      </c>
    </row>
    <row r="61" spans="1:6" x14ac:dyDescent="0.2">
      <c r="A61" t="s">
        <v>269</v>
      </c>
      <c r="D61">
        <v>6</v>
      </c>
      <c r="F61" s="8">
        <f t="shared" si="9"/>
        <v>2.5000000000000001E-2</v>
      </c>
    </row>
    <row r="62" spans="1:6" x14ac:dyDescent="0.2">
      <c r="A62" t="s">
        <v>270</v>
      </c>
      <c r="D62">
        <v>1.5</v>
      </c>
      <c r="F62" s="8">
        <f t="shared" si="9"/>
        <v>6.2500000000000003E-3</v>
      </c>
    </row>
    <row r="63" spans="1:6" x14ac:dyDescent="0.2">
      <c r="A63" t="s">
        <v>271</v>
      </c>
      <c r="D63">
        <v>1</v>
      </c>
      <c r="F63" s="8">
        <f t="shared" si="9"/>
        <v>4.1666666666666666E-3</v>
      </c>
    </row>
    <row r="64" spans="1:6" x14ac:dyDescent="0.2">
      <c r="A64" t="s">
        <v>272</v>
      </c>
      <c r="C64">
        <v>18</v>
      </c>
      <c r="D64">
        <v>10</v>
      </c>
      <c r="F64" s="8">
        <f t="shared" si="9"/>
        <v>0.94166666666666665</v>
      </c>
    </row>
    <row r="65" spans="1:8" x14ac:dyDescent="0.2">
      <c r="A65" t="s">
        <v>273</v>
      </c>
      <c r="C65">
        <v>4</v>
      </c>
      <c r="D65">
        <v>6</v>
      </c>
      <c r="F65" s="8">
        <f t="shared" si="9"/>
        <v>0.22500000000000001</v>
      </c>
    </row>
    <row r="66" spans="1:8" x14ac:dyDescent="0.2">
      <c r="A66" t="s">
        <v>274</v>
      </c>
      <c r="C66">
        <v>5</v>
      </c>
      <c r="D66">
        <v>2</v>
      </c>
      <c r="F66" s="8">
        <f t="shared" si="9"/>
        <v>0.25833333333333336</v>
      </c>
    </row>
    <row r="67" spans="1:8" x14ac:dyDescent="0.2">
      <c r="A67" t="s">
        <v>286</v>
      </c>
      <c r="D67">
        <v>10</v>
      </c>
      <c r="F67" s="8">
        <f t="shared" si="9"/>
        <v>4.1666666666666664E-2</v>
      </c>
    </row>
    <row r="68" spans="1:8" x14ac:dyDescent="0.2">
      <c r="A68" t="s">
        <v>275</v>
      </c>
      <c r="C68">
        <v>1</v>
      </c>
      <c r="D68">
        <v>6</v>
      </c>
      <c r="F68" s="8">
        <f t="shared" si="9"/>
        <v>7.5000000000000011E-2</v>
      </c>
    </row>
    <row r="69" spans="1:8" x14ac:dyDescent="0.2">
      <c r="A69" t="s">
        <v>276</v>
      </c>
      <c r="B69">
        <v>3</v>
      </c>
      <c r="C69">
        <v>6</v>
      </c>
      <c r="D69">
        <v>1</v>
      </c>
      <c r="F69" s="8">
        <f t="shared" si="9"/>
        <v>3.3041666666666667</v>
      </c>
    </row>
    <row r="70" spans="1:8" x14ac:dyDescent="0.2">
      <c r="A70" t="s">
        <v>277</v>
      </c>
      <c r="C70">
        <v>4</v>
      </c>
      <c r="D70">
        <v>8</v>
      </c>
      <c r="F70" s="8">
        <f t="shared" si="9"/>
        <v>0.23333333333333334</v>
      </c>
    </row>
    <row r="71" spans="1:8" x14ac:dyDescent="0.2">
      <c r="A71" t="s">
        <v>278</v>
      </c>
      <c r="C71">
        <v>7</v>
      </c>
      <c r="D71">
        <v>11</v>
      </c>
      <c r="F71" s="8">
        <f t="shared" si="9"/>
        <v>0.39583333333333331</v>
      </c>
    </row>
    <row r="72" spans="1:8" x14ac:dyDescent="0.2">
      <c r="A72" t="s">
        <v>279</v>
      </c>
      <c r="C72">
        <v>2</v>
      </c>
      <c r="F72" s="8">
        <f t="shared" si="9"/>
        <v>0.1</v>
      </c>
    </row>
    <row r="73" spans="1:8" x14ac:dyDescent="0.2">
      <c r="A73" t="s">
        <v>280</v>
      </c>
      <c r="C73">
        <v>1</v>
      </c>
      <c r="F73" s="8">
        <f t="shared" si="9"/>
        <v>0.05</v>
      </c>
    </row>
    <row r="74" spans="1:8" x14ac:dyDescent="0.2">
      <c r="A74" t="s">
        <v>281</v>
      </c>
      <c r="C74">
        <v>12</v>
      </c>
      <c r="F74" s="8">
        <f t="shared" si="9"/>
        <v>0.6</v>
      </c>
      <c r="H74" t="s">
        <v>282</v>
      </c>
    </row>
    <row r="75" spans="1:8" x14ac:dyDescent="0.2">
      <c r="A75" t="s">
        <v>283</v>
      </c>
      <c r="C75">
        <v>2</v>
      </c>
      <c r="F75" s="8">
        <f t="shared" si="9"/>
        <v>0.1</v>
      </c>
    </row>
    <row r="76" spans="1:8" x14ac:dyDescent="0.2">
      <c r="A76" t="s">
        <v>284</v>
      </c>
      <c r="C76">
        <v>4</v>
      </c>
      <c r="D76">
        <v>4.5</v>
      </c>
      <c r="F76" s="8">
        <f t="shared" si="9"/>
        <v>0.21875</v>
      </c>
    </row>
    <row r="77" spans="1:8" x14ac:dyDescent="0.2">
      <c r="A77" t="s">
        <v>285</v>
      </c>
      <c r="B77">
        <v>1</v>
      </c>
      <c r="D77">
        <v>3</v>
      </c>
      <c r="F77" s="8">
        <f t="shared" si="9"/>
        <v>1.0125</v>
      </c>
    </row>
    <row r="78" spans="1:8" x14ac:dyDescent="0.2">
      <c r="A78" s="5" t="s">
        <v>8</v>
      </c>
      <c r="B78">
        <v>19</v>
      </c>
      <c r="C78">
        <v>19</v>
      </c>
      <c r="F78" s="8">
        <f t="shared" si="9"/>
        <v>19.95</v>
      </c>
    </row>
    <row r="79" spans="1:8" x14ac:dyDescent="0.2">
      <c r="A79" s="5" t="s">
        <v>226</v>
      </c>
      <c r="B79">
        <f>SUM(B47:B77)</f>
        <v>13</v>
      </c>
      <c r="C79">
        <f t="shared" ref="C79:D79" si="10">SUM(C47:C77)</f>
        <v>126</v>
      </c>
      <c r="D79">
        <f t="shared" si="10"/>
        <v>155</v>
      </c>
      <c r="F79" s="8">
        <f t="shared" si="9"/>
        <v>19.945833333333333</v>
      </c>
      <c r="G79" s="50">
        <f>F79-F78</f>
        <v>-4.1666666666664298E-3</v>
      </c>
    </row>
    <row r="81" spans="1:7" x14ac:dyDescent="0.2">
      <c r="A81" s="5" t="s">
        <v>15</v>
      </c>
    </row>
    <row r="82" spans="1:7" x14ac:dyDescent="0.2">
      <c r="A82" t="s">
        <v>291</v>
      </c>
      <c r="B82">
        <v>11</v>
      </c>
      <c r="C82">
        <v>18</v>
      </c>
      <c r="D82">
        <v>2</v>
      </c>
      <c r="F82" s="8">
        <f t="shared" ref="F82:F90" si="11">B82+C82/20+D82/240</f>
        <v>11.908333333333333</v>
      </c>
    </row>
    <row r="83" spans="1:7" x14ac:dyDescent="0.2">
      <c r="A83" t="s">
        <v>292</v>
      </c>
      <c r="B83">
        <v>2</v>
      </c>
      <c r="C83">
        <v>5</v>
      </c>
      <c r="D83">
        <v>6.5</v>
      </c>
      <c r="F83" s="8">
        <f t="shared" si="11"/>
        <v>2.2770833333333331</v>
      </c>
    </row>
    <row r="84" spans="1:7" x14ac:dyDescent="0.2">
      <c r="A84" t="s">
        <v>293</v>
      </c>
      <c r="B84">
        <v>4</v>
      </c>
      <c r="C84">
        <v>7</v>
      </c>
      <c r="D84">
        <v>11</v>
      </c>
      <c r="F84" s="8">
        <f t="shared" si="11"/>
        <v>4.395833333333333</v>
      </c>
    </row>
    <row r="85" spans="1:7" x14ac:dyDescent="0.2">
      <c r="A85" t="s">
        <v>297</v>
      </c>
      <c r="B85">
        <v>4</v>
      </c>
      <c r="C85">
        <v>7</v>
      </c>
      <c r="D85">
        <v>8</v>
      </c>
      <c r="F85" s="8">
        <f t="shared" si="11"/>
        <v>4.3833333333333329</v>
      </c>
    </row>
    <row r="86" spans="1:7" x14ac:dyDescent="0.2">
      <c r="A86" t="s">
        <v>294</v>
      </c>
      <c r="C86">
        <v>9</v>
      </c>
      <c r="D86">
        <v>4.5</v>
      </c>
      <c r="F86" s="8">
        <f t="shared" si="11"/>
        <v>0.46875</v>
      </c>
    </row>
    <row r="87" spans="1:7" x14ac:dyDescent="0.2">
      <c r="A87" t="s">
        <v>295</v>
      </c>
      <c r="C87">
        <v>9</v>
      </c>
      <c r="F87" s="8">
        <f t="shared" si="11"/>
        <v>0.45</v>
      </c>
    </row>
    <row r="88" spans="1:7" x14ac:dyDescent="0.2">
      <c r="A88" t="s">
        <v>296</v>
      </c>
      <c r="C88">
        <v>2</v>
      </c>
      <c r="F88" s="8">
        <f t="shared" si="11"/>
        <v>0.1</v>
      </c>
    </row>
    <row r="89" spans="1:7" x14ac:dyDescent="0.2">
      <c r="A89" s="5" t="s">
        <v>8</v>
      </c>
      <c r="B89">
        <v>23</v>
      </c>
      <c r="C89">
        <v>19</v>
      </c>
      <c r="D89">
        <v>8</v>
      </c>
      <c r="F89" s="8">
        <f t="shared" si="11"/>
        <v>23.983333333333334</v>
      </c>
    </row>
    <row r="90" spans="1:7" x14ac:dyDescent="0.2">
      <c r="A90" s="5" t="s">
        <v>216</v>
      </c>
      <c r="B90">
        <f>SUM(B82:B88)</f>
        <v>21</v>
      </c>
      <c r="C90">
        <f t="shared" ref="C90:D90" si="12">SUM(C82:C88)</f>
        <v>57</v>
      </c>
      <c r="D90">
        <f t="shared" si="12"/>
        <v>32</v>
      </c>
      <c r="F90" s="8">
        <f t="shared" si="11"/>
        <v>23.983333333333334</v>
      </c>
      <c r="G90" s="50">
        <f>F90-F89</f>
        <v>0</v>
      </c>
    </row>
    <row r="92" spans="1:7" x14ac:dyDescent="0.2">
      <c r="A92" s="5" t="s">
        <v>16</v>
      </c>
    </row>
    <row r="93" spans="1:7" x14ac:dyDescent="0.2">
      <c r="A93" t="s">
        <v>298</v>
      </c>
      <c r="C93">
        <v>6</v>
      </c>
      <c r="D93">
        <v>8</v>
      </c>
      <c r="F93" s="8">
        <f t="shared" ref="F93:F98" si="13">B93+C93/20+D93/240</f>
        <v>0.33333333333333331</v>
      </c>
    </row>
    <row r="94" spans="1:7" x14ac:dyDescent="0.2">
      <c r="A94" t="s">
        <v>299</v>
      </c>
      <c r="C94">
        <v>6</v>
      </c>
      <c r="D94">
        <v>8</v>
      </c>
      <c r="F94" s="8">
        <f t="shared" si="13"/>
        <v>0.33333333333333331</v>
      </c>
    </row>
    <row r="95" spans="1:7" x14ac:dyDescent="0.2">
      <c r="A95" t="s">
        <v>300</v>
      </c>
      <c r="C95">
        <v>2</v>
      </c>
      <c r="F95" s="8">
        <f t="shared" si="13"/>
        <v>0.1</v>
      </c>
    </row>
    <row r="96" spans="1:7" x14ac:dyDescent="0.2">
      <c r="A96" t="s">
        <v>301</v>
      </c>
      <c r="C96">
        <v>2</v>
      </c>
      <c r="F96" s="8">
        <f t="shared" si="13"/>
        <v>0.1</v>
      </c>
    </row>
    <row r="97" spans="1:7" x14ac:dyDescent="0.2">
      <c r="A97" s="5" t="s">
        <v>8</v>
      </c>
      <c r="C97">
        <v>17</v>
      </c>
      <c r="D97">
        <v>4</v>
      </c>
      <c r="F97" s="8">
        <f t="shared" si="13"/>
        <v>0.8666666666666667</v>
      </c>
    </row>
    <row r="98" spans="1:7" x14ac:dyDescent="0.2">
      <c r="A98" s="5" t="s">
        <v>217</v>
      </c>
      <c r="B98">
        <f>SUM(B93:B96)</f>
        <v>0</v>
      </c>
      <c r="C98">
        <f>SUM(C93:C96)</f>
        <v>16</v>
      </c>
      <c r="D98">
        <f>SUM(D93:D96)</f>
        <v>16</v>
      </c>
      <c r="F98" s="8">
        <f t="shared" si="13"/>
        <v>0.8666666666666667</v>
      </c>
      <c r="G98" s="50">
        <f>F98-F97</f>
        <v>0</v>
      </c>
    </row>
    <row r="100" spans="1:7" x14ac:dyDescent="0.2">
      <c r="A100" s="5" t="s">
        <v>17</v>
      </c>
    </row>
    <row r="101" spans="1:7" x14ac:dyDescent="0.2">
      <c r="A101" t="s">
        <v>302</v>
      </c>
      <c r="C101">
        <v>2</v>
      </c>
      <c r="F101" s="8">
        <f t="shared" ref="F101:F104" si="14">B101+C101/20+D101/240</f>
        <v>0.1</v>
      </c>
    </row>
    <row r="102" spans="1:7" x14ac:dyDescent="0.2">
      <c r="A102" t="s">
        <v>303</v>
      </c>
      <c r="C102">
        <v>2</v>
      </c>
      <c r="F102" s="8">
        <f t="shared" si="14"/>
        <v>0.1</v>
      </c>
    </row>
    <row r="103" spans="1:7" x14ac:dyDescent="0.2">
      <c r="A103" t="s">
        <v>304</v>
      </c>
      <c r="C103">
        <v>15</v>
      </c>
      <c r="D103">
        <v>11</v>
      </c>
      <c r="F103" s="8">
        <f t="shared" si="14"/>
        <v>0.79583333333333328</v>
      </c>
    </row>
    <row r="104" spans="1:7" x14ac:dyDescent="0.2">
      <c r="A104" s="5" t="s">
        <v>8</v>
      </c>
      <c r="C104">
        <v>19</v>
      </c>
      <c r="D104">
        <v>11</v>
      </c>
      <c r="F104" s="8">
        <f t="shared" si="14"/>
        <v>0.99583333333333324</v>
      </c>
    </row>
    <row r="105" spans="1:7" x14ac:dyDescent="0.2">
      <c r="A105" s="5" t="s">
        <v>228</v>
      </c>
      <c r="B105">
        <f>SUM(B101:B103)</f>
        <v>0</v>
      </c>
      <c r="C105">
        <f t="shared" ref="C105:D105" si="15">SUM(C101:C103)</f>
        <v>19</v>
      </c>
      <c r="D105">
        <f t="shared" si="15"/>
        <v>11</v>
      </c>
      <c r="F105" s="8">
        <f t="shared" ref="F105:F110" si="16">B105+C105/20+D105/240</f>
        <v>0.99583333333333324</v>
      </c>
    </row>
    <row r="107" spans="1:7" x14ac:dyDescent="0.2">
      <c r="A107" s="9" t="s">
        <v>18</v>
      </c>
      <c r="B107">
        <f>SUM(B105,B98,B90,B79,B44,B34,B23,B14)</f>
        <v>48</v>
      </c>
      <c r="C107">
        <f>SUM(C105,C98,C90,C79,C44,C34,C23,C14)</f>
        <v>289</v>
      </c>
      <c r="D107">
        <f>SUM(D105,D98,D90,D79,D44,D34,D23,D14)</f>
        <v>314</v>
      </c>
      <c r="F107" s="8">
        <f t="shared" si="16"/>
        <v>63.758333333333333</v>
      </c>
    </row>
    <row r="108" spans="1:7" x14ac:dyDescent="0.2">
      <c r="A108" s="9" t="s">
        <v>19</v>
      </c>
      <c r="B108">
        <f>SUM(B105,B98,B90,B79,B44,B34,B23,B14,B5)</f>
        <v>55</v>
      </c>
      <c r="C108">
        <f>SUM(C105,C98,C90,C79,C44,C34,C23,C14,C5)</f>
        <v>297</v>
      </c>
      <c r="D108">
        <f>SUM(D105,D98,D90,D79,D44,D34,D23,D14,D5)</f>
        <v>322</v>
      </c>
      <c r="F108" s="8">
        <f t="shared" si="16"/>
        <v>71.191666666666663</v>
      </c>
    </row>
    <row r="109" spans="1:7" x14ac:dyDescent="0.2">
      <c r="A109" s="9" t="s">
        <v>206</v>
      </c>
      <c r="F109" s="8">
        <f>B109+C109/20+D109/240</f>
        <v>0</v>
      </c>
      <c r="G109" s="50">
        <f>F109-F107</f>
        <v>-63.758333333333333</v>
      </c>
    </row>
    <row r="110" spans="1:7" x14ac:dyDescent="0.2">
      <c r="A110" s="9" t="s">
        <v>205</v>
      </c>
      <c r="B110">
        <v>56</v>
      </c>
      <c r="C110">
        <v>3</v>
      </c>
      <c r="D110">
        <v>3</v>
      </c>
      <c r="F110" s="8">
        <f t="shared" si="16"/>
        <v>56.162500000000001</v>
      </c>
      <c r="G110" s="50">
        <f>F110-F108</f>
        <v>-15.029166666666661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108"/>
  <sheetViews>
    <sheetView zoomScale="117" workbookViewId="0">
      <selection activeCell="A48" sqref="A48"/>
    </sheetView>
  </sheetViews>
  <sheetFormatPr baseColWidth="10" defaultRowHeight="16" x14ac:dyDescent="0.2"/>
  <cols>
    <col min="1" max="1" width="39" customWidth="1"/>
    <col min="7" max="7" width="10.83203125" style="2"/>
  </cols>
  <sheetData>
    <row r="1" spans="1:8" x14ac:dyDescent="0.2">
      <c r="A1" s="10" t="s">
        <v>237</v>
      </c>
      <c r="B1" s="10"/>
      <c r="C1" s="10"/>
      <c r="D1" s="10"/>
      <c r="E1" s="10"/>
      <c r="F1" s="11"/>
      <c r="H1" s="2"/>
    </row>
    <row r="2" spans="1:8" x14ac:dyDescent="0.2">
      <c r="A2" s="10"/>
      <c r="B2" s="13" t="s">
        <v>0</v>
      </c>
      <c r="C2" s="15" t="s">
        <v>1</v>
      </c>
      <c r="D2" s="15" t="s">
        <v>2</v>
      </c>
      <c r="E2" s="9"/>
      <c r="F2" s="16" t="s">
        <v>3</v>
      </c>
      <c r="G2" s="7" t="s">
        <v>5</v>
      </c>
      <c r="H2" s="5" t="s">
        <v>4</v>
      </c>
    </row>
    <row r="3" spans="1:8" x14ac:dyDescent="0.2">
      <c r="A3" s="5" t="s">
        <v>21</v>
      </c>
    </row>
    <row r="4" spans="1:8" x14ac:dyDescent="0.2">
      <c r="A4" t="s">
        <v>305</v>
      </c>
      <c r="C4">
        <v>9</v>
      </c>
      <c r="F4" s="1">
        <f t="shared" ref="F4:F15" si="0">B4+C4/20+D4/240</f>
        <v>0.45</v>
      </c>
    </row>
    <row r="5" spans="1:8" x14ac:dyDescent="0.2">
      <c r="A5" t="s">
        <v>306</v>
      </c>
      <c r="C5">
        <v>1</v>
      </c>
      <c r="D5">
        <v>8</v>
      </c>
      <c r="F5" s="1">
        <f t="shared" si="0"/>
        <v>8.3333333333333343E-2</v>
      </c>
    </row>
    <row r="6" spans="1:8" x14ac:dyDescent="0.2">
      <c r="A6" t="s">
        <v>307</v>
      </c>
      <c r="D6">
        <v>2</v>
      </c>
      <c r="F6" s="1">
        <f t="shared" si="0"/>
        <v>8.3333333333333332E-3</v>
      </c>
    </row>
    <row r="7" spans="1:8" x14ac:dyDescent="0.2">
      <c r="A7" t="s">
        <v>308</v>
      </c>
      <c r="D7">
        <v>7.5</v>
      </c>
      <c r="F7" s="1">
        <f t="shared" si="0"/>
        <v>3.125E-2</v>
      </c>
    </row>
    <row r="8" spans="1:8" x14ac:dyDescent="0.2">
      <c r="A8" t="s">
        <v>309</v>
      </c>
      <c r="C8">
        <v>1</v>
      </c>
      <c r="D8">
        <v>4</v>
      </c>
      <c r="F8" s="1">
        <f t="shared" si="0"/>
        <v>6.6666666666666666E-2</v>
      </c>
    </row>
    <row r="9" spans="1:8" x14ac:dyDescent="0.2">
      <c r="A9" t="s">
        <v>310</v>
      </c>
      <c r="C9">
        <v>1</v>
      </c>
      <c r="D9">
        <v>3</v>
      </c>
      <c r="F9" s="1">
        <f t="shared" si="0"/>
        <v>6.25E-2</v>
      </c>
    </row>
    <row r="10" spans="1:8" x14ac:dyDescent="0.2">
      <c r="A10" t="s">
        <v>311</v>
      </c>
      <c r="D10">
        <v>2.5</v>
      </c>
      <c r="F10" s="1">
        <f t="shared" si="0"/>
        <v>1.0416666666666666E-2</v>
      </c>
    </row>
    <row r="11" spans="1:8" x14ac:dyDescent="0.2">
      <c r="A11" t="s">
        <v>312</v>
      </c>
      <c r="C11">
        <v>3</v>
      </c>
      <c r="D11">
        <v>11</v>
      </c>
      <c r="F11" s="1">
        <f t="shared" si="0"/>
        <v>0.19583333333333333</v>
      </c>
    </row>
    <row r="12" spans="1:8" x14ac:dyDescent="0.2">
      <c r="A12" t="s">
        <v>313</v>
      </c>
      <c r="D12">
        <v>9</v>
      </c>
      <c r="F12" s="1">
        <f t="shared" si="0"/>
        <v>3.7499999999999999E-2</v>
      </c>
    </row>
    <row r="13" spans="1:8" x14ac:dyDescent="0.2">
      <c r="A13" t="s">
        <v>314</v>
      </c>
      <c r="D13">
        <v>1.75</v>
      </c>
      <c r="F13" s="1">
        <f t="shared" si="0"/>
        <v>7.2916666666666668E-3</v>
      </c>
    </row>
    <row r="14" spans="1:8" x14ac:dyDescent="0.2">
      <c r="A14" t="s">
        <v>315</v>
      </c>
      <c r="C14">
        <v>6</v>
      </c>
      <c r="F14" s="1">
        <f t="shared" si="0"/>
        <v>0.3</v>
      </c>
    </row>
    <row r="15" spans="1:8" x14ac:dyDescent="0.2">
      <c r="A15" t="s">
        <v>316</v>
      </c>
      <c r="B15">
        <v>2</v>
      </c>
      <c r="C15">
        <v>6</v>
      </c>
      <c r="F15" s="1">
        <f t="shared" si="0"/>
        <v>2.2999999999999998</v>
      </c>
    </row>
    <row r="16" spans="1:8" x14ac:dyDescent="0.2">
      <c r="A16" s="5" t="s">
        <v>8</v>
      </c>
      <c r="B16">
        <v>3</v>
      </c>
      <c r="C16">
        <v>11</v>
      </c>
      <c r="D16">
        <v>0.25</v>
      </c>
      <c r="F16" s="8">
        <f t="shared" ref="F16:F18" si="1">B16+C16/20+D16/240</f>
        <v>3.5510416666666664</v>
      </c>
    </row>
    <row r="17" spans="1:7" x14ac:dyDescent="0.2">
      <c r="A17" s="5" t="s">
        <v>218</v>
      </c>
      <c r="B17">
        <f>SUM(B4:B15)</f>
        <v>2</v>
      </c>
      <c r="C17">
        <f t="shared" ref="C17:D17" si="2">SUM(C4:C15)</f>
        <v>27</v>
      </c>
      <c r="D17">
        <f t="shared" si="2"/>
        <v>48.75</v>
      </c>
      <c r="F17" s="8">
        <f t="shared" si="1"/>
        <v>3.5531250000000001</v>
      </c>
      <c r="G17" s="50">
        <f>F17-F16</f>
        <v>2.083333333333659E-3</v>
      </c>
    </row>
    <row r="18" spans="1:7" x14ac:dyDescent="0.2">
      <c r="A18" s="5" t="s">
        <v>175</v>
      </c>
      <c r="B18">
        <f>SUM(B15,B13,B4:B11)</f>
        <v>2</v>
      </c>
      <c r="C18">
        <f t="shared" ref="C18:D18" si="3">SUM(C15,C13,C4:C11)</f>
        <v>21</v>
      </c>
      <c r="D18">
        <f t="shared" si="3"/>
        <v>39.75</v>
      </c>
      <c r="F18" s="8">
        <f t="shared" si="1"/>
        <v>3.2156249999999997</v>
      </c>
      <c r="G18" s="50"/>
    </row>
    <row r="20" spans="1:7" x14ac:dyDescent="0.2">
      <c r="A20" s="5" t="s">
        <v>22</v>
      </c>
    </row>
    <row r="21" spans="1:7" x14ac:dyDescent="0.2">
      <c r="A21" t="s">
        <v>317</v>
      </c>
      <c r="C21">
        <v>4</v>
      </c>
      <c r="D21">
        <v>6</v>
      </c>
      <c r="F21" s="8">
        <f t="shared" ref="F21:F24" si="4">B21+C21/20+D21/240</f>
        <v>0.22500000000000001</v>
      </c>
    </row>
    <row r="22" spans="1:7" x14ac:dyDescent="0.2">
      <c r="A22" t="s">
        <v>318</v>
      </c>
      <c r="C22">
        <v>12</v>
      </c>
      <c r="D22">
        <v>4</v>
      </c>
      <c r="F22" s="8">
        <f t="shared" si="4"/>
        <v>0.6166666666666667</v>
      </c>
    </row>
    <row r="23" spans="1:7" x14ac:dyDescent="0.2">
      <c r="A23" s="5" t="s">
        <v>8</v>
      </c>
      <c r="C23">
        <v>16</v>
      </c>
      <c r="D23">
        <v>10</v>
      </c>
      <c r="F23" s="8">
        <f t="shared" si="4"/>
        <v>0.84166666666666667</v>
      </c>
    </row>
    <row r="24" spans="1:7" x14ac:dyDescent="0.2">
      <c r="A24" s="5" t="s">
        <v>219</v>
      </c>
      <c r="B24">
        <f>SUM(B21:B22)</f>
        <v>0</v>
      </c>
      <c r="C24">
        <f t="shared" ref="C24:D24" si="5">SUM(C21:C22)</f>
        <v>16</v>
      </c>
      <c r="D24">
        <f t="shared" si="5"/>
        <v>10</v>
      </c>
      <c r="F24" s="8">
        <f t="shared" si="4"/>
        <v>0.84166666666666667</v>
      </c>
      <c r="G24" s="50">
        <f>F24-F23</f>
        <v>0</v>
      </c>
    </row>
    <row r="26" spans="1:7" x14ac:dyDescent="0.2">
      <c r="A26" s="5" t="s">
        <v>23</v>
      </c>
    </row>
    <row r="27" spans="1:7" x14ac:dyDescent="0.2">
      <c r="A27" t="s">
        <v>319</v>
      </c>
      <c r="C27">
        <v>3</v>
      </c>
      <c r="D27">
        <v>4</v>
      </c>
      <c r="F27" s="1">
        <f t="shared" ref="F27:F40" si="6">B27+C27/20+D27/240</f>
        <v>0.16666666666666666</v>
      </c>
    </row>
    <row r="28" spans="1:7" x14ac:dyDescent="0.2">
      <c r="A28" t="s">
        <v>320</v>
      </c>
      <c r="C28">
        <v>3</v>
      </c>
      <c r="F28" s="1">
        <f t="shared" si="6"/>
        <v>0.15</v>
      </c>
    </row>
    <row r="29" spans="1:7" x14ac:dyDescent="0.2">
      <c r="A29" t="s">
        <v>321</v>
      </c>
      <c r="D29">
        <v>8</v>
      </c>
      <c r="F29" s="1">
        <f t="shared" si="6"/>
        <v>3.3333333333333333E-2</v>
      </c>
    </row>
    <row r="30" spans="1:7" x14ac:dyDescent="0.2">
      <c r="A30" t="s">
        <v>322</v>
      </c>
      <c r="C30">
        <v>1</v>
      </c>
      <c r="F30" s="1">
        <f t="shared" si="6"/>
        <v>0.05</v>
      </c>
    </row>
    <row r="31" spans="1:7" x14ac:dyDescent="0.2">
      <c r="A31" t="s">
        <v>323</v>
      </c>
      <c r="D31">
        <v>5.5</v>
      </c>
      <c r="F31" s="1">
        <f t="shared" si="6"/>
        <v>2.2916666666666665E-2</v>
      </c>
    </row>
    <row r="32" spans="1:7" x14ac:dyDescent="0.2">
      <c r="A32" t="s">
        <v>324</v>
      </c>
      <c r="D32">
        <v>2</v>
      </c>
      <c r="F32" s="1">
        <f t="shared" si="6"/>
        <v>8.3333333333333332E-3</v>
      </c>
    </row>
    <row r="33" spans="1:7" x14ac:dyDescent="0.2">
      <c r="A33" t="s">
        <v>325</v>
      </c>
      <c r="C33">
        <v>2</v>
      </c>
      <c r="D33">
        <v>6</v>
      </c>
      <c r="F33" s="1">
        <f t="shared" si="6"/>
        <v>0.125</v>
      </c>
    </row>
    <row r="34" spans="1:7" x14ac:dyDescent="0.2">
      <c r="A34" t="s">
        <v>326</v>
      </c>
      <c r="D34">
        <v>4</v>
      </c>
      <c r="F34" s="1">
        <f t="shared" si="6"/>
        <v>1.6666666666666666E-2</v>
      </c>
    </row>
    <row r="35" spans="1:7" x14ac:dyDescent="0.2">
      <c r="A35" t="s">
        <v>327</v>
      </c>
      <c r="D35">
        <v>2</v>
      </c>
      <c r="F35" s="1">
        <f t="shared" si="6"/>
        <v>8.3333333333333332E-3</v>
      </c>
    </row>
    <row r="36" spans="1:7" x14ac:dyDescent="0.2">
      <c r="A36" t="s">
        <v>328</v>
      </c>
      <c r="D36">
        <v>7</v>
      </c>
      <c r="F36" s="1">
        <f t="shared" si="6"/>
        <v>2.9166666666666667E-2</v>
      </c>
    </row>
    <row r="37" spans="1:7" x14ac:dyDescent="0.2">
      <c r="A37" t="s">
        <v>329</v>
      </c>
      <c r="C37">
        <v>3</v>
      </c>
      <c r="F37" s="1">
        <f t="shared" si="6"/>
        <v>0.15</v>
      </c>
    </row>
    <row r="38" spans="1:7" x14ac:dyDescent="0.2">
      <c r="A38" t="s">
        <v>330</v>
      </c>
      <c r="D38">
        <v>2</v>
      </c>
      <c r="F38" s="1">
        <f t="shared" si="6"/>
        <v>8.3333333333333332E-3</v>
      </c>
    </row>
    <row r="39" spans="1:7" x14ac:dyDescent="0.2">
      <c r="A39" t="s">
        <v>331</v>
      </c>
      <c r="C39">
        <v>1</v>
      </c>
      <c r="F39" s="1">
        <f t="shared" si="6"/>
        <v>0.05</v>
      </c>
    </row>
    <row r="40" spans="1:7" x14ac:dyDescent="0.2">
      <c r="A40" s="5" t="s">
        <v>8</v>
      </c>
      <c r="C40">
        <v>16</v>
      </c>
      <c r="D40">
        <v>4.5</v>
      </c>
      <c r="F40" s="8">
        <f t="shared" si="6"/>
        <v>0.81875000000000009</v>
      </c>
    </row>
    <row r="41" spans="1:7" x14ac:dyDescent="0.2">
      <c r="A41" s="5" t="s">
        <v>220</v>
      </c>
      <c r="B41">
        <f>SUM(B27:B39)</f>
        <v>0</v>
      </c>
      <c r="C41">
        <f t="shared" ref="C41:D41" si="7">SUM(C27:C39)</f>
        <v>13</v>
      </c>
      <c r="D41">
        <f t="shared" si="7"/>
        <v>40.5</v>
      </c>
      <c r="F41" s="8">
        <f t="shared" ref="F41:F42" si="8">B41+C41/20+D41/240</f>
        <v>0.81875000000000009</v>
      </c>
      <c r="G41" s="50">
        <f>F41-F40</f>
        <v>0</v>
      </c>
    </row>
    <row r="42" spans="1:7" x14ac:dyDescent="0.2">
      <c r="A42" s="5" t="s">
        <v>175</v>
      </c>
      <c r="B42">
        <f>SUM(B38:B39,B27:B36)</f>
        <v>0</v>
      </c>
      <c r="C42">
        <f t="shared" ref="C42:D42" si="9">SUM(C38:C39,C27:C36)</f>
        <v>10</v>
      </c>
      <c r="D42">
        <f t="shared" si="9"/>
        <v>40.5</v>
      </c>
      <c r="F42" s="8">
        <f t="shared" si="8"/>
        <v>0.66874999999999996</v>
      </c>
      <c r="G42" s="50"/>
    </row>
    <row r="44" spans="1:7" x14ac:dyDescent="0.2">
      <c r="A44" s="5" t="s">
        <v>24</v>
      </c>
    </row>
    <row r="45" spans="1:7" x14ac:dyDescent="0.2">
      <c r="A45" t="s">
        <v>372</v>
      </c>
      <c r="D45">
        <v>6</v>
      </c>
      <c r="F45" s="1">
        <f t="shared" ref="F45:F63" si="10">B45+C45/20+D45/240</f>
        <v>2.5000000000000001E-2</v>
      </c>
    </row>
    <row r="46" spans="1:7" x14ac:dyDescent="0.2">
      <c r="A46" t="s">
        <v>332</v>
      </c>
      <c r="C46">
        <v>1</v>
      </c>
      <c r="D46">
        <v>11</v>
      </c>
      <c r="F46" s="1">
        <f t="shared" si="10"/>
        <v>9.5833333333333326E-2</v>
      </c>
    </row>
    <row r="47" spans="1:7" x14ac:dyDescent="0.2">
      <c r="A47" t="s">
        <v>333</v>
      </c>
      <c r="D47">
        <v>4.5</v>
      </c>
      <c r="F47" s="1">
        <f t="shared" si="10"/>
        <v>1.8749999999999999E-2</v>
      </c>
    </row>
    <row r="48" spans="1:7" x14ac:dyDescent="0.2">
      <c r="A48" t="s">
        <v>334</v>
      </c>
      <c r="D48">
        <v>2.5</v>
      </c>
      <c r="F48" s="1">
        <f t="shared" si="10"/>
        <v>1.0416666666666666E-2</v>
      </c>
    </row>
    <row r="49" spans="1:7" x14ac:dyDescent="0.2">
      <c r="A49" t="s">
        <v>335</v>
      </c>
      <c r="D49">
        <v>1.5</v>
      </c>
      <c r="F49" s="1">
        <f t="shared" si="10"/>
        <v>6.2500000000000003E-3</v>
      </c>
    </row>
    <row r="50" spans="1:7" x14ac:dyDescent="0.2">
      <c r="A50" t="s">
        <v>336</v>
      </c>
      <c r="D50">
        <v>7.5</v>
      </c>
      <c r="F50" s="1">
        <f t="shared" si="10"/>
        <v>3.125E-2</v>
      </c>
    </row>
    <row r="51" spans="1:7" x14ac:dyDescent="0.2">
      <c r="A51" t="s">
        <v>337</v>
      </c>
      <c r="C51">
        <v>5</v>
      </c>
      <c r="D51">
        <v>2</v>
      </c>
      <c r="F51" s="1">
        <f t="shared" si="10"/>
        <v>0.25833333333333336</v>
      </c>
    </row>
    <row r="52" spans="1:7" x14ac:dyDescent="0.2">
      <c r="A52" t="s">
        <v>338</v>
      </c>
      <c r="D52">
        <v>4</v>
      </c>
      <c r="F52" s="1">
        <f t="shared" si="10"/>
        <v>1.6666666666666666E-2</v>
      </c>
    </row>
    <row r="53" spans="1:7" x14ac:dyDescent="0.2">
      <c r="A53" t="s">
        <v>339</v>
      </c>
      <c r="D53">
        <v>8</v>
      </c>
      <c r="F53" s="1">
        <f t="shared" si="10"/>
        <v>3.3333333333333333E-2</v>
      </c>
    </row>
    <row r="54" spans="1:7" x14ac:dyDescent="0.2">
      <c r="A54" t="s">
        <v>340</v>
      </c>
      <c r="B54">
        <v>2</v>
      </c>
      <c r="D54">
        <v>9</v>
      </c>
      <c r="F54" s="1">
        <f t="shared" si="10"/>
        <v>2.0375000000000001</v>
      </c>
    </row>
    <row r="55" spans="1:7" x14ac:dyDescent="0.2">
      <c r="A55" t="s">
        <v>341</v>
      </c>
      <c r="C55">
        <v>2</v>
      </c>
      <c r="D55">
        <v>6</v>
      </c>
      <c r="F55" s="1">
        <f t="shared" si="10"/>
        <v>0.125</v>
      </c>
    </row>
    <row r="56" spans="1:7" x14ac:dyDescent="0.2">
      <c r="A56" t="s">
        <v>342</v>
      </c>
      <c r="C56">
        <v>1</v>
      </c>
      <c r="D56">
        <v>0.5</v>
      </c>
      <c r="F56" s="1">
        <f t="shared" si="10"/>
        <v>5.2083333333333336E-2</v>
      </c>
    </row>
    <row r="57" spans="1:7" x14ac:dyDescent="0.2">
      <c r="A57" t="s">
        <v>343</v>
      </c>
      <c r="C57">
        <v>5</v>
      </c>
      <c r="F57" s="1">
        <f t="shared" si="10"/>
        <v>0.25</v>
      </c>
    </row>
    <row r="58" spans="1:7" x14ac:dyDescent="0.2">
      <c r="A58" t="s">
        <v>344</v>
      </c>
      <c r="C58">
        <v>17</v>
      </c>
      <c r="D58">
        <v>11</v>
      </c>
      <c r="F58" s="1">
        <f t="shared" si="10"/>
        <v>0.89583333333333326</v>
      </c>
    </row>
    <row r="59" spans="1:7" x14ac:dyDescent="0.2">
      <c r="A59" t="s">
        <v>345</v>
      </c>
      <c r="C59">
        <v>2</v>
      </c>
      <c r="F59" s="1">
        <f t="shared" si="10"/>
        <v>0.1</v>
      </c>
    </row>
    <row r="60" spans="1:7" x14ac:dyDescent="0.2">
      <c r="A60" t="s">
        <v>346</v>
      </c>
      <c r="D60">
        <v>4</v>
      </c>
      <c r="F60" s="1">
        <f t="shared" si="10"/>
        <v>1.6666666666666666E-2</v>
      </c>
    </row>
    <row r="61" spans="1:7" x14ac:dyDescent="0.2">
      <c r="A61" s="5" t="s">
        <v>8</v>
      </c>
      <c r="B61">
        <v>3</v>
      </c>
      <c r="C61">
        <v>19</v>
      </c>
      <c r="D61">
        <v>5.5</v>
      </c>
      <c r="F61" s="8">
        <f t="shared" si="10"/>
        <v>3.9729166666666669</v>
      </c>
    </row>
    <row r="62" spans="1:7" x14ac:dyDescent="0.2">
      <c r="A62" s="5" t="s">
        <v>221</v>
      </c>
      <c r="B62">
        <f>SUM(B45:B60)</f>
        <v>2</v>
      </c>
      <c r="C62">
        <f t="shared" ref="C62:D62" si="11">SUM(C45:C60)</f>
        <v>33</v>
      </c>
      <c r="D62">
        <f t="shared" si="11"/>
        <v>77.5</v>
      </c>
      <c r="F62" s="8">
        <f t="shared" si="10"/>
        <v>3.9729166666666664</v>
      </c>
      <c r="G62" s="50">
        <f>F62-F61</f>
        <v>0</v>
      </c>
    </row>
    <row r="63" spans="1:7" x14ac:dyDescent="0.2">
      <c r="A63" s="5" t="s">
        <v>175</v>
      </c>
      <c r="B63">
        <f>SUM(B60,B54:B58,B45:B52)</f>
        <v>2</v>
      </c>
      <c r="C63">
        <f t="shared" ref="C63:D63" si="12">SUM(C60,C54:C58,C45:C52)</f>
        <v>31</v>
      </c>
      <c r="D63">
        <f t="shared" si="12"/>
        <v>69.5</v>
      </c>
      <c r="F63" s="8">
        <f t="shared" si="10"/>
        <v>3.8395833333333331</v>
      </c>
      <c r="G63" s="50"/>
    </row>
    <row r="65" spans="1:7" x14ac:dyDescent="0.2">
      <c r="A65" s="5" t="s">
        <v>25</v>
      </c>
    </row>
    <row r="66" spans="1:7" x14ac:dyDescent="0.2">
      <c r="A66" t="s">
        <v>347</v>
      </c>
      <c r="C66">
        <v>2</v>
      </c>
      <c r="D66">
        <v>9</v>
      </c>
      <c r="F66" s="1">
        <f t="shared" ref="F66:F74" si="13">B66+C66/20+D66/240</f>
        <v>0.13750000000000001</v>
      </c>
    </row>
    <row r="67" spans="1:7" x14ac:dyDescent="0.2">
      <c r="A67" t="s">
        <v>348</v>
      </c>
      <c r="D67">
        <v>10</v>
      </c>
      <c r="F67" s="1">
        <f t="shared" si="13"/>
        <v>4.1666666666666664E-2</v>
      </c>
    </row>
    <row r="68" spans="1:7" x14ac:dyDescent="0.2">
      <c r="A68" t="s">
        <v>349</v>
      </c>
      <c r="C68">
        <v>1</v>
      </c>
      <c r="D68">
        <v>3</v>
      </c>
      <c r="F68" s="1">
        <f t="shared" si="13"/>
        <v>6.25E-2</v>
      </c>
    </row>
    <row r="69" spans="1:7" x14ac:dyDescent="0.2">
      <c r="A69" t="s">
        <v>350</v>
      </c>
      <c r="D69">
        <v>1.25</v>
      </c>
      <c r="F69" s="1">
        <f t="shared" si="13"/>
        <v>5.208333333333333E-3</v>
      </c>
    </row>
    <row r="70" spans="1:7" x14ac:dyDescent="0.2">
      <c r="A70" t="s">
        <v>351</v>
      </c>
      <c r="D70">
        <v>9</v>
      </c>
      <c r="F70" s="1">
        <f t="shared" si="13"/>
        <v>3.7499999999999999E-2</v>
      </c>
    </row>
    <row r="71" spans="1:7" x14ac:dyDescent="0.2">
      <c r="A71" t="s">
        <v>352</v>
      </c>
      <c r="D71">
        <v>5</v>
      </c>
      <c r="F71" s="1">
        <f t="shared" si="13"/>
        <v>2.0833333333333332E-2</v>
      </c>
    </row>
    <row r="72" spans="1:7" x14ac:dyDescent="0.2">
      <c r="A72" t="s">
        <v>353</v>
      </c>
      <c r="D72">
        <v>4</v>
      </c>
      <c r="F72" s="1">
        <f t="shared" si="13"/>
        <v>1.6666666666666666E-2</v>
      </c>
    </row>
    <row r="73" spans="1:7" x14ac:dyDescent="0.2">
      <c r="A73" s="5" t="s">
        <v>8</v>
      </c>
      <c r="C73">
        <v>6</v>
      </c>
      <c r="D73">
        <v>5.25</v>
      </c>
      <c r="F73" s="8">
        <f t="shared" si="13"/>
        <v>0.32187499999999997</v>
      </c>
    </row>
    <row r="74" spans="1:7" x14ac:dyDescent="0.2">
      <c r="A74" s="5" t="s">
        <v>222</v>
      </c>
      <c r="B74">
        <f>SUM(B66:B72)</f>
        <v>0</v>
      </c>
      <c r="C74">
        <f t="shared" ref="C74:D74" si="14">SUM(C66:C72)</f>
        <v>3</v>
      </c>
      <c r="D74">
        <f t="shared" si="14"/>
        <v>41.25</v>
      </c>
      <c r="F74" s="8">
        <f t="shared" si="13"/>
        <v>0.32187500000000002</v>
      </c>
      <c r="G74" s="50">
        <f>F74-F73</f>
        <v>0</v>
      </c>
    </row>
    <row r="75" spans="1:7" x14ac:dyDescent="0.2">
      <c r="A75" s="5" t="s">
        <v>175</v>
      </c>
      <c r="B75">
        <f>SUM(B66:B71)</f>
        <v>0</v>
      </c>
      <c r="C75">
        <f t="shared" ref="C75:D75" si="15">SUM(C66:C71)</f>
        <v>3</v>
      </c>
      <c r="D75">
        <f t="shared" si="15"/>
        <v>37.25</v>
      </c>
      <c r="F75" s="8">
        <f>B75+C75/20+D75/240</f>
        <v>0.3052083333333333</v>
      </c>
      <c r="G75" s="50"/>
    </row>
    <row r="77" spans="1:7" x14ac:dyDescent="0.2">
      <c r="A77" s="5" t="s">
        <v>26</v>
      </c>
    </row>
    <row r="78" spans="1:7" x14ac:dyDescent="0.2">
      <c r="A78" t="s">
        <v>354</v>
      </c>
      <c r="C78">
        <v>6</v>
      </c>
      <c r="D78">
        <v>8</v>
      </c>
      <c r="F78" s="1">
        <f t="shared" ref="F78:F84" si="16">B78+C78/20+D78/240</f>
        <v>0.33333333333333331</v>
      </c>
    </row>
    <row r="79" spans="1:7" x14ac:dyDescent="0.2">
      <c r="A79" t="s">
        <v>355</v>
      </c>
      <c r="C79">
        <v>5</v>
      </c>
      <c r="D79">
        <v>7.5</v>
      </c>
      <c r="F79" s="1">
        <f t="shared" si="16"/>
        <v>0.28125</v>
      </c>
    </row>
    <row r="80" spans="1:7" x14ac:dyDescent="0.2">
      <c r="A80" t="s">
        <v>356</v>
      </c>
      <c r="C80">
        <v>4</v>
      </c>
      <c r="F80" s="1">
        <f t="shared" si="16"/>
        <v>0.2</v>
      </c>
    </row>
    <row r="81" spans="1:8" x14ac:dyDescent="0.2">
      <c r="A81" t="s">
        <v>357</v>
      </c>
      <c r="C81">
        <v>3</v>
      </c>
      <c r="D81">
        <v>1.5</v>
      </c>
      <c r="F81" s="1">
        <f t="shared" si="16"/>
        <v>0.15625</v>
      </c>
    </row>
    <row r="82" spans="1:8" x14ac:dyDescent="0.2">
      <c r="A82" t="s">
        <v>358</v>
      </c>
      <c r="C82">
        <v>1</v>
      </c>
      <c r="F82" s="1">
        <f t="shared" si="16"/>
        <v>0.05</v>
      </c>
    </row>
    <row r="83" spans="1:8" x14ac:dyDescent="0.2">
      <c r="A83" s="5" t="s">
        <v>8</v>
      </c>
      <c r="B83">
        <v>1</v>
      </c>
      <c r="D83">
        <v>5</v>
      </c>
      <c r="F83" s="8">
        <f t="shared" si="16"/>
        <v>1.0208333333333333</v>
      </c>
    </row>
    <row r="84" spans="1:8" x14ac:dyDescent="0.2">
      <c r="A84" s="5" t="s">
        <v>223</v>
      </c>
      <c r="B84">
        <f>SUM(B78:B82)</f>
        <v>0</v>
      </c>
      <c r="C84">
        <f t="shared" ref="C84:D84" si="17">SUM(C78:C82)</f>
        <v>19</v>
      </c>
      <c r="D84">
        <f t="shared" si="17"/>
        <v>17</v>
      </c>
      <c r="F84" s="8">
        <f t="shared" si="16"/>
        <v>1.0208333333333333</v>
      </c>
      <c r="G84" s="50">
        <f>F84-F83</f>
        <v>0</v>
      </c>
    </row>
    <row r="86" spans="1:8" x14ac:dyDescent="0.2">
      <c r="A86" s="5" t="s">
        <v>27</v>
      </c>
      <c r="H86" t="s">
        <v>361</v>
      </c>
    </row>
    <row r="87" spans="1:8" x14ac:dyDescent="0.2">
      <c r="A87" t="s">
        <v>359</v>
      </c>
      <c r="C87">
        <v>4</v>
      </c>
      <c r="D87">
        <v>6</v>
      </c>
      <c r="F87" s="1">
        <f t="shared" ref="F87:F92" si="18">B87+C87/20+D87/240</f>
        <v>0.22500000000000001</v>
      </c>
    </row>
    <row r="88" spans="1:8" x14ac:dyDescent="0.2">
      <c r="A88" t="s">
        <v>360</v>
      </c>
      <c r="C88">
        <v>6</v>
      </c>
      <c r="D88">
        <v>4</v>
      </c>
      <c r="F88" s="1">
        <f t="shared" si="18"/>
        <v>0.31666666666666665</v>
      </c>
    </row>
    <row r="89" spans="1:8" x14ac:dyDescent="0.2">
      <c r="A89" t="s">
        <v>362</v>
      </c>
      <c r="B89">
        <v>1</v>
      </c>
      <c r="F89" s="1">
        <f t="shared" si="18"/>
        <v>1</v>
      </c>
    </row>
    <row r="90" spans="1:8" x14ac:dyDescent="0.2">
      <c r="A90" t="s">
        <v>363</v>
      </c>
      <c r="C90">
        <v>3</v>
      </c>
      <c r="F90" s="1">
        <f t="shared" si="18"/>
        <v>0.15</v>
      </c>
    </row>
    <row r="91" spans="1:8" x14ac:dyDescent="0.2">
      <c r="A91" s="5" t="s">
        <v>8</v>
      </c>
      <c r="B91">
        <v>1</v>
      </c>
      <c r="C91">
        <v>13</v>
      </c>
      <c r="D91">
        <v>10</v>
      </c>
      <c r="F91" s="8">
        <f t="shared" si="18"/>
        <v>1.6916666666666667</v>
      </c>
    </row>
    <row r="92" spans="1:8" x14ac:dyDescent="0.2">
      <c r="A92" s="5" t="s">
        <v>224</v>
      </c>
      <c r="B92">
        <f>SUM(B87:B90)</f>
        <v>1</v>
      </c>
      <c r="C92">
        <f t="shared" ref="C92:D92" si="19">SUM(C87:C90)</f>
        <v>13</v>
      </c>
      <c r="D92">
        <f t="shared" si="19"/>
        <v>10</v>
      </c>
      <c r="F92" s="8">
        <f t="shared" si="18"/>
        <v>1.6916666666666667</v>
      </c>
      <c r="G92" s="50">
        <f>F92-F91</f>
        <v>0</v>
      </c>
    </row>
    <row r="94" spans="1:8" x14ac:dyDescent="0.2">
      <c r="A94" s="5" t="s">
        <v>28</v>
      </c>
    </row>
    <row r="95" spans="1:8" x14ac:dyDescent="0.2">
      <c r="A95" t="s">
        <v>364</v>
      </c>
      <c r="C95">
        <v>3</v>
      </c>
      <c r="D95">
        <v>3</v>
      </c>
      <c r="F95" s="1">
        <f>B95+C95/20+D95/240</f>
        <v>0.16250000000000001</v>
      </c>
    </row>
    <row r="96" spans="1:8" x14ac:dyDescent="0.2">
      <c r="A96" t="s">
        <v>365</v>
      </c>
      <c r="C96">
        <v>1</v>
      </c>
      <c r="D96">
        <v>6</v>
      </c>
      <c r="F96" s="1">
        <f t="shared" ref="F96:F99" si="20">B96+C96/20+D96/240</f>
        <v>7.5000000000000011E-2</v>
      </c>
    </row>
    <row r="97" spans="1:7" x14ac:dyDescent="0.2">
      <c r="A97" t="s">
        <v>366</v>
      </c>
      <c r="D97">
        <v>9.25</v>
      </c>
      <c r="F97" s="1">
        <f t="shared" si="20"/>
        <v>3.8541666666666669E-2</v>
      </c>
    </row>
    <row r="98" spans="1:7" x14ac:dyDescent="0.2">
      <c r="A98" t="s">
        <v>367</v>
      </c>
      <c r="C98">
        <v>12</v>
      </c>
      <c r="D98">
        <v>2</v>
      </c>
      <c r="F98" s="1">
        <f t="shared" si="20"/>
        <v>0.60833333333333328</v>
      </c>
    </row>
    <row r="99" spans="1:7" x14ac:dyDescent="0.2">
      <c r="A99" t="s">
        <v>368</v>
      </c>
      <c r="C99">
        <v>6</v>
      </c>
      <c r="D99">
        <v>8</v>
      </c>
      <c r="F99" s="1">
        <f t="shared" si="20"/>
        <v>0.33333333333333331</v>
      </c>
    </row>
    <row r="100" spans="1:7" x14ac:dyDescent="0.2">
      <c r="A100" s="5" t="s">
        <v>8</v>
      </c>
      <c r="B100">
        <v>1</v>
      </c>
      <c r="C100">
        <v>4</v>
      </c>
      <c r="D100">
        <v>4.25</v>
      </c>
      <c r="F100" s="8">
        <f t="shared" ref="F100:F108" si="21">B100+C100/20+D100/240</f>
        <v>1.2177083333333334</v>
      </c>
    </row>
    <row r="101" spans="1:7" x14ac:dyDescent="0.2">
      <c r="A101" s="5" t="s">
        <v>227</v>
      </c>
      <c r="B101">
        <f>SUM(B95:B99)</f>
        <v>0</v>
      </c>
      <c r="C101">
        <f t="shared" ref="C101:D101" si="22">SUM(C95:C99)</f>
        <v>22</v>
      </c>
      <c r="D101">
        <f t="shared" si="22"/>
        <v>28.25</v>
      </c>
      <c r="F101" s="8">
        <f t="shared" si="21"/>
        <v>1.2177083333333334</v>
      </c>
      <c r="G101" s="50">
        <f>F101-F100</f>
        <v>0</v>
      </c>
    </row>
    <row r="103" spans="1:7" x14ac:dyDescent="0.2">
      <c r="A103" t="s">
        <v>29</v>
      </c>
      <c r="B103">
        <v>13</v>
      </c>
      <c r="C103">
        <v>8</v>
      </c>
      <c r="D103">
        <v>0.75</v>
      </c>
      <c r="F103" s="1">
        <f t="shared" si="21"/>
        <v>13.403125000000001</v>
      </c>
    </row>
    <row r="104" spans="1:7" x14ac:dyDescent="0.2">
      <c r="A104" t="s">
        <v>33</v>
      </c>
      <c r="B104">
        <f>SUM(B101,B92,B84,B74,,B62,B41,B24,B17)</f>
        <v>5</v>
      </c>
      <c r="C104">
        <f t="shared" ref="C104:D104" si="23">SUM(C101,C92,C84,C74,,C62,C41,C24,C17)</f>
        <v>146</v>
      </c>
      <c r="D104">
        <f t="shared" si="23"/>
        <v>273.25</v>
      </c>
      <c r="F104" s="1">
        <f>B104+C104/20+D104/240</f>
        <v>13.438541666666667</v>
      </c>
      <c r="G104" s="50">
        <f>F104-F103</f>
        <v>3.541666666666643E-2</v>
      </c>
    </row>
    <row r="105" spans="1:7" x14ac:dyDescent="0.2">
      <c r="A105" t="s">
        <v>30</v>
      </c>
      <c r="B105">
        <v>42</v>
      </c>
      <c r="C105">
        <v>14</v>
      </c>
      <c r="D105">
        <v>6.25</v>
      </c>
      <c r="F105" s="1">
        <f t="shared" si="21"/>
        <v>42.726041666666667</v>
      </c>
    </row>
    <row r="106" spans="1:7" x14ac:dyDescent="0.2">
      <c r="A106" t="s">
        <v>31</v>
      </c>
      <c r="B106">
        <v>27</v>
      </c>
      <c r="C106">
        <v>14</v>
      </c>
      <c r="D106">
        <v>4</v>
      </c>
      <c r="F106" s="1">
        <f t="shared" si="21"/>
        <v>27.716666666666665</v>
      </c>
    </row>
    <row r="107" spans="1:7" x14ac:dyDescent="0.2">
      <c r="A107" t="s">
        <v>32</v>
      </c>
      <c r="B107">
        <v>15</v>
      </c>
      <c r="D107">
        <v>2.25</v>
      </c>
      <c r="F107" s="1">
        <f t="shared" si="21"/>
        <v>15.009375</v>
      </c>
    </row>
    <row r="108" spans="1:7" x14ac:dyDescent="0.2">
      <c r="A108" t="s">
        <v>175</v>
      </c>
      <c r="B108">
        <f>SUM(B18,B42,B63,B75,B24)</f>
        <v>4</v>
      </c>
      <c r="C108">
        <f t="shared" ref="C108:D108" si="24">SUM(C18,C42,C63,C75,C24)</f>
        <v>81</v>
      </c>
      <c r="D108">
        <f t="shared" si="24"/>
        <v>197</v>
      </c>
      <c r="F108" s="1">
        <f t="shared" si="21"/>
        <v>8.8708333333333336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R26"/>
  <sheetViews>
    <sheetView workbookViewId="0">
      <selection activeCell="J25" sqref="J25"/>
    </sheetView>
  </sheetViews>
  <sheetFormatPr baseColWidth="10" defaultRowHeight="16" x14ac:dyDescent="0.2"/>
  <sheetData>
    <row r="1" spans="1:18" x14ac:dyDescent="0.2">
      <c r="A1" s="17"/>
      <c r="B1" s="18" t="s">
        <v>34</v>
      </c>
      <c r="I1" s="14"/>
      <c r="J1" s="14"/>
      <c r="O1" s="19"/>
      <c r="P1" s="19"/>
      <c r="Q1" s="19"/>
    </row>
    <row r="2" spans="1:18" x14ac:dyDescent="0.2">
      <c r="A2" s="17"/>
      <c r="B2" s="39" t="s">
        <v>201</v>
      </c>
      <c r="C2" s="39"/>
      <c r="D2" s="39"/>
      <c r="E2" s="39"/>
      <c r="F2" s="39"/>
      <c r="G2" s="37" t="s">
        <v>202</v>
      </c>
      <c r="H2" s="37"/>
      <c r="I2" s="37"/>
      <c r="J2" s="37"/>
      <c r="K2" s="37"/>
      <c r="L2" s="37"/>
      <c r="M2" s="37"/>
      <c r="N2" s="37"/>
      <c r="O2" s="38"/>
      <c r="P2" s="20" t="s">
        <v>35</v>
      </c>
      <c r="Q2" s="20"/>
    </row>
    <row r="3" spans="1:18" x14ac:dyDescent="0.2">
      <c r="A3" s="17" t="s">
        <v>36</v>
      </c>
      <c r="B3" s="105" t="s">
        <v>37</v>
      </c>
      <c r="C3" s="105"/>
      <c r="D3" s="105" t="s">
        <v>38</v>
      </c>
      <c r="E3" s="105"/>
      <c r="F3" s="21" t="s">
        <v>37</v>
      </c>
      <c r="G3" s="105" t="s">
        <v>39</v>
      </c>
      <c r="H3" s="105"/>
      <c r="I3" s="105"/>
      <c r="J3" s="19" t="s">
        <v>40</v>
      </c>
      <c r="K3" s="14" t="s">
        <v>41</v>
      </c>
      <c r="L3" s="14" t="s">
        <v>42</v>
      </c>
      <c r="M3" s="14" t="s">
        <v>43</v>
      </c>
      <c r="N3" s="14" t="s">
        <v>44</v>
      </c>
      <c r="O3" s="21" t="s">
        <v>186</v>
      </c>
      <c r="P3" s="19" t="s">
        <v>45</v>
      </c>
    </row>
    <row r="4" spans="1:18" x14ac:dyDescent="0.2">
      <c r="B4" s="22" t="s">
        <v>46</v>
      </c>
      <c r="C4" s="22" t="s">
        <v>47</v>
      </c>
      <c r="D4" s="22" t="s">
        <v>46</v>
      </c>
      <c r="E4" s="22" t="s">
        <v>47</v>
      </c>
      <c r="F4" s="23" t="s">
        <v>46</v>
      </c>
      <c r="G4" s="22" t="s">
        <v>46</v>
      </c>
      <c r="H4" s="22" t="s">
        <v>47</v>
      </c>
      <c r="I4" s="22" t="s">
        <v>46</v>
      </c>
      <c r="J4" s="22"/>
      <c r="K4" s="22" t="s">
        <v>0</v>
      </c>
      <c r="L4" s="22" t="s">
        <v>46</v>
      </c>
      <c r="M4" s="22" t="s">
        <v>0</v>
      </c>
      <c r="N4" s="22" t="s">
        <v>46</v>
      </c>
      <c r="O4" s="23" t="s">
        <v>48</v>
      </c>
      <c r="P4" s="24" t="s">
        <v>0</v>
      </c>
      <c r="Q4" s="25"/>
    </row>
    <row r="5" spans="1:18" x14ac:dyDescent="0.2">
      <c r="A5" t="s">
        <v>49</v>
      </c>
      <c r="B5">
        <v>58</v>
      </c>
      <c r="C5">
        <v>6</v>
      </c>
      <c r="E5">
        <v>6</v>
      </c>
      <c r="F5" s="26">
        <f>B5+D5+C5/8+E5/8</f>
        <v>59.5</v>
      </c>
      <c r="G5">
        <v>40</v>
      </c>
      <c r="I5">
        <f>G5+H5/8</f>
        <v>40</v>
      </c>
      <c r="J5" s="27">
        <f>F5-I5</f>
        <v>19.5</v>
      </c>
      <c r="K5" s="1">
        <f>'Crawley Receipts'!F82</f>
        <v>11.908333333333333</v>
      </c>
      <c r="L5">
        <v>40</v>
      </c>
      <c r="O5" s="28">
        <f>IFERROR((K5+M5)/(L5+N5),0)</f>
        <v>0.29770833333333335</v>
      </c>
      <c r="P5" s="27">
        <f t="shared" ref="P5:P11" si="0">O5*F5</f>
        <v>17.713645833333334</v>
      </c>
    </row>
    <row r="6" spans="1:18" x14ac:dyDescent="0.2">
      <c r="A6" t="s">
        <v>50</v>
      </c>
      <c r="B6">
        <v>12</v>
      </c>
      <c r="C6">
        <v>0.5</v>
      </c>
      <c r="F6" s="29">
        <f t="shared" ref="F6:F11" si="1">B6+D6+C6/8+E6/8</f>
        <v>12.0625</v>
      </c>
      <c r="G6">
        <v>12</v>
      </c>
      <c r="H6">
        <v>0.5</v>
      </c>
      <c r="I6">
        <f t="shared" ref="I6:I11" si="2">G6+H6/8</f>
        <v>12.0625</v>
      </c>
      <c r="J6" s="27">
        <f t="shared" ref="J6:J11" si="3">F6-I6</f>
        <v>0</v>
      </c>
      <c r="K6" s="1">
        <f>'Crawley Receipts'!F83</f>
        <v>2.2770833333333331</v>
      </c>
      <c r="L6">
        <f>I6</f>
        <v>12.0625</v>
      </c>
      <c r="O6" s="28">
        <f t="shared" ref="O6:O10" si="4">IFERROR((K6+M6)/(L6+N6),0)</f>
        <v>0.18877374784110534</v>
      </c>
      <c r="P6" s="27">
        <f t="shared" si="0"/>
        <v>2.2770833333333331</v>
      </c>
    </row>
    <row r="7" spans="1:18" x14ac:dyDescent="0.2">
      <c r="A7" t="s">
        <v>369</v>
      </c>
      <c r="B7">
        <v>4</v>
      </c>
      <c r="C7">
        <v>2</v>
      </c>
      <c r="F7" s="29">
        <f t="shared" si="1"/>
        <v>4.25</v>
      </c>
      <c r="I7">
        <f t="shared" si="2"/>
        <v>0</v>
      </c>
      <c r="J7" s="27">
        <f t="shared" si="3"/>
        <v>4.25</v>
      </c>
      <c r="O7" s="28">
        <f t="shared" si="4"/>
        <v>0</v>
      </c>
      <c r="P7" s="27">
        <f t="shared" si="0"/>
        <v>0</v>
      </c>
    </row>
    <row r="8" spans="1:18" x14ac:dyDescent="0.2">
      <c r="A8" t="s">
        <v>51</v>
      </c>
      <c r="B8">
        <v>91</v>
      </c>
      <c r="C8">
        <v>5</v>
      </c>
      <c r="D8">
        <v>3</v>
      </c>
      <c r="E8">
        <v>6</v>
      </c>
      <c r="F8" s="29">
        <f t="shared" si="1"/>
        <v>95.375</v>
      </c>
      <c r="G8">
        <v>21.5</v>
      </c>
      <c r="H8">
        <v>6</v>
      </c>
      <c r="I8">
        <f t="shared" si="2"/>
        <v>22.25</v>
      </c>
      <c r="J8" s="27">
        <f t="shared" si="3"/>
        <v>73.125</v>
      </c>
      <c r="K8" s="1">
        <f>'Crawley Receipts'!F84</f>
        <v>4.395833333333333</v>
      </c>
      <c r="L8">
        <f>21+6/8</f>
        <v>21.75</v>
      </c>
      <c r="M8" s="1">
        <f>'Crawley Receipts'!F88</f>
        <v>0.1</v>
      </c>
      <c r="N8">
        <v>0.5</v>
      </c>
      <c r="O8" s="28">
        <f t="shared" si="4"/>
        <v>0.20205992509363294</v>
      </c>
      <c r="P8" s="27">
        <f t="shared" si="0"/>
        <v>19.27146535580524</v>
      </c>
      <c r="R8" s="2"/>
    </row>
    <row r="9" spans="1:18" x14ac:dyDescent="0.2">
      <c r="A9" t="s">
        <v>52</v>
      </c>
      <c r="B9">
        <v>170</v>
      </c>
      <c r="F9" s="29">
        <f t="shared" si="1"/>
        <v>170</v>
      </c>
      <c r="G9">
        <v>43</v>
      </c>
      <c r="I9">
        <f t="shared" si="2"/>
        <v>43</v>
      </c>
      <c r="J9" s="27">
        <f t="shared" si="3"/>
        <v>127</v>
      </c>
      <c r="K9" s="1">
        <f>'Crawley Receipts'!F85</f>
        <v>4.3833333333333329</v>
      </c>
      <c r="L9">
        <v>43</v>
      </c>
      <c r="O9" s="28">
        <f t="shared" si="4"/>
        <v>0.10193798449612403</v>
      </c>
      <c r="P9" s="27">
        <f t="shared" si="0"/>
        <v>17.329457364341085</v>
      </c>
    </row>
    <row r="10" spans="1:18" x14ac:dyDescent="0.2">
      <c r="A10" t="s">
        <v>53</v>
      </c>
      <c r="B10">
        <v>6.5</v>
      </c>
      <c r="F10" s="29">
        <f t="shared" si="1"/>
        <v>6.5</v>
      </c>
      <c r="G10">
        <v>3</v>
      </c>
      <c r="H10">
        <v>1</v>
      </c>
      <c r="I10">
        <f t="shared" si="2"/>
        <v>3.125</v>
      </c>
      <c r="J10" s="27">
        <f t="shared" si="3"/>
        <v>3.375</v>
      </c>
      <c r="K10" s="1">
        <f>'Crawley Receipts'!F86</f>
        <v>0.46875</v>
      </c>
      <c r="L10">
        <f>I10</f>
        <v>3.125</v>
      </c>
      <c r="O10" s="28">
        <f t="shared" si="4"/>
        <v>0.15</v>
      </c>
      <c r="P10" s="27">
        <f t="shared" si="0"/>
        <v>0.97499999999999998</v>
      </c>
    </row>
    <row r="11" spans="1:18" x14ac:dyDescent="0.2">
      <c r="A11" t="s">
        <v>54</v>
      </c>
      <c r="B11">
        <v>7</v>
      </c>
      <c r="C11">
        <v>6</v>
      </c>
      <c r="F11" s="29">
        <f t="shared" si="1"/>
        <v>7.75</v>
      </c>
      <c r="G11">
        <v>4.5</v>
      </c>
      <c r="I11">
        <f t="shared" si="2"/>
        <v>4.5</v>
      </c>
      <c r="J11" s="27">
        <f t="shared" si="3"/>
        <v>3.25</v>
      </c>
      <c r="K11" s="1">
        <f>'Crawley Receipts'!F87</f>
        <v>0.45</v>
      </c>
      <c r="L11">
        <v>4.5</v>
      </c>
      <c r="O11" s="28">
        <f t="shared" ref="O11" si="5">IFERROR((K11+M11)/(L11+N11),0)</f>
        <v>0.1</v>
      </c>
      <c r="P11" s="27">
        <f t="shared" si="0"/>
        <v>0.77500000000000002</v>
      </c>
    </row>
    <row r="13" spans="1:18" x14ac:dyDescent="0.2">
      <c r="A13" s="30" t="s">
        <v>55</v>
      </c>
      <c r="B13" s="31"/>
      <c r="C13" s="31"/>
      <c r="D13" s="31"/>
      <c r="E13" s="31"/>
      <c r="F13" s="32">
        <f>SUM(F5:F11)</f>
        <v>355.4375</v>
      </c>
      <c r="G13" s="31"/>
      <c r="H13" s="31"/>
      <c r="I13" s="31"/>
      <c r="J13" s="31"/>
      <c r="K13" s="31"/>
      <c r="L13" s="31"/>
      <c r="M13" s="31"/>
      <c r="N13" s="31"/>
      <c r="O13" s="31"/>
      <c r="P13" s="32">
        <f>SUM(P5:P11)</f>
        <v>58.341651886812997</v>
      </c>
      <c r="Q13" s="33" t="s">
        <v>56</v>
      </c>
    </row>
    <row r="14" spans="1:18" x14ac:dyDescent="0.2">
      <c r="A14" s="30" t="s">
        <v>57</v>
      </c>
      <c r="B14" s="31"/>
      <c r="C14" s="31"/>
      <c r="D14" s="31"/>
      <c r="E14" s="31"/>
      <c r="F14" s="31">
        <f>SUM(I5:I11)</f>
        <v>124.9375</v>
      </c>
      <c r="G14" s="31"/>
      <c r="H14" s="31"/>
      <c r="I14" s="31"/>
      <c r="J14" s="31"/>
      <c r="K14" s="31"/>
      <c r="L14" s="31"/>
      <c r="M14" s="31"/>
      <c r="N14" s="31"/>
      <c r="O14" s="31"/>
      <c r="P14" s="32">
        <f>SUM(K5:K11,M5:M11)</f>
        <v>23.983333333333334</v>
      </c>
      <c r="Q14" s="31"/>
    </row>
    <row r="17" spans="1:14" ht="102" x14ac:dyDescent="0.2">
      <c r="A17" s="17" t="s">
        <v>58</v>
      </c>
      <c r="B17" s="34" t="s">
        <v>36</v>
      </c>
      <c r="C17" s="106" t="s">
        <v>59</v>
      </c>
      <c r="D17" s="106"/>
      <c r="E17" s="106"/>
      <c r="F17" t="s">
        <v>60</v>
      </c>
      <c r="G17" s="106" t="s">
        <v>61</v>
      </c>
      <c r="H17" s="106"/>
      <c r="I17" s="107"/>
      <c r="J17" s="34" t="s">
        <v>62</v>
      </c>
      <c r="K17" t="s">
        <v>63</v>
      </c>
      <c r="L17" s="35" t="s">
        <v>64</v>
      </c>
      <c r="M17" s="34" t="s">
        <v>65</v>
      </c>
      <c r="N17" s="34" t="s">
        <v>66</v>
      </c>
    </row>
    <row r="18" spans="1:14" x14ac:dyDescent="0.2">
      <c r="B18" s="14" t="s">
        <v>46</v>
      </c>
      <c r="C18" s="14" t="s">
        <v>46</v>
      </c>
      <c r="D18" t="s">
        <v>47</v>
      </c>
      <c r="E18" t="s">
        <v>46</v>
      </c>
      <c r="F18" t="s">
        <v>46</v>
      </c>
      <c r="G18" t="s">
        <v>46</v>
      </c>
      <c r="H18" t="s">
        <v>47</v>
      </c>
      <c r="I18" s="28" t="s">
        <v>46</v>
      </c>
      <c r="J18" s="14" t="s">
        <v>46</v>
      </c>
      <c r="K18" s="28" t="s">
        <v>46</v>
      </c>
      <c r="L18" s="12" t="s">
        <v>48</v>
      </c>
      <c r="M18" s="14" t="s">
        <v>0</v>
      </c>
      <c r="N18" s="14" t="s">
        <v>0</v>
      </c>
    </row>
    <row r="19" spans="1:14" x14ac:dyDescent="0.2">
      <c r="A19" t="s">
        <v>229</v>
      </c>
      <c r="B19" s="27">
        <f>F5</f>
        <v>59.5</v>
      </c>
      <c r="C19">
        <v>16</v>
      </c>
      <c r="D19">
        <v>5</v>
      </c>
      <c r="E19">
        <f>C19+D19/8</f>
        <v>16.625</v>
      </c>
      <c r="G19">
        <v>2</v>
      </c>
      <c r="H19">
        <v>7</v>
      </c>
      <c r="I19" s="28">
        <f>G19+H19/8</f>
        <v>2.875</v>
      </c>
      <c r="J19" s="27">
        <f t="shared" ref="J19:J25" si="6">B19-(E19+F19+I19)</f>
        <v>40</v>
      </c>
      <c r="K19" s="28"/>
      <c r="L19" s="36">
        <f t="shared" ref="L19:L25" si="7">O5</f>
        <v>0.29770833333333335</v>
      </c>
      <c r="M19" s="27">
        <f>L19*J19</f>
        <v>11.908333333333335</v>
      </c>
      <c r="N19" s="27">
        <f>O5*I5</f>
        <v>11.908333333333335</v>
      </c>
    </row>
    <row r="20" spans="1:14" x14ac:dyDescent="0.2">
      <c r="A20" t="s">
        <v>230</v>
      </c>
      <c r="B20" s="27">
        <f t="shared" ref="B20:B25" si="8">F6</f>
        <v>12.0625</v>
      </c>
      <c r="E20">
        <f t="shared" ref="E20:E25" si="9">C20+D20/8</f>
        <v>0</v>
      </c>
      <c r="I20" s="28">
        <f t="shared" ref="I20:I25" si="10">G20+H20/8</f>
        <v>0</v>
      </c>
      <c r="J20" s="27">
        <f t="shared" si="6"/>
        <v>12.0625</v>
      </c>
      <c r="K20" s="28"/>
      <c r="L20" s="36">
        <f t="shared" si="7"/>
        <v>0.18877374784110534</v>
      </c>
      <c r="M20" s="27">
        <f t="shared" ref="M20:M25" si="11">L20*J20</f>
        <v>2.2770833333333331</v>
      </c>
      <c r="N20" s="27">
        <f>O6*I6</f>
        <v>2.2770833333333331</v>
      </c>
    </row>
    <row r="21" spans="1:14" x14ac:dyDescent="0.2">
      <c r="A21" t="s">
        <v>370</v>
      </c>
      <c r="B21" s="27">
        <f t="shared" si="8"/>
        <v>4.25</v>
      </c>
      <c r="E21">
        <f t="shared" si="9"/>
        <v>0</v>
      </c>
      <c r="G21">
        <v>4</v>
      </c>
      <c r="H21">
        <v>2</v>
      </c>
      <c r="I21" s="28">
        <f t="shared" si="10"/>
        <v>4.25</v>
      </c>
      <c r="J21" s="27">
        <f t="shared" si="6"/>
        <v>0</v>
      </c>
      <c r="K21" s="28"/>
      <c r="L21" s="36">
        <f t="shared" si="7"/>
        <v>0</v>
      </c>
      <c r="M21" s="27">
        <f t="shared" ref="M21" si="12">L21*J21</f>
        <v>0</v>
      </c>
      <c r="N21" s="27">
        <f>O7*I7</f>
        <v>0</v>
      </c>
    </row>
    <row r="22" spans="1:14" x14ac:dyDescent="0.2">
      <c r="A22" t="s">
        <v>231</v>
      </c>
      <c r="B22" s="27">
        <f t="shared" si="8"/>
        <v>95.375</v>
      </c>
      <c r="C22">
        <v>43</v>
      </c>
      <c r="D22">
        <v>2</v>
      </c>
      <c r="E22">
        <f t="shared" si="9"/>
        <v>43.25</v>
      </c>
      <c r="G22">
        <f>19.5+0.5+2+3+2+0.5</f>
        <v>27.5</v>
      </c>
      <c r="H22">
        <f>6.5+6+7</f>
        <v>19.5</v>
      </c>
      <c r="I22" s="28">
        <f t="shared" si="10"/>
        <v>29.9375</v>
      </c>
      <c r="J22" s="27">
        <f t="shared" si="6"/>
        <v>22.1875</v>
      </c>
      <c r="K22" s="28"/>
      <c r="L22" s="36">
        <f t="shared" si="7"/>
        <v>0.20205992509363294</v>
      </c>
      <c r="M22" s="27">
        <f t="shared" si="11"/>
        <v>4.4832045880149805</v>
      </c>
      <c r="N22" s="27">
        <f t="shared" ref="N22:N25" si="13">O8*I8</f>
        <v>4.4958333333333327</v>
      </c>
    </row>
    <row r="23" spans="1:14" x14ac:dyDescent="0.2">
      <c r="A23" t="s">
        <v>232</v>
      </c>
      <c r="B23" s="27">
        <f t="shared" si="8"/>
        <v>170</v>
      </c>
      <c r="C23">
        <v>83</v>
      </c>
      <c r="D23">
        <v>3</v>
      </c>
      <c r="E23">
        <f t="shared" si="9"/>
        <v>83.375</v>
      </c>
      <c r="G23">
        <f>6+4+12+20</f>
        <v>42</v>
      </c>
      <c r="H23">
        <f>6+2+5</f>
        <v>13</v>
      </c>
      <c r="I23" s="28">
        <f t="shared" si="10"/>
        <v>43.625</v>
      </c>
      <c r="J23" s="27">
        <f t="shared" si="6"/>
        <v>43</v>
      </c>
      <c r="K23" s="28"/>
      <c r="L23" s="36">
        <f t="shared" si="7"/>
        <v>0.10193798449612403</v>
      </c>
      <c r="M23" s="27">
        <f t="shared" si="11"/>
        <v>4.3833333333333329</v>
      </c>
      <c r="N23" s="27">
        <f t="shared" si="13"/>
        <v>4.3833333333333329</v>
      </c>
    </row>
    <row r="24" spans="1:14" x14ac:dyDescent="0.2">
      <c r="A24" t="s">
        <v>233</v>
      </c>
      <c r="B24" s="27">
        <f t="shared" si="8"/>
        <v>6.5</v>
      </c>
      <c r="C24">
        <v>3</v>
      </c>
      <c r="E24">
        <f t="shared" si="9"/>
        <v>3</v>
      </c>
      <c r="H24">
        <v>3</v>
      </c>
      <c r="I24" s="28">
        <f t="shared" si="10"/>
        <v>0.375</v>
      </c>
      <c r="J24" s="27">
        <f t="shared" si="6"/>
        <v>3.125</v>
      </c>
      <c r="K24" s="28"/>
      <c r="L24" s="36">
        <f t="shared" si="7"/>
        <v>0.15</v>
      </c>
      <c r="M24" s="27">
        <f t="shared" si="11"/>
        <v>0.46875</v>
      </c>
      <c r="N24" s="27">
        <f t="shared" si="13"/>
        <v>0.46875</v>
      </c>
    </row>
    <row r="25" spans="1:14" x14ac:dyDescent="0.2">
      <c r="A25" t="s">
        <v>234</v>
      </c>
      <c r="B25" s="27">
        <f t="shared" si="8"/>
        <v>7.75</v>
      </c>
      <c r="C25">
        <v>3</v>
      </c>
      <c r="D25">
        <v>2</v>
      </c>
      <c r="E25">
        <f t="shared" si="9"/>
        <v>3.25</v>
      </c>
      <c r="I25" s="28">
        <f t="shared" si="10"/>
        <v>0</v>
      </c>
      <c r="J25" s="27">
        <f t="shared" si="6"/>
        <v>4.5</v>
      </c>
      <c r="K25" s="28"/>
      <c r="L25" s="36">
        <f t="shared" si="7"/>
        <v>0.1</v>
      </c>
      <c r="M25" s="27">
        <f t="shared" si="11"/>
        <v>0.45</v>
      </c>
      <c r="N25" s="27">
        <f t="shared" si="13"/>
        <v>0.45</v>
      </c>
    </row>
    <row r="26" spans="1:14" x14ac:dyDescent="0.2">
      <c r="A26" s="30" t="s">
        <v>9</v>
      </c>
      <c r="B26" s="32">
        <f>SUM(B19:B25)</f>
        <v>355.4375</v>
      </c>
      <c r="C26" s="31"/>
      <c r="D26" s="31"/>
      <c r="E26" s="31">
        <f>SUM(E19:E25)</f>
        <v>149.5</v>
      </c>
      <c r="F26" s="31"/>
      <c r="G26" s="31"/>
      <c r="H26" s="31"/>
      <c r="I26" s="31"/>
      <c r="J26" s="32">
        <f>SUM(J19:J25)</f>
        <v>124.875</v>
      </c>
      <c r="K26" s="31"/>
      <c r="L26" s="31"/>
      <c r="M26" s="32">
        <f>SUM(M19:M25)</f>
        <v>23.970704588014982</v>
      </c>
      <c r="N26" s="32">
        <f>SUM(N19:N25)</f>
        <v>23.983333333333334</v>
      </c>
    </row>
  </sheetData>
  <mergeCells count="5">
    <mergeCell ref="B3:C3"/>
    <mergeCell ref="D3:E3"/>
    <mergeCell ref="G3:I3"/>
    <mergeCell ref="C17:E17"/>
    <mergeCell ref="G17:I1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T98"/>
  <sheetViews>
    <sheetView tabSelected="1" topLeftCell="A2" zoomScale="84" workbookViewId="0">
      <pane xSplit="1" ySplit="2" topLeftCell="E19" activePane="bottomRight" state="frozen"/>
      <selection activeCell="A2" sqref="A2"/>
      <selection pane="topRight" activeCell="B2" sqref="B2"/>
      <selection pane="bottomLeft" activeCell="A4" sqref="A4"/>
      <selection pane="bottomRight" activeCell="T35" sqref="T35:T36"/>
    </sheetView>
  </sheetViews>
  <sheetFormatPr baseColWidth="10" defaultRowHeight="16" x14ac:dyDescent="0.2"/>
  <cols>
    <col min="1" max="1" width="31.83203125" customWidth="1"/>
    <col min="14" max="14" width="11.6640625" bestFit="1" customWidth="1"/>
    <col min="17" max="19" width="10.83203125" style="27"/>
  </cols>
  <sheetData>
    <row r="1" spans="1:20" x14ac:dyDescent="0.2">
      <c r="A1" s="9" t="s">
        <v>162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1"/>
      <c r="M1" s="51"/>
      <c r="N1" s="10"/>
      <c r="O1" s="10"/>
      <c r="P1" s="10"/>
      <c r="Q1" s="51"/>
      <c r="R1" s="51"/>
      <c r="S1" s="51"/>
      <c r="T1" s="10"/>
    </row>
    <row r="2" spans="1:20" x14ac:dyDescent="0.2">
      <c r="A2" s="53"/>
      <c r="B2" s="10"/>
      <c r="C2" s="10"/>
      <c r="D2" s="10"/>
      <c r="E2" s="10"/>
      <c r="F2" s="10"/>
      <c r="G2" s="10"/>
      <c r="H2" s="10"/>
      <c r="I2" s="10"/>
      <c r="J2" s="10"/>
      <c r="K2" s="10"/>
      <c r="L2" s="51"/>
      <c r="M2" s="51"/>
      <c r="N2" s="10"/>
      <c r="O2" s="10"/>
      <c r="P2" s="10"/>
      <c r="Q2" s="51"/>
      <c r="R2" s="51"/>
      <c r="S2" s="51"/>
      <c r="T2" s="10"/>
    </row>
    <row r="3" spans="1:20" ht="68" x14ac:dyDescent="0.2">
      <c r="A3" s="54" t="s">
        <v>89</v>
      </c>
      <c r="B3" s="55" t="s">
        <v>142</v>
      </c>
      <c r="C3" s="55" t="s">
        <v>209</v>
      </c>
      <c r="D3" s="55" t="s">
        <v>210</v>
      </c>
      <c r="E3" s="9" t="s">
        <v>143</v>
      </c>
      <c r="F3" s="9" t="s">
        <v>144</v>
      </c>
      <c r="G3" s="55" t="s">
        <v>145</v>
      </c>
      <c r="H3" s="55" t="s">
        <v>146</v>
      </c>
      <c r="I3" s="55" t="s">
        <v>147</v>
      </c>
      <c r="J3" s="55" t="s">
        <v>148</v>
      </c>
      <c r="K3" s="55" t="s">
        <v>149</v>
      </c>
      <c r="L3" s="56" t="s">
        <v>167</v>
      </c>
      <c r="M3" s="56" t="s">
        <v>168</v>
      </c>
      <c r="N3" s="55" t="s">
        <v>169</v>
      </c>
      <c r="O3" s="55" t="s">
        <v>170</v>
      </c>
      <c r="P3" s="55" t="s">
        <v>172</v>
      </c>
      <c r="Q3" s="56" t="s">
        <v>150</v>
      </c>
      <c r="R3" s="62" t="s">
        <v>166</v>
      </c>
      <c r="S3" s="62" t="s">
        <v>151</v>
      </c>
      <c r="T3" s="55" t="s">
        <v>152</v>
      </c>
    </row>
    <row r="4" spans="1:20" ht="17" x14ac:dyDescent="0.2">
      <c r="A4" s="53" t="s">
        <v>91</v>
      </c>
      <c r="B4" s="10">
        <v>2</v>
      </c>
      <c r="C4" s="10"/>
      <c r="D4" s="10"/>
      <c r="E4" s="10"/>
      <c r="F4" s="10"/>
      <c r="G4" s="10"/>
      <c r="H4" s="10"/>
      <c r="I4" s="10"/>
      <c r="J4" s="10">
        <v>2</v>
      </c>
      <c r="K4" s="55">
        <f>B4+C4+D4+E4-F4-G4-H4-I4</f>
        <v>2</v>
      </c>
      <c r="Q4" s="51" t="str">
        <f>IFERROR((L4+N4)/(M4+O4),"")</f>
        <v/>
      </c>
      <c r="R4" s="51" t="str">
        <f>IFERROR(D4*Q4,"")</f>
        <v/>
      </c>
      <c r="S4" s="51" t="str">
        <f>IFERROR(Q4*G4,"")</f>
        <v/>
      </c>
      <c r="T4" s="10"/>
    </row>
    <row r="5" spans="1:20" ht="17" x14ac:dyDescent="0.2">
      <c r="A5" s="53" t="s">
        <v>92</v>
      </c>
      <c r="B5" s="10"/>
      <c r="C5" s="10"/>
      <c r="D5" s="10"/>
      <c r="E5" s="10"/>
      <c r="F5" s="10"/>
      <c r="G5" s="10"/>
      <c r="H5" s="10"/>
      <c r="I5" s="10"/>
      <c r="J5" s="10"/>
      <c r="K5" s="55">
        <f t="shared" ref="K5:K70" si="0">B5+C5+D5+E5-F5-G5-H5-I5</f>
        <v>0</v>
      </c>
      <c r="L5" s="56"/>
      <c r="M5" s="56"/>
      <c r="N5" s="55"/>
      <c r="O5" s="55"/>
      <c r="P5" s="55"/>
      <c r="Q5" s="51" t="str">
        <f t="shared" ref="Q5:Q65" si="1">IFERROR((L5+N5)/(M5+O5),"")</f>
        <v/>
      </c>
      <c r="R5" s="51" t="str">
        <f t="shared" ref="R5:R65" si="2">IFERROR(D5*Q5,"")</f>
        <v/>
      </c>
      <c r="S5" s="51" t="str">
        <f t="shared" ref="S5:S65" si="3">IFERROR(Q5*G5,"")</f>
        <v/>
      </c>
      <c r="T5" s="10"/>
    </row>
    <row r="6" spans="1:20" x14ac:dyDescent="0.2">
      <c r="A6" s="10" t="s">
        <v>93</v>
      </c>
      <c r="B6" s="10">
        <v>5</v>
      </c>
      <c r="C6" s="10">
        <v>1</v>
      </c>
      <c r="D6" s="10">
        <v>1</v>
      </c>
      <c r="E6" s="10"/>
      <c r="F6" s="10"/>
      <c r="G6" s="10"/>
      <c r="H6" s="10">
        <v>1</v>
      </c>
      <c r="I6" s="10"/>
      <c r="J6" s="10">
        <v>6</v>
      </c>
      <c r="K6" s="55">
        <f t="shared" si="0"/>
        <v>6</v>
      </c>
      <c r="L6" s="56"/>
      <c r="M6" s="56"/>
      <c r="N6" s="55"/>
      <c r="O6" s="55"/>
      <c r="P6" s="55"/>
      <c r="Q6" s="51" t="str">
        <f t="shared" si="1"/>
        <v/>
      </c>
      <c r="R6" s="51" t="str">
        <f t="shared" si="2"/>
        <v/>
      </c>
      <c r="S6" s="51" t="str">
        <f t="shared" si="3"/>
        <v/>
      </c>
      <c r="T6" s="10"/>
    </row>
    <row r="7" spans="1:20" x14ac:dyDescent="0.2">
      <c r="A7" s="10" t="s">
        <v>94</v>
      </c>
      <c r="B7" s="10"/>
      <c r="C7" s="10"/>
      <c r="D7" s="10"/>
      <c r="E7" s="10"/>
      <c r="F7" s="10"/>
      <c r="G7" s="10"/>
      <c r="H7" s="10"/>
      <c r="I7" s="10"/>
      <c r="J7" s="10"/>
      <c r="K7" s="55">
        <f t="shared" si="0"/>
        <v>0</v>
      </c>
      <c r="L7" s="56"/>
      <c r="M7" s="56"/>
      <c r="N7" s="55"/>
      <c r="O7" s="55"/>
      <c r="P7" s="55"/>
      <c r="Q7" s="51" t="str">
        <f t="shared" si="1"/>
        <v/>
      </c>
      <c r="R7" s="51" t="str">
        <f t="shared" si="2"/>
        <v/>
      </c>
      <c r="S7" s="51" t="str">
        <f t="shared" si="3"/>
        <v/>
      </c>
      <c r="T7" s="10"/>
    </row>
    <row r="8" spans="1:20" x14ac:dyDescent="0.2">
      <c r="A8" s="10" t="s">
        <v>94</v>
      </c>
      <c r="B8" s="10"/>
      <c r="C8" s="10"/>
      <c r="D8" s="10"/>
      <c r="E8" s="10"/>
      <c r="F8" s="10"/>
      <c r="G8" s="10"/>
      <c r="H8" s="10"/>
      <c r="I8" s="10"/>
      <c r="J8" s="10"/>
      <c r="K8" s="55">
        <f t="shared" si="0"/>
        <v>0</v>
      </c>
      <c r="L8" s="56"/>
      <c r="M8" s="56"/>
      <c r="N8" s="55"/>
      <c r="O8" s="55"/>
      <c r="P8" s="55"/>
      <c r="Q8" s="51" t="str">
        <f t="shared" si="1"/>
        <v/>
      </c>
      <c r="R8" s="51" t="str">
        <f t="shared" si="2"/>
        <v/>
      </c>
      <c r="S8" s="51" t="str">
        <f t="shared" si="3"/>
        <v/>
      </c>
      <c r="T8" s="10"/>
    </row>
    <row r="9" spans="1:20" x14ac:dyDescent="0.2">
      <c r="A9" s="10" t="s">
        <v>95</v>
      </c>
      <c r="B9" s="10"/>
      <c r="C9" s="10"/>
      <c r="D9" s="10"/>
      <c r="E9" s="10"/>
      <c r="F9" s="10"/>
      <c r="G9" s="10"/>
      <c r="H9" s="10"/>
      <c r="I9" s="10"/>
      <c r="J9" s="10"/>
      <c r="K9" s="55">
        <f t="shared" si="0"/>
        <v>0</v>
      </c>
      <c r="L9" s="56"/>
      <c r="M9" s="56"/>
      <c r="N9" s="55"/>
      <c r="O9" s="55"/>
      <c r="P9" s="55"/>
      <c r="Q9" s="51" t="str">
        <f t="shared" si="1"/>
        <v/>
      </c>
      <c r="R9" s="51" t="str">
        <f t="shared" si="2"/>
        <v/>
      </c>
      <c r="S9" s="51" t="str">
        <f t="shared" si="3"/>
        <v/>
      </c>
      <c r="T9" s="10"/>
    </row>
    <row r="10" spans="1:20" x14ac:dyDescent="0.2">
      <c r="A10" s="10" t="s">
        <v>96</v>
      </c>
      <c r="B10" s="10"/>
      <c r="C10" s="10"/>
      <c r="D10" s="10"/>
      <c r="E10" s="10"/>
      <c r="F10" s="10"/>
      <c r="G10" s="10"/>
      <c r="H10" s="10"/>
      <c r="I10" s="10"/>
      <c r="J10" s="10"/>
      <c r="K10" s="55">
        <f t="shared" si="0"/>
        <v>0</v>
      </c>
      <c r="L10" s="56"/>
      <c r="M10" s="56"/>
      <c r="N10" s="55"/>
      <c r="O10" s="55"/>
      <c r="P10" s="55"/>
      <c r="Q10" s="51" t="str">
        <f t="shared" si="1"/>
        <v/>
      </c>
      <c r="R10" s="51" t="str">
        <f t="shared" si="2"/>
        <v/>
      </c>
      <c r="S10" s="51" t="str">
        <f t="shared" si="3"/>
        <v/>
      </c>
      <c r="T10" s="10"/>
    </row>
    <row r="11" spans="1:20" x14ac:dyDescent="0.2">
      <c r="A11" s="10" t="s">
        <v>97</v>
      </c>
      <c r="B11" s="10">
        <v>30</v>
      </c>
      <c r="C11" s="10">
        <v>5</v>
      </c>
      <c r="D11" s="10">
        <v>1</v>
      </c>
      <c r="E11" s="10">
        <v>1</v>
      </c>
      <c r="F11" s="10"/>
      <c r="G11" s="10"/>
      <c r="H11" s="10">
        <v>2</v>
      </c>
      <c r="I11" s="10"/>
      <c r="J11" s="10">
        <v>35</v>
      </c>
      <c r="K11" s="55">
        <f t="shared" si="0"/>
        <v>35</v>
      </c>
      <c r="L11" s="57"/>
      <c r="M11" s="57"/>
      <c r="N11" s="58"/>
      <c r="O11" s="58"/>
      <c r="P11" s="58"/>
      <c r="Q11" s="51" t="str">
        <f t="shared" si="1"/>
        <v/>
      </c>
      <c r="R11" s="51" t="str">
        <f t="shared" si="2"/>
        <v/>
      </c>
      <c r="S11" s="51" t="str">
        <f t="shared" si="3"/>
        <v/>
      </c>
      <c r="T11" s="10"/>
    </row>
    <row r="12" spans="1:20" x14ac:dyDescent="0.2">
      <c r="A12" s="10" t="s">
        <v>98</v>
      </c>
      <c r="B12" s="10">
        <v>1</v>
      </c>
      <c r="C12" s="10"/>
      <c r="D12" s="10"/>
      <c r="E12" s="10"/>
      <c r="F12" s="10"/>
      <c r="G12" s="10"/>
      <c r="H12" s="10"/>
      <c r="I12" s="10"/>
      <c r="J12" s="10">
        <v>1</v>
      </c>
      <c r="K12" s="55">
        <f t="shared" si="0"/>
        <v>1</v>
      </c>
      <c r="L12" s="57"/>
      <c r="M12" s="57"/>
      <c r="N12" s="58"/>
      <c r="O12" s="58"/>
      <c r="P12" s="58"/>
      <c r="Q12" s="51" t="str">
        <f t="shared" si="1"/>
        <v/>
      </c>
      <c r="R12" s="51" t="str">
        <f t="shared" si="2"/>
        <v/>
      </c>
      <c r="S12" s="51" t="str">
        <f t="shared" si="3"/>
        <v/>
      </c>
      <c r="T12" s="10"/>
    </row>
    <row r="13" spans="1:20" x14ac:dyDescent="0.2">
      <c r="A13" s="10" t="s">
        <v>99</v>
      </c>
      <c r="B13" s="10">
        <v>17</v>
      </c>
      <c r="C13" s="10"/>
      <c r="D13" s="10">
        <v>2</v>
      </c>
      <c r="E13" s="10"/>
      <c r="F13" s="10"/>
      <c r="G13" s="10"/>
      <c r="H13" s="10"/>
      <c r="I13" s="10"/>
      <c r="J13" s="10">
        <v>19</v>
      </c>
      <c r="K13" s="55">
        <f t="shared" si="0"/>
        <v>19</v>
      </c>
      <c r="L13" s="57"/>
      <c r="M13" s="57"/>
      <c r="N13" s="58"/>
      <c r="O13" s="58"/>
      <c r="P13" s="58"/>
      <c r="Q13" s="51" t="str">
        <f t="shared" si="1"/>
        <v/>
      </c>
      <c r="R13" s="51" t="str">
        <f t="shared" si="2"/>
        <v/>
      </c>
      <c r="S13" s="51" t="str">
        <f t="shared" si="3"/>
        <v/>
      </c>
      <c r="T13" s="10"/>
    </row>
    <row r="14" spans="1:20" x14ac:dyDescent="0.2">
      <c r="A14" s="10" t="s">
        <v>100</v>
      </c>
      <c r="B14" s="10">
        <v>4</v>
      </c>
      <c r="C14" s="10"/>
      <c r="D14" s="10"/>
      <c r="E14" s="10"/>
      <c r="F14" s="10"/>
      <c r="G14" s="10"/>
      <c r="H14" s="10">
        <v>1</v>
      </c>
      <c r="I14" s="10">
        <v>3</v>
      </c>
      <c r="J14" s="10">
        <v>0</v>
      </c>
      <c r="K14" s="55">
        <f t="shared" si="0"/>
        <v>0</v>
      </c>
      <c r="L14" s="57"/>
      <c r="M14" s="57"/>
      <c r="N14" s="58"/>
      <c r="O14" s="58"/>
      <c r="P14" s="58"/>
      <c r="Q14" s="51" t="str">
        <f t="shared" si="1"/>
        <v/>
      </c>
      <c r="R14" s="51" t="str">
        <f t="shared" si="2"/>
        <v/>
      </c>
      <c r="S14" s="51" t="str">
        <f t="shared" si="3"/>
        <v/>
      </c>
      <c r="T14" s="10"/>
    </row>
    <row r="15" spans="1:20" x14ac:dyDescent="0.2">
      <c r="A15" s="10" t="s">
        <v>101</v>
      </c>
      <c r="B15" s="10">
        <v>5</v>
      </c>
      <c r="C15" s="10"/>
      <c r="D15" s="10"/>
      <c r="E15" s="10"/>
      <c r="F15" s="10"/>
      <c r="G15" s="10"/>
      <c r="H15" s="10">
        <v>1</v>
      </c>
      <c r="I15" s="10"/>
      <c r="J15" s="10">
        <v>4</v>
      </c>
      <c r="K15" s="55">
        <f t="shared" si="0"/>
        <v>4</v>
      </c>
      <c r="L15" s="57"/>
      <c r="M15" s="57"/>
      <c r="N15" s="58"/>
      <c r="O15" s="58"/>
      <c r="P15" s="58"/>
      <c r="Q15" s="51" t="str">
        <f t="shared" si="1"/>
        <v/>
      </c>
      <c r="R15" s="51" t="str">
        <f t="shared" si="2"/>
        <v/>
      </c>
      <c r="S15" s="51" t="str">
        <f t="shared" si="3"/>
        <v/>
      </c>
      <c r="T15" s="10"/>
    </row>
    <row r="16" spans="1:20" x14ac:dyDescent="0.2">
      <c r="A16" s="10" t="s">
        <v>102</v>
      </c>
      <c r="B16" s="10">
        <v>6</v>
      </c>
      <c r="C16" s="10"/>
      <c r="D16" s="10"/>
      <c r="E16" s="10"/>
      <c r="F16" s="10"/>
      <c r="G16" s="10"/>
      <c r="H16" s="10">
        <v>1</v>
      </c>
      <c r="I16" s="10"/>
      <c r="J16" s="10">
        <v>5</v>
      </c>
      <c r="K16" s="55">
        <f t="shared" si="0"/>
        <v>5</v>
      </c>
      <c r="L16" s="57"/>
      <c r="M16" s="57"/>
      <c r="N16" s="58"/>
      <c r="O16" s="58"/>
      <c r="P16" s="58"/>
      <c r="Q16" s="51" t="str">
        <f t="shared" si="1"/>
        <v/>
      </c>
      <c r="R16" s="51" t="str">
        <f t="shared" si="2"/>
        <v/>
      </c>
      <c r="S16" s="51" t="str">
        <f t="shared" si="3"/>
        <v/>
      </c>
      <c r="T16" s="10"/>
    </row>
    <row r="17" spans="1:20" x14ac:dyDescent="0.2">
      <c r="A17" s="10" t="s">
        <v>103</v>
      </c>
      <c r="B17" s="10"/>
      <c r="C17" s="10"/>
      <c r="D17" s="10">
        <v>13</v>
      </c>
      <c r="E17" s="10"/>
      <c r="F17" s="10"/>
      <c r="G17" s="10">
        <v>5</v>
      </c>
      <c r="H17" s="10">
        <v>1</v>
      </c>
      <c r="I17" s="10">
        <v>1</v>
      </c>
      <c r="J17" s="10">
        <v>6</v>
      </c>
      <c r="K17" s="55">
        <f t="shared" si="0"/>
        <v>6</v>
      </c>
      <c r="L17" s="57">
        <f>'Crawley Receipts'!F54</f>
        <v>0.25</v>
      </c>
      <c r="M17" s="57">
        <v>5</v>
      </c>
      <c r="N17" s="58"/>
      <c r="O17" s="58"/>
      <c r="P17" s="58"/>
      <c r="Q17" s="51">
        <f t="shared" si="1"/>
        <v>0.05</v>
      </c>
      <c r="R17" s="51">
        <f t="shared" si="2"/>
        <v>0.65</v>
      </c>
      <c r="S17" s="51">
        <f t="shared" si="3"/>
        <v>0.25</v>
      </c>
      <c r="T17" s="10"/>
    </row>
    <row r="18" spans="1:20" x14ac:dyDescent="0.2">
      <c r="A18" s="10" t="s">
        <v>104</v>
      </c>
      <c r="B18" s="10">
        <v>383</v>
      </c>
      <c r="C18" s="10"/>
      <c r="D18" s="10">
        <v>132</v>
      </c>
      <c r="E18" s="10"/>
      <c r="F18" s="10"/>
      <c r="G18" s="10">
        <v>47</v>
      </c>
      <c r="H18" s="10">
        <v>35</v>
      </c>
      <c r="I18" s="10"/>
      <c r="J18" s="10">
        <v>433</v>
      </c>
      <c r="K18" s="55">
        <f t="shared" si="0"/>
        <v>433</v>
      </c>
      <c r="L18" s="57">
        <f>'Crawley Receipts'!F55</f>
        <v>2.7416666666666667</v>
      </c>
      <c r="M18" s="57">
        <v>47</v>
      </c>
      <c r="N18" s="58"/>
      <c r="O18" s="58"/>
      <c r="P18" s="58"/>
      <c r="Q18" s="51">
        <f t="shared" si="1"/>
        <v>5.8333333333333334E-2</v>
      </c>
      <c r="R18" s="51">
        <f t="shared" si="2"/>
        <v>7.7</v>
      </c>
      <c r="S18" s="51">
        <f t="shared" si="3"/>
        <v>2.7416666666666667</v>
      </c>
      <c r="T18" s="10"/>
    </row>
    <row r="19" spans="1:20" x14ac:dyDescent="0.2">
      <c r="A19" s="10" t="s">
        <v>105</v>
      </c>
      <c r="B19" s="10"/>
      <c r="C19" s="10"/>
      <c r="D19" s="10"/>
      <c r="E19" s="10"/>
      <c r="F19" s="10"/>
      <c r="G19" s="10"/>
      <c r="H19" s="10"/>
      <c r="I19" s="10"/>
      <c r="J19" s="10"/>
      <c r="K19" s="55">
        <f t="shared" si="0"/>
        <v>0</v>
      </c>
      <c r="L19" s="57"/>
      <c r="M19" s="57"/>
      <c r="N19" s="58"/>
      <c r="O19" s="58"/>
      <c r="P19" s="58"/>
      <c r="Q19" s="51" t="str">
        <f t="shared" si="1"/>
        <v/>
      </c>
      <c r="R19" s="51" t="str">
        <f t="shared" si="2"/>
        <v/>
      </c>
      <c r="S19" s="51" t="str">
        <f t="shared" si="3"/>
        <v/>
      </c>
      <c r="T19" s="10"/>
    </row>
    <row r="20" spans="1:20" x14ac:dyDescent="0.2">
      <c r="A20" s="10" t="s">
        <v>106</v>
      </c>
      <c r="B20" s="10">
        <v>536</v>
      </c>
      <c r="C20" s="10"/>
      <c r="D20" s="10">
        <v>131</v>
      </c>
      <c r="E20" s="10"/>
      <c r="F20" s="10"/>
      <c r="G20" s="10">
        <v>55</v>
      </c>
      <c r="H20" s="10">
        <v>37</v>
      </c>
      <c r="I20" s="10"/>
      <c r="J20" s="10">
        <v>575</v>
      </c>
      <c r="K20" s="55">
        <f t="shared" si="0"/>
        <v>575</v>
      </c>
      <c r="L20" s="57">
        <f>'Crawley Receipts'!F56</f>
        <v>2.2916666666666665</v>
      </c>
      <c r="M20" s="57">
        <v>55</v>
      </c>
      <c r="N20" s="58"/>
      <c r="O20" s="58"/>
      <c r="P20" s="58"/>
      <c r="Q20" s="51">
        <f t="shared" si="1"/>
        <v>4.1666666666666664E-2</v>
      </c>
      <c r="R20" s="51">
        <f t="shared" si="2"/>
        <v>5.458333333333333</v>
      </c>
      <c r="S20" s="51">
        <f t="shared" si="3"/>
        <v>2.2916666666666665</v>
      </c>
      <c r="T20" s="10"/>
    </row>
    <row r="21" spans="1:20" x14ac:dyDescent="0.2">
      <c r="A21" s="10" t="s">
        <v>107</v>
      </c>
      <c r="B21" s="10">
        <v>286</v>
      </c>
      <c r="C21" s="10"/>
      <c r="D21" s="10"/>
      <c r="E21" s="10"/>
      <c r="F21" s="10"/>
      <c r="G21" s="10"/>
      <c r="H21" s="10">
        <v>23</v>
      </c>
      <c r="I21" s="10">
        <v>263</v>
      </c>
      <c r="J21" s="10">
        <v>0</v>
      </c>
      <c r="K21" s="55">
        <f t="shared" si="0"/>
        <v>0</v>
      </c>
      <c r="L21" s="57"/>
      <c r="M21" s="57"/>
      <c r="N21" s="58"/>
      <c r="O21" s="58"/>
      <c r="P21" s="58"/>
      <c r="Q21" s="51" t="str">
        <f t="shared" si="1"/>
        <v/>
      </c>
      <c r="R21" s="51" t="str">
        <f t="shared" si="2"/>
        <v/>
      </c>
      <c r="S21" s="51" t="str">
        <f t="shared" si="3"/>
        <v/>
      </c>
      <c r="T21" s="10"/>
    </row>
    <row r="22" spans="1:20" x14ac:dyDescent="0.2">
      <c r="A22" s="10" t="s">
        <v>108</v>
      </c>
      <c r="B22" s="10"/>
      <c r="C22" s="10"/>
      <c r="D22" s="10">
        <v>392</v>
      </c>
      <c r="E22" s="10"/>
      <c r="F22" s="10"/>
      <c r="G22" s="10"/>
      <c r="H22" s="10">
        <v>88</v>
      </c>
      <c r="I22" s="10">
        <v>36</v>
      </c>
      <c r="J22" s="10">
        <v>268</v>
      </c>
      <c r="K22" s="55">
        <f t="shared" si="0"/>
        <v>268</v>
      </c>
      <c r="L22" s="57"/>
      <c r="M22" s="57"/>
      <c r="N22" s="58"/>
      <c r="O22" s="58"/>
      <c r="P22" s="58"/>
      <c r="Q22" s="51" t="str">
        <f t="shared" si="1"/>
        <v/>
      </c>
      <c r="R22" s="51" t="str">
        <f t="shared" si="2"/>
        <v/>
      </c>
      <c r="S22" s="51" t="str">
        <f t="shared" si="3"/>
        <v/>
      </c>
      <c r="T22" s="10" t="s">
        <v>371</v>
      </c>
    </row>
    <row r="23" spans="1:20" x14ac:dyDescent="0.2">
      <c r="A23" s="10" t="s">
        <v>109</v>
      </c>
      <c r="B23" s="10">
        <v>1</v>
      </c>
      <c r="C23" s="10"/>
      <c r="D23" s="10"/>
      <c r="E23" s="10"/>
      <c r="F23" s="10"/>
      <c r="G23" s="10"/>
      <c r="H23" s="10"/>
      <c r="I23" s="10"/>
      <c r="J23" s="10">
        <v>1</v>
      </c>
      <c r="K23" s="55">
        <f t="shared" si="0"/>
        <v>1</v>
      </c>
      <c r="L23" s="57"/>
      <c r="M23" s="57"/>
      <c r="N23" s="58"/>
      <c r="O23" s="58"/>
      <c r="P23" s="58"/>
      <c r="Q23" s="51" t="str">
        <f t="shared" si="1"/>
        <v/>
      </c>
      <c r="R23" s="51" t="str">
        <f t="shared" si="2"/>
        <v/>
      </c>
      <c r="S23" s="51" t="str">
        <f t="shared" si="3"/>
        <v/>
      </c>
      <c r="T23" s="10"/>
    </row>
    <row r="24" spans="1:20" x14ac:dyDescent="0.2">
      <c r="A24" s="10" t="s">
        <v>110</v>
      </c>
      <c r="B24" s="10"/>
      <c r="C24" s="10"/>
      <c r="D24" s="10"/>
      <c r="E24" s="10"/>
      <c r="F24" s="10"/>
      <c r="G24" s="10"/>
      <c r="H24" s="10"/>
      <c r="I24" s="10"/>
      <c r="J24" s="10"/>
      <c r="K24" s="55">
        <f t="shared" si="0"/>
        <v>0</v>
      </c>
      <c r="L24" s="57"/>
      <c r="M24" s="57"/>
      <c r="N24" s="58"/>
      <c r="O24" s="58"/>
      <c r="P24" s="58"/>
      <c r="Q24" s="51" t="str">
        <f t="shared" si="1"/>
        <v/>
      </c>
      <c r="R24" s="51" t="str">
        <f t="shared" si="2"/>
        <v/>
      </c>
      <c r="S24" s="51" t="str">
        <f t="shared" si="3"/>
        <v/>
      </c>
      <c r="T24" s="10"/>
    </row>
    <row r="25" spans="1:20" x14ac:dyDescent="0.2">
      <c r="A25" s="10" t="s">
        <v>111</v>
      </c>
      <c r="B25" s="10">
        <v>27</v>
      </c>
      <c r="C25" s="10"/>
      <c r="D25" s="10">
        <v>29</v>
      </c>
      <c r="E25" s="10"/>
      <c r="F25" s="10"/>
      <c r="G25" s="10">
        <v>26</v>
      </c>
      <c r="H25" s="10"/>
      <c r="I25" s="10"/>
      <c r="J25" s="10">
        <v>30</v>
      </c>
      <c r="K25" s="55">
        <f t="shared" si="0"/>
        <v>30</v>
      </c>
      <c r="L25" s="57">
        <f>'Crawley Receipts'!F57</f>
        <v>3.3666666666666667</v>
      </c>
      <c r="M25" s="57">
        <v>26</v>
      </c>
      <c r="N25" s="58"/>
      <c r="O25" s="58"/>
      <c r="P25" s="58"/>
      <c r="Q25" s="51">
        <f t="shared" si="1"/>
        <v>0.1294871794871795</v>
      </c>
      <c r="R25" s="51">
        <f t="shared" si="2"/>
        <v>3.7551282051282056</v>
      </c>
      <c r="S25" s="51">
        <f t="shared" si="3"/>
        <v>3.3666666666666671</v>
      </c>
      <c r="T25" s="10"/>
    </row>
    <row r="26" spans="1:20" x14ac:dyDescent="0.2">
      <c r="A26" s="10" t="s">
        <v>112</v>
      </c>
      <c r="B26" s="10">
        <v>29</v>
      </c>
      <c r="C26" s="10"/>
      <c r="D26" s="10"/>
      <c r="E26" s="10"/>
      <c r="F26" s="10"/>
      <c r="G26" s="10"/>
      <c r="H26" s="10"/>
      <c r="I26" s="10">
        <v>29</v>
      </c>
      <c r="J26" s="10">
        <v>0</v>
      </c>
      <c r="K26" s="55">
        <f t="shared" si="0"/>
        <v>0</v>
      </c>
      <c r="L26" s="57"/>
      <c r="M26" s="57"/>
      <c r="N26" s="58"/>
      <c r="O26" s="58"/>
      <c r="P26" s="58"/>
      <c r="Q26" s="51" t="str">
        <f t="shared" si="1"/>
        <v/>
      </c>
      <c r="R26" s="51" t="str">
        <f t="shared" si="2"/>
        <v/>
      </c>
      <c r="S26" s="51" t="str">
        <f t="shared" si="3"/>
        <v/>
      </c>
      <c r="T26" s="10"/>
    </row>
    <row r="27" spans="1:20" x14ac:dyDescent="0.2">
      <c r="A27" s="10" t="s">
        <v>113</v>
      </c>
      <c r="B27" s="10"/>
      <c r="C27" s="10"/>
      <c r="D27" s="10">
        <v>32</v>
      </c>
      <c r="E27" s="10">
        <v>2</v>
      </c>
      <c r="F27" s="10"/>
      <c r="G27" s="10"/>
      <c r="H27" s="10">
        <v>8</v>
      </c>
      <c r="I27" s="10">
        <v>3</v>
      </c>
      <c r="J27" s="10">
        <v>23</v>
      </c>
      <c r="K27" s="55">
        <f t="shared" si="0"/>
        <v>23</v>
      </c>
      <c r="L27" s="57"/>
      <c r="M27" s="57"/>
      <c r="N27" s="58"/>
      <c r="O27" s="58"/>
      <c r="P27" s="58"/>
      <c r="Q27" s="51" t="str">
        <f t="shared" si="1"/>
        <v/>
      </c>
      <c r="R27" s="51" t="str">
        <f t="shared" si="2"/>
        <v/>
      </c>
      <c r="S27" s="51" t="str">
        <f t="shared" si="3"/>
        <v/>
      </c>
      <c r="T27" s="10" t="s">
        <v>371</v>
      </c>
    </row>
    <row r="28" spans="1:20" x14ac:dyDescent="0.2">
      <c r="A28" s="10" t="s">
        <v>114</v>
      </c>
      <c r="B28" s="10"/>
      <c r="C28" s="10"/>
      <c r="D28" s="10"/>
      <c r="E28" s="10"/>
      <c r="F28" s="10"/>
      <c r="G28" s="10"/>
      <c r="H28" s="10"/>
      <c r="I28" s="10"/>
      <c r="J28" s="10"/>
      <c r="K28" s="55">
        <f t="shared" si="0"/>
        <v>0</v>
      </c>
      <c r="L28" s="57"/>
      <c r="M28" s="57"/>
      <c r="N28" s="58"/>
      <c r="O28" s="58"/>
      <c r="P28" s="58"/>
      <c r="Q28" s="51" t="str">
        <f t="shared" si="1"/>
        <v/>
      </c>
      <c r="R28" s="51" t="str">
        <f t="shared" si="2"/>
        <v/>
      </c>
      <c r="S28" s="51" t="str">
        <f t="shared" si="3"/>
        <v/>
      </c>
      <c r="T28" s="10"/>
    </row>
    <row r="29" spans="1:20" x14ac:dyDescent="0.2">
      <c r="A29" s="10" t="s">
        <v>115</v>
      </c>
      <c r="B29" s="10"/>
      <c r="C29" s="10"/>
      <c r="D29" s="10"/>
      <c r="E29" s="10"/>
      <c r="F29" s="10"/>
      <c r="G29" s="10"/>
      <c r="H29" s="10"/>
      <c r="I29" s="10"/>
      <c r="J29" s="10"/>
      <c r="K29" s="55">
        <f t="shared" si="0"/>
        <v>0</v>
      </c>
      <c r="L29" s="51"/>
      <c r="M29" s="51"/>
      <c r="N29" s="10"/>
      <c r="O29" s="10"/>
      <c r="P29" s="10"/>
      <c r="Q29" s="51" t="str">
        <f t="shared" si="1"/>
        <v/>
      </c>
      <c r="R29" s="51" t="str">
        <f t="shared" si="2"/>
        <v/>
      </c>
      <c r="S29" s="51" t="str">
        <f t="shared" si="3"/>
        <v/>
      </c>
      <c r="T29" s="10"/>
    </row>
    <row r="30" spans="1:20" s="20" customFormat="1" x14ac:dyDescent="0.2">
      <c r="A30" s="101" t="s">
        <v>9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2"/>
      <c r="L30" s="103"/>
      <c r="M30" s="103"/>
      <c r="N30" s="101"/>
      <c r="O30" s="101"/>
      <c r="P30" s="101"/>
      <c r="Q30" s="103"/>
      <c r="R30" s="103"/>
      <c r="S30" s="103">
        <f>SUM(S4:S29)</f>
        <v>8.65</v>
      </c>
      <c r="T30" s="101"/>
    </row>
    <row r="31" spans="1:20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55">
        <f t="shared" si="0"/>
        <v>0</v>
      </c>
      <c r="L31" s="51"/>
      <c r="M31" s="51"/>
      <c r="N31" s="10"/>
      <c r="O31" s="10"/>
      <c r="P31" s="10"/>
      <c r="Q31" s="51" t="str">
        <f t="shared" si="1"/>
        <v/>
      </c>
      <c r="R31" s="51" t="str">
        <f t="shared" si="2"/>
        <v/>
      </c>
      <c r="S31" s="51" t="str">
        <f t="shared" si="3"/>
        <v/>
      </c>
      <c r="T31" s="10"/>
    </row>
    <row r="32" spans="1:20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55">
        <f t="shared" si="0"/>
        <v>0</v>
      </c>
      <c r="L32" s="51"/>
      <c r="M32" s="51"/>
      <c r="N32" s="10"/>
      <c r="O32" s="10"/>
      <c r="P32" s="10"/>
      <c r="Q32" s="51" t="str">
        <f t="shared" si="1"/>
        <v/>
      </c>
      <c r="R32" s="51" t="str">
        <f t="shared" si="2"/>
        <v/>
      </c>
      <c r="S32" s="51" t="str">
        <f t="shared" si="3"/>
        <v/>
      </c>
      <c r="T32" s="10"/>
    </row>
    <row r="33" spans="1:20" ht="17" x14ac:dyDescent="0.2">
      <c r="A33" s="54" t="s">
        <v>116</v>
      </c>
      <c r="B33" s="49"/>
      <c r="C33" s="49"/>
      <c r="D33" s="49"/>
      <c r="E33" s="49"/>
      <c r="F33" s="10"/>
      <c r="G33" s="10"/>
      <c r="H33" s="10"/>
      <c r="I33" s="10"/>
      <c r="J33" s="10"/>
      <c r="K33" s="55">
        <f t="shared" si="0"/>
        <v>0</v>
      </c>
      <c r="L33" s="51"/>
      <c r="M33" s="51"/>
      <c r="N33" s="10"/>
      <c r="O33" s="10"/>
      <c r="P33" s="10"/>
      <c r="Q33" s="51" t="str">
        <f t="shared" si="1"/>
        <v/>
      </c>
      <c r="R33" s="51" t="str">
        <f t="shared" si="2"/>
        <v/>
      </c>
      <c r="S33" s="51" t="str">
        <f t="shared" si="3"/>
        <v/>
      </c>
      <c r="T33" s="10"/>
    </row>
    <row r="34" spans="1:20" ht="17" x14ac:dyDescent="0.2">
      <c r="A34" s="53" t="s">
        <v>163</v>
      </c>
      <c r="B34" s="10"/>
      <c r="C34" s="10"/>
      <c r="D34" s="10"/>
      <c r="E34" s="10"/>
      <c r="F34" s="10"/>
      <c r="G34" s="10"/>
      <c r="H34" s="10"/>
      <c r="I34" s="10"/>
      <c r="J34" s="10"/>
      <c r="K34" s="55">
        <f t="shared" si="0"/>
        <v>0</v>
      </c>
      <c r="L34" s="51"/>
      <c r="M34" s="51"/>
      <c r="N34" s="10"/>
      <c r="O34" s="10"/>
      <c r="P34" s="10"/>
      <c r="Q34" s="51" t="str">
        <f t="shared" si="1"/>
        <v/>
      </c>
      <c r="R34" s="51" t="str">
        <f t="shared" si="2"/>
        <v/>
      </c>
      <c r="S34" s="51" t="str">
        <f t="shared" si="3"/>
        <v/>
      </c>
      <c r="T34" s="10"/>
    </row>
    <row r="35" spans="1:20" x14ac:dyDescent="0.2">
      <c r="A35" s="10" t="s">
        <v>117</v>
      </c>
      <c r="B35" s="10"/>
      <c r="C35" s="10"/>
      <c r="D35" s="10">
        <v>1035</v>
      </c>
      <c r="E35" s="10"/>
      <c r="F35" s="10"/>
      <c r="G35" s="10">
        <v>929</v>
      </c>
      <c r="H35" s="10"/>
      <c r="I35" s="10">
        <v>106</v>
      </c>
      <c r="J35" s="10">
        <v>0</v>
      </c>
      <c r="K35" s="55">
        <f t="shared" si="0"/>
        <v>0</v>
      </c>
      <c r="L35" s="51">
        <v>0</v>
      </c>
      <c r="M35" s="51"/>
      <c r="N35" s="10"/>
      <c r="O35" s="10"/>
      <c r="P35" s="10">
        <f>6.5+3*0.04</f>
        <v>6.62</v>
      </c>
      <c r="Q35" s="27">
        <v>0.02</v>
      </c>
      <c r="R35" s="51">
        <f t="shared" si="2"/>
        <v>20.7</v>
      </c>
      <c r="S35" s="51">
        <f t="shared" si="3"/>
        <v>18.580000000000002</v>
      </c>
      <c r="T35" t="s">
        <v>380</v>
      </c>
    </row>
    <row r="36" spans="1:20" x14ac:dyDescent="0.2">
      <c r="A36" s="10" t="s">
        <v>118</v>
      </c>
      <c r="B36" s="10"/>
      <c r="C36" s="10"/>
      <c r="D36" s="10">
        <v>283</v>
      </c>
      <c r="E36" s="10"/>
      <c r="F36" s="10"/>
      <c r="G36" s="10">
        <v>283</v>
      </c>
      <c r="H36" s="10"/>
      <c r="I36" s="10"/>
      <c r="J36" s="10">
        <v>0</v>
      </c>
      <c r="K36" s="55">
        <f t="shared" si="0"/>
        <v>0</v>
      </c>
      <c r="L36" s="51">
        <v>0</v>
      </c>
      <c r="M36" s="51"/>
      <c r="N36" s="10"/>
      <c r="O36" s="10"/>
      <c r="P36" s="10">
        <f>15*0.04</f>
        <v>0.6</v>
      </c>
      <c r="Q36" s="27">
        <v>0.01</v>
      </c>
      <c r="R36" s="51">
        <f t="shared" si="2"/>
        <v>2.83</v>
      </c>
      <c r="S36" s="51">
        <f t="shared" si="3"/>
        <v>2.83</v>
      </c>
      <c r="T36" t="s">
        <v>380</v>
      </c>
    </row>
    <row r="37" spans="1:20" x14ac:dyDescent="0.2">
      <c r="A37" s="10" t="s">
        <v>119</v>
      </c>
      <c r="B37" s="10"/>
      <c r="C37" s="10"/>
      <c r="D37" s="10">
        <f>5*0.04</f>
        <v>0.2</v>
      </c>
      <c r="E37" s="10"/>
      <c r="F37" s="10"/>
      <c r="G37" s="10">
        <f>5*0.04</f>
        <v>0.2</v>
      </c>
      <c r="H37" s="10"/>
      <c r="I37" s="10"/>
      <c r="J37" s="10"/>
      <c r="K37" s="55">
        <f t="shared" si="0"/>
        <v>0</v>
      </c>
      <c r="L37" s="51">
        <f>'Crawley Receipts'!F76</f>
        <v>0.21875</v>
      </c>
      <c r="M37" s="10">
        <f>5*0.04</f>
        <v>0.2</v>
      </c>
      <c r="N37" s="10"/>
      <c r="O37" s="10"/>
      <c r="P37" s="10">
        <f>5*0.04</f>
        <v>0.2</v>
      </c>
      <c r="Q37" s="51">
        <f t="shared" si="1"/>
        <v>1.09375</v>
      </c>
      <c r="R37" s="51">
        <f t="shared" si="2"/>
        <v>0.21875</v>
      </c>
      <c r="S37" s="51">
        <f t="shared" si="3"/>
        <v>0.21875</v>
      </c>
      <c r="T37" s="10"/>
    </row>
    <row r="38" spans="1:20" x14ac:dyDescent="0.2">
      <c r="A38" s="10" t="s">
        <v>153</v>
      </c>
      <c r="B38" s="10"/>
      <c r="C38" s="10"/>
      <c r="D38" s="10"/>
      <c r="E38" s="10"/>
      <c r="F38" s="10"/>
      <c r="G38" s="10"/>
      <c r="H38" s="10"/>
      <c r="I38" s="10"/>
      <c r="J38" s="10"/>
      <c r="K38" s="55">
        <f t="shared" si="0"/>
        <v>0</v>
      </c>
      <c r="L38" s="51"/>
      <c r="M38" s="51"/>
      <c r="N38" s="10"/>
      <c r="O38" s="10"/>
      <c r="P38" s="10"/>
      <c r="Q38" s="51" t="str">
        <f t="shared" si="1"/>
        <v/>
      </c>
      <c r="R38" s="51" t="str">
        <f t="shared" si="2"/>
        <v/>
      </c>
      <c r="S38" s="51" t="str">
        <f t="shared" si="3"/>
        <v/>
      </c>
      <c r="T38" s="10"/>
    </row>
    <row r="39" spans="1:20" s="20" customFormat="1" x14ac:dyDescent="0.2">
      <c r="A39" s="101" t="s">
        <v>9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2">
        <f t="shared" si="0"/>
        <v>0</v>
      </c>
      <c r="L39" s="103"/>
      <c r="M39" s="103"/>
      <c r="N39" s="101"/>
      <c r="O39" s="101"/>
      <c r="P39" s="101"/>
      <c r="Q39" s="103" t="str">
        <f t="shared" si="1"/>
        <v/>
      </c>
      <c r="R39" s="103" t="str">
        <f t="shared" si="2"/>
        <v/>
      </c>
      <c r="S39" s="103">
        <f>SUM(S35:S38)</f>
        <v>21.628750000000004</v>
      </c>
      <c r="T39" s="101"/>
    </row>
    <row r="40" spans="1:2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55">
        <f t="shared" si="0"/>
        <v>0</v>
      </c>
      <c r="L40" s="51"/>
      <c r="M40" s="51"/>
      <c r="N40" s="10"/>
      <c r="O40" s="10"/>
      <c r="P40" s="10"/>
      <c r="Q40" s="51" t="str">
        <f t="shared" si="1"/>
        <v/>
      </c>
      <c r="R40" s="51" t="str">
        <f t="shared" si="2"/>
        <v/>
      </c>
      <c r="S40" s="51" t="str">
        <f t="shared" si="3"/>
        <v/>
      </c>
      <c r="T40" s="10"/>
    </row>
    <row r="41" spans="1:20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55">
        <f t="shared" si="0"/>
        <v>0</v>
      </c>
      <c r="L41" s="51"/>
      <c r="M41" s="51"/>
      <c r="N41" s="10"/>
      <c r="O41" s="10"/>
      <c r="P41" s="10"/>
      <c r="Q41" s="51" t="str">
        <f t="shared" si="1"/>
        <v/>
      </c>
      <c r="R41" s="51" t="str">
        <f t="shared" si="2"/>
        <v/>
      </c>
      <c r="S41" s="51" t="str">
        <f t="shared" si="3"/>
        <v/>
      </c>
      <c r="T41" s="10"/>
    </row>
    <row r="42" spans="1:20" ht="17" x14ac:dyDescent="0.2">
      <c r="A42" s="54" t="s">
        <v>120</v>
      </c>
      <c r="B42" s="49"/>
      <c r="C42" s="49"/>
      <c r="D42" s="10"/>
      <c r="E42" s="10"/>
      <c r="F42" s="10"/>
      <c r="G42" s="10"/>
      <c r="H42" s="10"/>
      <c r="I42" s="10"/>
      <c r="J42" s="10"/>
      <c r="K42" s="55">
        <f t="shared" si="0"/>
        <v>0</v>
      </c>
      <c r="L42" s="51"/>
      <c r="M42" s="51"/>
      <c r="N42" s="10"/>
      <c r="O42" s="10"/>
      <c r="P42" s="10"/>
      <c r="Q42" s="51" t="str">
        <f t="shared" si="1"/>
        <v/>
      </c>
      <c r="R42" s="51" t="str">
        <f t="shared" si="2"/>
        <v/>
      </c>
      <c r="S42" s="51" t="str">
        <f t="shared" si="3"/>
        <v/>
      </c>
      <c r="T42" s="10"/>
    </row>
    <row r="43" spans="1:20" x14ac:dyDescent="0.2">
      <c r="A43" s="10" t="s">
        <v>121</v>
      </c>
      <c r="B43" s="10"/>
      <c r="C43" s="10"/>
      <c r="D43" s="10">
        <v>2</v>
      </c>
      <c r="E43" s="10"/>
      <c r="F43" s="10"/>
      <c r="G43" s="10">
        <v>2</v>
      </c>
      <c r="H43" s="10"/>
      <c r="I43" s="10"/>
      <c r="J43" s="10">
        <v>0</v>
      </c>
      <c r="K43" s="55">
        <f t="shared" si="0"/>
        <v>0</v>
      </c>
      <c r="L43" s="51">
        <f>'Crawley Receipts'!F59</f>
        <v>0.22708333333333336</v>
      </c>
      <c r="M43" s="51">
        <v>2</v>
      </c>
      <c r="N43" s="10"/>
      <c r="O43" s="51"/>
      <c r="P43" s="51"/>
      <c r="Q43" s="51">
        <f t="shared" si="1"/>
        <v>0.11354166666666668</v>
      </c>
      <c r="R43" s="51">
        <f t="shared" si="2"/>
        <v>0.22708333333333336</v>
      </c>
      <c r="S43" s="51">
        <f t="shared" si="3"/>
        <v>0.22708333333333336</v>
      </c>
      <c r="T43" s="10"/>
    </row>
    <row r="44" spans="1:20" x14ac:dyDescent="0.2">
      <c r="A44" s="10" t="s">
        <v>187</v>
      </c>
      <c r="B44" s="10"/>
      <c r="C44" s="10"/>
      <c r="D44" s="10"/>
      <c r="F44" s="10"/>
      <c r="G44" s="10"/>
      <c r="H44" s="10"/>
      <c r="I44" s="10"/>
      <c r="J44" s="10"/>
      <c r="K44" s="55">
        <f t="shared" si="0"/>
        <v>0</v>
      </c>
      <c r="L44" s="51"/>
      <c r="M44" s="51"/>
      <c r="N44" s="10"/>
      <c r="O44" s="51"/>
      <c r="P44" s="51"/>
      <c r="Q44" s="51" t="str">
        <f t="shared" si="1"/>
        <v/>
      </c>
      <c r="R44" s="51" t="str">
        <f t="shared" si="2"/>
        <v/>
      </c>
      <c r="S44" s="51" t="str">
        <f t="shared" si="3"/>
        <v/>
      </c>
      <c r="T44" s="10"/>
    </row>
    <row r="45" spans="1:20" x14ac:dyDescent="0.2">
      <c r="A45" s="10" t="s">
        <v>188</v>
      </c>
      <c r="B45" s="10"/>
      <c r="C45" s="10"/>
      <c r="D45" s="10">
        <v>1</v>
      </c>
      <c r="E45" s="10"/>
      <c r="F45" s="10"/>
      <c r="G45" s="10">
        <v>1</v>
      </c>
      <c r="H45" s="10"/>
      <c r="I45" s="10"/>
      <c r="J45" s="10">
        <v>0</v>
      </c>
      <c r="K45" s="55">
        <f t="shared" si="0"/>
        <v>0</v>
      </c>
      <c r="L45" s="51">
        <f>'Crawley Receipts'!F58</f>
        <v>4.583333333333333E-2</v>
      </c>
      <c r="M45" s="51">
        <v>1</v>
      </c>
      <c r="N45" s="10"/>
      <c r="O45" s="10"/>
      <c r="P45" s="10"/>
      <c r="Q45" s="51">
        <f t="shared" si="1"/>
        <v>4.583333333333333E-2</v>
      </c>
      <c r="R45" s="51">
        <f t="shared" si="2"/>
        <v>4.583333333333333E-2</v>
      </c>
      <c r="S45" s="51">
        <f t="shared" si="3"/>
        <v>4.583333333333333E-2</v>
      </c>
      <c r="T45" s="10"/>
    </row>
    <row r="46" spans="1:20" x14ac:dyDescent="0.2">
      <c r="A46" s="10" t="s">
        <v>189</v>
      </c>
      <c r="B46" s="10"/>
      <c r="C46" s="10"/>
      <c r="D46" s="10">
        <v>2</v>
      </c>
      <c r="F46" s="10"/>
      <c r="G46" s="10">
        <v>2</v>
      </c>
      <c r="H46" s="10"/>
      <c r="I46" s="10"/>
      <c r="J46" s="10">
        <v>0</v>
      </c>
      <c r="K46" s="55">
        <f t="shared" si="0"/>
        <v>0</v>
      </c>
      <c r="L46" s="51">
        <f>'Crawley Receipts'!F61</f>
        <v>2.5000000000000001E-2</v>
      </c>
      <c r="M46" s="51">
        <v>1</v>
      </c>
      <c r="N46" s="47">
        <f>'Crawley Receipts'!F61</f>
        <v>2.5000000000000001E-2</v>
      </c>
      <c r="O46" s="10">
        <v>1</v>
      </c>
      <c r="P46" s="10"/>
      <c r="Q46" s="51">
        <f t="shared" si="1"/>
        <v>2.5000000000000001E-2</v>
      </c>
      <c r="R46" s="51">
        <f t="shared" si="2"/>
        <v>0.05</v>
      </c>
      <c r="S46" s="51">
        <f t="shared" si="3"/>
        <v>0.05</v>
      </c>
      <c r="T46" s="10"/>
    </row>
    <row r="47" spans="1:20" x14ac:dyDescent="0.2">
      <c r="A47" s="10" t="s">
        <v>190</v>
      </c>
      <c r="B47" s="10"/>
      <c r="C47" s="10"/>
      <c r="D47" s="10">
        <v>1</v>
      </c>
      <c r="E47" s="10"/>
      <c r="F47" s="10"/>
      <c r="G47" s="10">
        <v>1</v>
      </c>
      <c r="H47" s="10"/>
      <c r="I47" s="10"/>
      <c r="J47" s="10">
        <v>0</v>
      </c>
      <c r="K47" s="55">
        <f t="shared" si="0"/>
        <v>0</v>
      </c>
      <c r="L47" s="51">
        <f>'Crawley Receipts'!F62</f>
        <v>6.2500000000000003E-3</v>
      </c>
      <c r="M47" s="51">
        <v>1</v>
      </c>
      <c r="N47" s="10"/>
      <c r="O47" s="10"/>
      <c r="P47" s="10"/>
      <c r="Q47" s="51">
        <f t="shared" si="1"/>
        <v>6.2500000000000003E-3</v>
      </c>
      <c r="R47" s="51">
        <f t="shared" si="2"/>
        <v>6.2500000000000003E-3</v>
      </c>
      <c r="S47" s="51">
        <f t="shared" si="3"/>
        <v>6.2500000000000003E-3</v>
      </c>
      <c r="T47" s="10"/>
    </row>
    <row r="48" spans="1:20" x14ac:dyDescent="0.2">
      <c r="A48" s="10" t="s">
        <v>191</v>
      </c>
      <c r="B48" s="10"/>
      <c r="C48" s="10"/>
      <c r="D48" s="10">
        <v>1</v>
      </c>
      <c r="E48" s="10"/>
      <c r="F48" s="10"/>
      <c r="G48" s="10">
        <v>1</v>
      </c>
      <c r="H48" s="10"/>
      <c r="I48" s="10"/>
      <c r="J48" s="10">
        <v>0</v>
      </c>
      <c r="K48" s="55">
        <f t="shared" si="0"/>
        <v>0</v>
      </c>
      <c r="L48" s="51">
        <f>'Crawley Receipts'!F63</f>
        <v>4.1666666666666666E-3</v>
      </c>
      <c r="M48" s="51">
        <v>1</v>
      </c>
      <c r="N48" s="10"/>
      <c r="O48" s="10"/>
      <c r="P48" s="10"/>
      <c r="Q48" s="51">
        <f t="shared" si="1"/>
        <v>4.1666666666666666E-3</v>
      </c>
      <c r="R48" s="51">
        <f t="shared" si="2"/>
        <v>4.1666666666666666E-3</v>
      </c>
      <c r="S48" s="51">
        <f t="shared" si="3"/>
        <v>4.1666666666666666E-3</v>
      </c>
      <c r="T48" s="10"/>
    </row>
    <row r="49" spans="1:20" x14ac:dyDescent="0.2">
      <c r="A49" s="59" t="s">
        <v>192</v>
      </c>
      <c r="B49" s="10"/>
      <c r="C49" s="10"/>
      <c r="D49" s="10"/>
      <c r="E49" s="10"/>
      <c r="F49" s="10"/>
      <c r="G49" s="10"/>
      <c r="H49" s="10"/>
      <c r="I49" s="10"/>
      <c r="J49" s="10"/>
      <c r="K49" s="55">
        <f t="shared" si="0"/>
        <v>0</v>
      </c>
      <c r="L49" s="51"/>
      <c r="M49" s="51"/>
      <c r="N49" s="10"/>
      <c r="O49" s="10"/>
      <c r="P49" s="10"/>
      <c r="Q49" s="51" t="str">
        <f t="shared" si="1"/>
        <v/>
      </c>
      <c r="R49" s="51" t="str">
        <f t="shared" si="2"/>
        <v/>
      </c>
      <c r="S49" s="51" t="str">
        <f t="shared" si="3"/>
        <v/>
      </c>
      <c r="T49" s="10"/>
    </row>
    <row r="50" spans="1:20" x14ac:dyDescent="0.2">
      <c r="A50" s="60" t="s">
        <v>193</v>
      </c>
      <c r="B50" s="10"/>
      <c r="C50" s="10"/>
      <c r="D50" s="10">
        <v>21</v>
      </c>
      <c r="E50" s="10"/>
      <c r="F50" s="10"/>
      <c r="G50" s="10">
        <v>21</v>
      </c>
      <c r="H50" s="10"/>
      <c r="I50" s="10"/>
      <c r="J50" s="10">
        <v>0</v>
      </c>
      <c r="K50" s="55">
        <f t="shared" si="0"/>
        <v>0</v>
      </c>
      <c r="L50" s="51"/>
      <c r="M50" s="51"/>
      <c r="N50" s="10"/>
      <c r="O50" s="10"/>
      <c r="P50" s="10"/>
      <c r="Q50" s="51" t="str">
        <f t="shared" si="1"/>
        <v/>
      </c>
      <c r="R50" s="51" t="str">
        <f t="shared" si="2"/>
        <v/>
      </c>
      <c r="S50" s="51" t="str">
        <f t="shared" si="3"/>
        <v/>
      </c>
      <c r="T50" s="10"/>
    </row>
    <row r="51" spans="1:20" x14ac:dyDescent="0.2">
      <c r="A51" s="60" t="s">
        <v>194</v>
      </c>
      <c r="B51" s="10"/>
      <c r="C51" s="10"/>
      <c r="D51" s="10"/>
      <c r="E51" s="10"/>
      <c r="F51" s="10"/>
      <c r="G51" s="10"/>
      <c r="H51" s="10"/>
      <c r="I51" s="10"/>
      <c r="J51" s="10"/>
      <c r="K51" s="55">
        <f t="shared" si="0"/>
        <v>0</v>
      </c>
      <c r="L51" s="51"/>
      <c r="M51" s="51"/>
      <c r="N51" s="10"/>
      <c r="O51" s="10"/>
      <c r="P51" s="10"/>
      <c r="Q51" s="51" t="str">
        <f t="shared" si="1"/>
        <v/>
      </c>
      <c r="R51" s="51" t="str">
        <f t="shared" si="2"/>
        <v/>
      </c>
      <c r="S51" s="51" t="str">
        <f t="shared" si="3"/>
        <v/>
      </c>
      <c r="T51" s="10"/>
    </row>
    <row r="52" spans="1:20" x14ac:dyDescent="0.2">
      <c r="A52" s="60" t="s">
        <v>195</v>
      </c>
      <c r="B52" s="10"/>
      <c r="C52" s="10"/>
      <c r="D52" s="10">
        <v>24</v>
      </c>
      <c r="E52" s="10"/>
      <c r="F52" s="10"/>
      <c r="G52" s="10">
        <v>24</v>
      </c>
      <c r="H52" s="10"/>
      <c r="I52" s="10"/>
      <c r="J52" s="10">
        <v>0</v>
      </c>
      <c r="K52" s="55">
        <f t="shared" si="0"/>
        <v>0</v>
      </c>
      <c r="L52" s="51"/>
      <c r="M52" s="51"/>
      <c r="N52" s="10"/>
      <c r="O52" s="10"/>
      <c r="P52" s="10"/>
      <c r="Q52" s="51" t="str">
        <f t="shared" si="1"/>
        <v/>
      </c>
      <c r="R52" s="51" t="str">
        <f t="shared" si="2"/>
        <v/>
      </c>
      <c r="S52" s="51" t="str">
        <f t="shared" si="3"/>
        <v/>
      </c>
      <c r="T52" s="10"/>
    </row>
    <row r="53" spans="1:20" x14ac:dyDescent="0.2">
      <c r="A53" s="60" t="s">
        <v>196</v>
      </c>
      <c r="B53" s="10"/>
      <c r="C53" s="10"/>
      <c r="D53" s="10">
        <v>23</v>
      </c>
      <c r="E53" s="10"/>
      <c r="F53" s="10"/>
      <c r="G53" s="10">
        <v>23</v>
      </c>
      <c r="H53" s="10"/>
      <c r="I53" s="10"/>
      <c r="J53" s="10">
        <v>0</v>
      </c>
      <c r="K53" s="55">
        <f t="shared" si="0"/>
        <v>0</v>
      </c>
      <c r="L53" s="51"/>
      <c r="M53" s="51"/>
      <c r="N53" s="10"/>
      <c r="O53" s="10"/>
      <c r="P53" s="10"/>
      <c r="Q53" s="51" t="str">
        <f t="shared" si="1"/>
        <v/>
      </c>
      <c r="R53" s="51" t="str">
        <f t="shared" si="2"/>
        <v/>
      </c>
      <c r="S53" s="51" t="str">
        <f t="shared" si="3"/>
        <v/>
      </c>
      <c r="T53" s="10"/>
    </row>
    <row r="54" spans="1:20" x14ac:dyDescent="0.2">
      <c r="A54" s="61" t="s">
        <v>164</v>
      </c>
      <c r="B54" s="10"/>
      <c r="C54" s="10"/>
      <c r="D54" s="10">
        <f>SUM(D50:D53)</f>
        <v>68</v>
      </c>
      <c r="E54" s="10"/>
      <c r="F54" s="10"/>
      <c r="G54" s="10">
        <f>SUM(G50:G53)</f>
        <v>68</v>
      </c>
      <c r="H54" s="10"/>
      <c r="I54" s="10"/>
      <c r="J54" s="10">
        <v>0</v>
      </c>
      <c r="K54" s="55">
        <f t="shared" si="0"/>
        <v>0</v>
      </c>
      <c r="L54" s="51">
        <f>'Crawley Receipts'!F64</f>
        <v>0.94166666666666665</v>
      </c>
      <c r="M54" s="51">
        <v>68</v>
      </c>
      <c r="N54" s="10"/>
      <c r="O54" s="10"/>
      <c r="P54" s="10"/>
      <c r="Q54" s="51">
        <f t="shared" si="1"/>
        <v>1.3848039215686274E-2</v>
      </c>
      <c r="R54" s="51">
        <f t="shared" si="2"/>
        <v>0.94166666666666665</v>
      </c>
      <c r="S54" s="51">
        <f t="shared" si="3"/>
        <v>0.94166666666666665</v>
      </c>
      <c r="T54" s="10"/>
    </row>
    <row r="55" spans="1:20" x14ac:dyDescent="0.2">
      <c r="A55" s="60" t="s">
        <v>197</v>
      </c>
      <c r="B55" s="10"/>
      <c r="C55" s="10"/>
      <c r="D55" s="10">
        <v>14</v>
      </c>
      <c r="E55" s="10"/>
      <c r="F55" s="10"/>
      <c r="G55" s="10">
        <v>14</v>
      </c>
      <c r="H55" s="10"/>
      <c r="I55" s="10"/>
      <c r="J55" s="10">
        <v>0</v>
      </c>
      <c r="K55" s="55">
        <f t="shared" si="0"/>
        <v>0</v>
      </c>
      <c r="L55" s="51"/>
      <c r="M55" s="51"/>
      <c r="N55" s="10"/>
      <c r="O55" s="10"/>
      <c r="P55" s="10"/>
      <c r="Q55" s="51" t="str">
        <f t="shared" si="1"/>
        <v/>
      </c>
      <c r="R55" s="51" t="str">
        <f t="shared" si="2"/>
        <v/>
      </c>
      <c r="S55" s="51" t="str">
        <f t="shared" si="3"/>
        <v/>
      </c>
      <c r="T55" s="10"/>
    </row>
    <row r="56" spans="1:20" x14ac:dyDescent="0.2">
      <c r="A56" s="60" t="s">
        <v>198</v>
      </c>
      <c r="B56" s="10"/>
      <c r="C56" s="10"/>
      <c r="D56" s="10"/>
      <c r="E56" s="10"/>
      <c r="F56" s="10"/>
      <c r="G56" s="10"/>
      <c r="H56" s="10"/>
      <c r="I56" s="10"/>
      <c r="J56" s="10"/>
      <c r="K56" s="55">
        <f t="shared" si="0"/>
        <v>0</v>
      </c>
      <c r="L56" s="51"/>
      <c r="M56" s="51"/>
      <c r="N56" s="10"/>
      <c r="O56" s="10"/>
      <c r="P56" s="10"/>
      <c r="Q56" s="51" t="str">
        <f t="shared" si="1"/>
        <v/>
      </c>
      <c r="R56" s="51" t="str">
        <f t="shared" si="2"/>
        <v/>
      </c>
      <c r="S56" s="51" t="str">
        <f t="shared" si="3"/>
        <v/>
      </c>
      <c r="T56" s="10"/>
    </row>
    <row r="57" spans="1:20" x14ac:dyDescent="0.2">
      <c r="A57" s="60" t="s">
        <v>199</v>
      </c>
      <c r="B57" s="10"/>
      <c r="C57" s="10"/>
      <c r="D57" s="10">
        <v>13</v>
      </c>
      <c r="E57" s="10"/>
      <c r="F57" s="10"/>
      <c r="G57" s="10">
        <v>13</v>
      </c>
      <c r="H57" s="10"/>
      <c r="I57" s="10"/>
      <c r="J57" s="10">
        <v>0</v>
      </c>
      <c r="K57" s="55">
        <f t="shared" si="0"/>
        <v>0</v>
      </c>
      <c r="L57" s="51"/>
      <c r="M57" s="51"/>
      <c r="N57" s="10"/>
      <c r="O57" s="10"/>
      <c r="P57" s="10"/>
      <c r="Q57" s="51" t="str">
        <f t="shared" si="1"/>
        <v/>
      </c>
      <c r="R57" s="51" t="str">
        <f t="shared" si="2"/>
        <v/>
      </c>
      <c r="S57" s="51" t="str">
        <f t="shared" si="3"/>
        <v/>
      </c>
      <c r="T57" s="10"/>
    </row>
    <row r="58" spans="1:20" x14ac:dyDescent="0.2">
      <c r="A58" s="60" t="s">
        <v>200</v>
      </c>
      <c r="B58" s="10"/>
      <c r="C58" s="10"/>
      <c r="D58" s="10"/>
      <c r="E58" s="10"/>
      <c r="F58" s="10"/>
      <c r="G58" s="10"/>
      <c r="H58" s="10"/>
      <c r="I58" s="10"/>
      <c r="J58" s="10"/>
      <c r="K58" s="55">
        <f t="shared" si="0"/>
        <v>0</v>
      </c>
      <c r="L58" s="51"/>
      <c r="M58" s="51"/>
      <c r="N58" s="10"/>
      <c r="O58" s="10"/>
      <c r="P58" s="10"/>
      <c r="Q58" s="51" t="str">
        <f t="shared" si="1"/>
        <v/>
      </c>
      <c r="R58" s="51" t="str">
        <f t="shared" si="2"/>
        <v/>
      </c>
      <c r="S58" s="51" t="str">
        <f t="shared" si="3"/>
        <v/>
      </c>
      <c r="T58" s="10"/>
    </row>
    <row r="59" spans="1:20" x14ac:dyDescent="0.2">
      <c r="A59" s="61" t="s">
        <v>122</v>
      </c>
      <c r="B59" s="10"/>
      <c r="C59" s="10"/>
      <c r="D59" s="10">
        <v>27</v>
      </c>
      <c r="E59" s="10"/>
      <c r="F59" s="10"/>
      <c r="G59" s="10">
        <v>27</v>
      </c>
      <c r="H59" s="10"/>
      <c r="I59" s="10"/>
      <c r="J59" s="10">
        <v>0</v>
      </c>
      <c r="K59" s="55">
        <f t="shared" si="0"/>
        <v>0</v>
      </c>
      <c r="L59" s="51">
        <f>'Crawley Receipts'!$F$65</f>
        <v>0.22500000000000001</v>
      </c>
      <c r="M59" s="51">
        <v>27</v>
      </c>
      <c r="N59" s="10"/>
      <c r="O59" s="10"/>
      <c r="P59" s="10"/>
      <c r="Q59" s="51">
        <f t="shared" si="1"/>
        <v>8.3333333333333332E-3</v>
      </c>
      <c r="R59" s="51">
        <f t="shared" si="2"/>
        <v>0.22500000000000001</v>
      </c>
      <c r="S59" s="51">
        <f t="shared" si="3"/>
        <v>0.22500000000000001</v>
      </c>
      <c r="T59" s="10"/>
    </row>
    <row r="60" spans="1:20" x14ac:dyDescent="0.2">
      <c r="A60" s="10" t="s">
        <v>165</v>
      </c>
      <c r="B60" s="10"/>
      <c r="C60" s="10"/>
      <c r="D60" s="10">
        <v>88</v>
      </c>
      <c r="E60" s="10"/>
      <c r="F60" s="10"/>
      <c r="G60" s="10">
        <v>82</v>
      </c>
      <c r="H60" s="10"/>
      <c r="I60" s="10">
        <v>6</v>
      </c>
      <c r="J60" s="10"/>
      <c r="K60" s="55">
        <f t="shared" si="0"/>
        <v>0</v>
      </c>
      <c r="L60" s="51">
        <f>'Crawley Receipts'!F66</f>
        <v>0.25833333333333336</v>
      </c>
      <c r="M60" s="51">
        <v>62</v>
      </c>
      <c r="N60" s="47">
        <f>'Crawley Receipts'!F67</f>
        <v>4.1666666666666664E-2</v>
      </c>
      <c r="O60" s="10">
        <v>20</v>
      </c>
      <c r="P60" s="10"/>
      <c r="Q60" s="51">
        <f t="shared" si="1"/>
        <v>3.6585365853658543E-3</v>
      </c>
      <c r="R60" s="51">
        <f t="shared" si="2"/>
        <v>0.32195121951219519</v>
      </c>
      <c r="S60" s="51">
        <f t="shared" si="3"/>
        <v>0.30000000000000004</v>
      </c>
      <c r="T60" s="10" t="s">
        <v>371</v>
      </c>
    </row>
    <row r="61" spans="1:20" x14ac:dyDescent="0.2">
      <c r="A61" s="10" t="s">
        <v>123</v>
      </c>
      <c r="B61" s="10"/>
      <c r="C61" s="10"/>
      <c r="D61" s="10"/>
      <c r="E61" s="10"/>
      <c r="F61" s="10"/>
      <c r="G61" s="10"/>
      <c r="H61" s="10"/>
      <c r="I61" s="10"/>
      <c r="J61" s="10"/>
      <c r="K61" s="55">
        <f t="shared" si="0"/>
        <v>0</v>
      </c>
      <c r="L61" s="51"/>
      <c r="M61" s="51"/>
      <c r="N61" s="10"/>
      <c r="O61" s="10"/>
      <c r="P61" s="10"/>
      <c r="Q61" s="51" t="str">
        <f t="shared" si="1"/>
        <v/>
      </c>
      <c r="R61" s="51" t="str">
        <f t="shared" si="2"/>
        <v/>
      </c>
      <c r="S61" s="51" t="str">
        <f t="shared" si="3"/>
        <v/>
      </c>
      <c r="T61" s="10"/>
    </row>
    <row r="62" spans="1:20" x14ac:dyDescent="0.2">
      <c r="A62" s="10" t="s">
        <v>124</v>
      </c>
      <c r="B62" s="10"/>
      <c r="C62" s="10"/>
      <c r="D62" s="10"/>
      <c r="E62" s="10"/>
      <c r="F62" s="10"/>
      <c r="G62" s="10"/>
      <c r="H62" s="10"/>
      <c r="I62" s="10"/>
      <c r="J62" s="10"/>
      <c r="K62" s="55">
        <f t="shared" si="0"/>
        <v>0</v>
      </c>
      <c r="L62" s="51"/>
      <c r="M62" s="51"/>
      <c r="N62" s="10"/>
      <c r="O62" s="10"/>
      <c r="P62" s="10"/>
      <c r="Q62" s="51" t="str">
        <f t="shared" si="1"/>
        <v/>
      </c>
      <c r="R62" s="51" t="str">
        <f t="shared" si="2"/>
        <v/>
      </c>
      <c r="S62" s="51" t="str">
        <f t="shared" si="3"/>
        <v/>
      </c>
      <c r="T62" s="10"/>
    </row>
    <row r="63" spans="1:20" s="20" customFormat="1" x14ac:dyDescent="0.2">
      <c r="A63" s="101" t="s">
        <v>9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2"/>
      <c r="L63" s="103"/>
      <c r="M63" s="103"/>
      <c r="N63" s="101"/>
      <c r="O63" s="101"/>
      <c r="P63" s="101"/>
      <c r="Q63" s="103"/>
      <c r="R63" s="103"/>
      <c r="S63" s="103">
        <f>SUM(S43:S62)</f>
        <v>1.8</v>
      </c>
      <c r="T63" s="101"/>
    </row>
    <row r="64" spans="1:20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55">
        <f t="shared" si="0"/>
        <v>0</v>
      </c>
      <c r="L64" s="51"/>
      <c r="M64" s="51"/>
      <c r="N64" s="10"/>
      <c r="O64" s="10"/>
      <c r="P64" s="10"/>
      <c r="Q64" s="51" t="str">
        <f t="shared" si="1"/>
        <v/>
      </c>
      <c r="R64" s="51" t="str">
        <f t="shared" si="2"/>
        <v/>
      </c>
      <c r="S64" s="51" t="str">
        <f t="shared" si="3"/>
        <v/>
      </c>
      <c r="T64" s="10"/>
    </row>
    <row r="65" spans="1:20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55">
        <f t="shared" si="0"/>
        <v>0</v>
      </c>
      <c r="L65" s="51"/>
      <c r="M65" s="51"/>
      <c r="N65" s="10"/>
      <c r="O65" s="10"/>
      <c r="P65" s="10"/>
      <c r="Q65" s="51" t="str">
        <f t="shared" si="1"/>
        <v/>
      </c>
      <c r="R65" s="51" t="str">
        <f t="shared" si="2"/>
        <v/>
      </c>
      <c r="S65" s="51" t="str">
        <f t="shared" si="3"/>
        <v/>
      </c>
      <c r="T65" s="10"/>
    </row>
    <row r="66" spans="1:20" ht="17" x14ac:dyDescent="0.2">
      <c r="A66" s="54" t="s">
        <v>125</v>
      </c>
      <c r="B66" s="49"/>
      <c r="C66" s="49"/>
      <c r="D66" s="10"/>
      <c r="E66" s="10"/>
      <c r="F66" s="10"/>
      <c r="G66" s="10"/>
      <c r="H66" s="10"/>
      <c r="I66" s="10"/>
      <c r="J66" s="10"/>
      <c r="K66" s="55">
        <f t="shared" si="0"/>
        <v>0</v>
      </c>
      <c r="L66" s="51"/>
      <c r="M66" s="51"/>
      <c r="N66" s="10"/>
      <c r="O66" s="10"/>
      <c r="P66" s="10"/>
      <c r="Q66" s="51" t="str">
        <f t="shared" ref="Q66:Q97" si="4">IFERROR((L66+N66)/(M66+O66),"")</f>
        <v/>
      </c>
      <c r="R66" s="51" t="str">
        <f t="shared" ref="R66:R97" si="5">IFERROR(D66*Q66,"")</f>
        <v/>
      </c>
      <c r="S66" s="51" t="str">
        <f t="shared" ref="S66:S97" si="6">IFERROR(Q66*G66,"")</f>
        <v/>
      </c>
      <c r="T66" s="10"/>
    </row>
    <row r="67" spans="1:20" ht="17" x14ac:dyDescent="0.2">
      <c r="A67" s="53" t="s">
        <v>126</v>
      </c>
      <c r="B67" s="10"/>
      <c r="C67" s="10"/>
      <c r="D67" s="10">
        <v>125</v>
      </c>
      <c r="E67" s="10"/>
      <c r="F67" s="10"/>
      <c r="G67" s="10">
        <v>95</v>
      </c>
      <c r="H67" s="10"/>
      <c r="I67" s="10">
        <v>30</v>
      </c>
      <c r="J67" s="10"/>
      <c r="K67" s="55">
        <f t="shared" si="0"/>
        <v>0</v>
      </c>
      <c r="L67" s="51">
        <f>'Crawley Receipts'!F71</f>
        <v>0.39583333333333331</v>
      </c>
      <c r="M67" s="51">
        <v>95</v>
      </c>
      <c r="N67" s="10"/>
      <c r="O67" s="10"/>
      <c r="P67" s="10"/>
      <c r="Q67" s="51">
        <f t="shared" si="4"/>
        <v>4.1666666666666666E-3</v>
      </c>
      <c r="R67" s="51">
        <f t="shared" si="5"/>
        <v>0.52083333333333337</v>
      </c>
      <c r="S67" s="51">
        <f t="shared" si="6"/>
        <v>0.39583333333333331</v>
      </c>
      <c r="T67" s="10" t="s">
        <v>371</v>
      </c>
    </row>
    <row r="68" spans="1:20" x14ac:dyDescent="0.2">
      <c r="A68" s="10" t="s">
        <v>127</v>
      </c>
      <c r="B68" s="10"/>
      <c r="C68" s="10"/>
      <c r="D68" s="10"/>
      <c r="E68" s="10"/>
      <c r="F68" s="10"/>
      <c r="G68" s="10"/>
      <c r="H68" s="10"/>
      <c r="I68" s="10"/>
      <c r="J68" s="10"/>
      <c r="K68" s="55">
        <f t="shared" si="0"/>
        <v>0</v>
      </c>
      <c r="L68" s="51"/>
      <c r="M68" s="51"/>
      <c r="N68" s="10"/>
      <c r="O68" s="10"/>
      <c r="P68" s="10"/>
      <c r="Q68" s="51" t="str">
        <f t="shared" si="4"/>
        <v/>
      </c>
      <c r="R68" s="51" t="str">
        <f t="shared" si="5"/>
        <v/>
      </c>
      <c r="S68" s="51" t="str">
        <f t="shared" si="6"/>
        <v/>
      </c>
      <c r="T68" s="10"/>
    </row>
    <row r="69" spans="1:20" x14ac:dyDescent="0.2">
      <c r="A69" s="10" t="s">
        <v>128</v>
      </c>
      <c r="B69" s="10"/>
      <c r="C69" s="10"/>
      <c r="D69" s="10"/>
      <c r="E69" s="10"/>
      <c r="F69" s="10"/>
      <c r="G69" s="10"/>
      <c r="H69" s="10"/>
      <c r="I69" s="10"/>
      <c r="J69" s="10"/>
      <c r="K69" s="55">
        <f t="shared" si="0"/>
        <v>0</v>
      </c>
      <c r="L69" s="51"/>
      <c r="M69" s="51"/>
      <c r="N69" s="10"/>
      <c r="O69" s="10"/>
      <c r="P69" s="10"/>
      <c r="Q69" s="51" t="str">
        <f t="shared" si="4"/>
        <v/>
      </c>
      <c r="R69" s="51" t="str">
        <f t="shared" si="5"/>
        <v/>
      </c>
      <c r="S69" s="51" t="str">
        <f t="shared" si="6"/>
        <v/>
      </c>
      <c r="T69" s="10"/>
    </row>
    <row r="70" spans="1:20" x14ac:dyDescent="0.2">
      <c r="A70" s="10" t="s">
        <v>129</v>
      </c>
      <c r="B70" s="10"/>
      <c r="C70" s="10"/>
      <c r="D70" s="10"/>
      <c r="E70" s="10"/>
      <c r="F70" s="10"/>
      <c r="G70" s="10"/>
      <c r="H70" s="10"/>
      <c r="I70" s="10"/>
      <c r="J70" s="10"/>
      <c r="K70" s="55">
        <f t="shared" si="0"/>
        <v>0</v>
      </c>
      <c r="L70" s="51"/>
      <c r="M70" s="51"/>
      <c r="N70" s="10"/>
      <c r="O70" s="10"/>
      <c r="P70" s="10"/>
      <c r="Q70" s="51" t="str">
        <f t="shared" si="4"/>
        <v/>
      </c>
      <c r="R70" s="51" t="str">
        <f t="shared" si="5"/>
        <v/>
      </c>
      <c r="S70" s="51" t="str">
        <f t="shared" si="6"/>
        <v/>
      </c>
      <c r="T70" s="10"/>
    </row>
    <row r="71" spans="1:20" s="20" customFormat="1" x14ac:dyDescent="0.2">
      <c r="A71" s="101" t="s">
        <v>9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2">
        <f t="shared" ref="K71:K95" si="7">B71+C71+D71+E71-F71-G71-H71-I71</f>
        <v>0</v>
      </c>
      <c r="L71" s="103"/>
      <c r="M71" s="103"/>
      <c r="N71" s="101"/>
      <c r="O71" s="101"/>
      <c r="P71" s="101"/>
      <c r="Q71" s="103" t="str">
        <f t="shared" si="4"/>
        <v/>
      </c>
      <c r="R71" s="103" t="str">
        <f t="shared" si="5"/>
        <v/>
      </c>
      <c r="S71" s="103">
        <f>SUM(S67:S70)</f>
        <v>0.39583333333333331</v>
      </c>
      <c r="T71" s="101"/>
    </row>
    <row r="72" spans="1:20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55">
        <f t="shared" si="7"/>
        <v>0</v>
      </c>
      <c r="L72" s="51"/>
      <c r="M72" s="51"/>
      <c r="N72" s="10"/>
      <c r="O72" s="10"/>
      <c r="P72" s="10"/>
      <c r="Q72" s="51" t="str">
        <f t="shared" si="4"/>
        <v/>
      </c>
      <c r="R72" s="51" t="str">
        <f t="shared" si="5"/>
        <v/>
      </c>
      <c r="S72" s="51" t="str">
        <f t="shared" si="6"/>
        <v/>
      </c>
      <c r="T72" s="10"/>
    </row>
    <row r="73" spans="1:20" x14ac:dyDescent="0.2">
      <c r="A73" s="9" t="s">
        <v>130</v>
      </c>
      <c r="B73" s="49"/>
      <c r="C73" s="49"/>
      <c r="D73" s="10"/>
      <c r="E73" s="10"/>
      <c r="F73" s="10"/>
      <c r="G73" s="10"/>
      <c r="H73" s="10"/>
      <c r="I73" s="10"/>
      <c r="J73" s="10"/>
      <c r="K73" s="55">
        <f t="shared" si="7"/>
        <v>0</v>
      </c>
      <c r="L73" s="51"/>
      <c r="M73" s="51"/>
      <c r="N73" s="10"/>
      <c r="O73" s="10"/>
      <c r="P73" s="10"/>
      <c r="Q73" s="51" t="str">
        <f t="shared" si="4"/>
        <v/>
      </c>
      <c r="R73" s="51" t="str">
        <f t="shared" si="5"/>
        <v/>
      </c>
      <c r="S73" s="51" t="str">
        <f t="shared" si="6"/>
        <v/>
      </c>
      <c r="T73" s="10"/>
    </row>
    <row r="74" spans="1:20" x14ac:dyDescent="0.2">
      <c r="A74" s="10" t="s">
        <v>131</v>
      </c>
      <c r="B74" s="10"/>
      <c r="C74" s="10"/>
      <c r="D74" s="10"/>
      <c r="E74" s="10"/>
      <c r="F74" s="10"/>
      <c r="G74" s="10"/>
      <c r="H74" s="10"/>
      <c r="I74" s="10"/>
      <c r="J74" s="10"/>
      <c r="K74" s="55">
        <f t="shared" si="7"/>
        <v>0</v>
      </c>
      <c r="L74" s="51"/>
      <c r="M74" s="51"/>
      <c r="N74" s="10"/>
      <c r="O74" s="10"/>
      <c r="P74" s="10"/>
      <c r="Q74" s="51" t="str">
        <f t="shared" si="4"/>
        <v/>
      </c>
      <c r="R74" s="51" t="str">
        <f t="shared" si="5"/>
        <v/>
      </c>
      <c r="S74" s="51" t="str">
        <f t="shared" si="6"/>
        <v/>
      </c>
      <c r="T74" s="10"/>
    </row>
    <row r="75" spans="1:20" x14ac:dyDescent="0.2">
      <c r="A75" s="10" t="s">
        <v>132</v>
      </c>
      <c r="B75" s="10"/>
      <c r="C75" s="10"/>
      <c r="D75" s="10"/>
      <c r="E75" s="10"/>
      <c r="F75" s="10"/>
      <c r="G75" s="10"/>
      <c r="H75" s="10"/>
      <c r="I75" s="10"/>
      <c r="J75" s="10"/>
      <c r="K75" s="55">
        <f t="shared" si="7"/>
        <v>0</v>
      </c>
      <c r="L75" s="51"/>
      <c r="M75" s="51"/>
      <c r="N75" s="10"/>
      <c r="O75" s="10"/>
      <c r="P75" s="10"/>
      <c r="Q75" s="51" t="str">
        <f t="shared" si="4"/>
        <v/>
      </c>
      <c r="R75" s="51" t="str">
        <f t="shared" si="5"/>
        <v/>
      </c>
      <c r="S75" s="51" t="str">
        <f t="shared" si="6"/>
        <v/>
      </c>
      <c r="T75" s="10"/>
    </row>
    <row r="76" spans="1:20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55">
        <f t="shared" si="7"/>
        <v>0</v>
      </c>
      <c r="L76" s="51"/>
      <c r="M76" s="51"/>
      <c r="N76" s="10"/>
      <c r="O76" s="10"/>
      <c r="P76" s="10"/>
      <c r="Q76" s="51" t="str">
        <f t="shared" si="4"/>
        <v/>
      </c>
      <c r="R76" s="51" t="str">
        <f t="shared" si="5"/>
        <v/>
      </c>
      <c r="S76" s="51" t="str">
        <f t="shared" si="6"/>
        <v/>
      </c>
      <c r="T76" s="10"/>
    </row>
    <row r="77" spans="1:20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55">
        <f t="shared" si="7"/>
        <v>0</v>
      </c>
      <c r="L77" s="51"/>
      <c r="M77" s="51"/>
      <c r="N77" s="10"/>
      <c r="O77" s="10"/>
      <c r="P77" s="10"/>
      <c r="Q77" s="51" t="str">
        <f t="shared" si="4"/>
        <v/>
      </c>
      <c r="R77" s="51" t="str">
        <f t="shared" si="5"/>
        <v/>
      </c>
      <c r="S77" s="51" t="str">
        <f t="shared" si="6"/>
        <v/>
      </c>
      <c r="T77" s="10"/>
    </row>
    <row r="78" spans="1:20" x14ac:dyDescent="0.2">
      <c r="A78" s="9" t="s">
        <v>154</v>
      </c>
      <c r="B78" s="10"/>
      <c r="C78" s="10"/>
      <c r="D78" s="10"/>
      <c r="E78" s="10"/>
      <c r="F78" s="10"/>
      <c r="G78" s="10"/>
      <c r="H78" s="10"/>
      <c r="I78" s="10"/>
      <c r="J78" s="10"/>
      <c r="K78" s="55">
        <f t="shared" si="7"/>
        <v>0</v>
      </c>
      <c r="L78" s="51"/>
      <c r="M78" s="51"/>
      <c r="N78" s="10"/>
      <c r="O78" s="10"/>
      <c r="P78" s="10"/>
      <c r="Q78" s="51" t="str">
        <f t="shared" si="4"/>
        <v/>
      </c>
      <c r="R78" s="51" t="str">
        <f t="shared" si="5"/>
        <v/>
      </c>
      <c r="S78" s="51" t="str">
        <f t="shared" si="6"/>
        <v/>
      </c>
      <c r="T78" s="10"/>
    </row>
    <row r="79" spans="1:20" x14ac:dyDescent="0.2">
      <c r="A79" s="10" t="s">
        <v>155</v>
      </c>
      <c r="B79" s="10"/>
      <c r="C79" s="10"/>
      <c r="D79" s="10"/>
      <c r="E79" s="10"/>
      <c r="F79" s="10"/>
      <c r="G79" s="10"/>
      <c r="H79" s="10"/>
      <c r="I79" s="10"/>
      <c r="J79" s="10"/>
      <c r="K79" s="55">
        <f t="shared" si="7"/>
        <v>0</v>
      </c>
      <c r="L79" s="51"/>
      <c r="M79" s="51"/>
      <c r="N79" s="10"/>
      <c r="O79" s="10"/>
      <c r="P79" s="10"/>
      <c r="Q79" s="51" t="str">
        <f t="shared" si="4"/>
        <v/>
      </c>
      <c r="R79" s="51" t="str">
        <f t="shared" si="5"/>
        <v/>
      </c>
      <c r="S79" s="51" t="str">
        <f t="shared" si="6"/>
        <v/>
      </c>
      <c r="T79" s="10"/>
    </row>
    <row r="80" spans="1:20" x14ac:dyDescent="0.2">
      <c r="A80" s="10" t="s">
        <v>156</v>
      </c>
      <c r="B80" s="10"/>
      <c r="C80" s="10"/>
      <c r="D80" s="10"/>
      <c r="E80" s="10"/>
      <c r="F80" s="10"/>
      <c r="G80" s="10"/>
      <c r="H80" s="10"/>
      <c r="I80" s="10"/>
      <c r="J80" s="10"/>
      <c r="K80" s="55">
        <f t="shared" si="7"/>
        <v>0</v>
      </c>
      <c r="L80" s="51"/>
      <c r="M80" s="51"/>
      <c r="N80" s="10"/>
      <c r="O80" s="10"/>
      <c r="P80" s="10"/>
      <c r="Q80" s="51" t="str">
        <f t="shared" si="4"/>
        <v/>
      </c>
      <c r="R80" s="51" t="str">
        <f t="shared" si="5"/>
        <v/>
      </c>
      <c r="S80" s="51" t="str">
        <f t="shared" si="6"/>
        <v/>
      </c>
      <c r="T80" s="10"/>
    </row>
    <row r="81" spans="1:20" x14ac:dyDescent="0.2">
      <c r="A81" s="10" t="s">
        <v>157</v>
      </c>
      <c r="B81" s="10"/>
      <c r="C81" s="10"/>
      <c r="D81" s="10"/>
      <c r="E81" s="10"/>
      <c r="F81" s="10"/>
      <c r="G81" s="10"/>
      <c r="H81" s="10"/>
      <c r="I81" s="10"/>
      <c r="J81" s="10"/>
      <c r="K81" s="55">
        <f t="shared" si="7"/>
        <v>0</v>
      </c>
      <c r="L81" s="51"/>
      <c r="M81" s="51"/>
      <c r="N81" s="10"/>
      <c r="O81" s="10"/>
      <c r="P81" s="10"/>
      <c r="Q81" s="51" t="str">
        <f t="shared" si="4"/>
        <v/>
      </c>
      <c r="R81" s="51" t="str">
        <f t="shared" si="5"/>
        <v/>
      </c>
      <c r="S81" s="51" t="str">
        <f t="shared" si="6"/>
        <v/>
      </c>
      <c r="T81" s="10"/>
    </row>
    <row r="82" spans="1:20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55">
        <f t="shared" si="7"/>
        <v>0</v>
      </c>
      <c r="L82" s="51"/>
      <c r="M82" s="51"/>
      <c r="N82" s="10"/>
      <c r="O82" s="10"/>
      <c r="P82" s="10"/>
      <c r="Q82" s="51" t="str">
        <f t="shared" si="4"/>
        <v/>
      </c>
      <c r="R82" s="51" t="str">
        <f t="shared" si="5"/>
        <v/>
      </c>
      <c r="S82" s="51" t="str">
        <f t="shared" si="6"/>
        <v/>
      </c>
      <c r="T82" s="10"/>
    </row>
    <row r="83" spans="1:20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55">
        <f t="shared" si="7"/>
        <v>0</v>
      </c>
      <c r="L83" s="51"/>
      <c r="M83" s="51"/>
      <c r="N83" s="10"/>
      <c r="O83" s="10"/>
      <c r="P83" s="10"/>
      <c r="Q83" s="51" t="str">
        <f t="shared" si="4"/>
        <v/>
      </c>
      <c r="R83" s="51" t="str">
        <f t="shared" si="5"/>
        <v/>
      </c>
      <c r="S83" s="51" t="str">
        <f t="shared" si="6"/>
        <v/>
      </c>
      <c r="T83" s="10"/>
    </row>
    <row r="84" spans="1:20" x14ac:dyDescent="0.2">
      <c r="A84" s="9" t="s">
        <v>158</v>
      </c>
      <c r="B84" s="49"/>
      <c r="C84" s="49"/>
      <c r="D84" s="10"/>
      <c r="E84" s="10"/>
      <c r="F84" s="10"/>
      <c r="G84" s="10"/>
      <c r="H84" s="10"/>
      <c r="I84" s="10"/>
      <c r="J84" s="10"/>
      <c r="K84" s="55">
        <f t="shared" si="7"/>
        <v>0</v>
      </c>
      <c r="L84" s="51"/>
      <c r="M84" s="51"/>
      <c r="N84" s="10"/>
      <c r="O84" s="10"/>
      <c r="P84" s="10"/>
      <c r="Q84" s="51" t="str">
        <f t="shared" si="4"/>
        <v/>
      </c>
      <c r="R84" s="51" t="str">
        <f t="shared" si="5"/>
        <v/>
      </c>
      <c r="S84" s="51" t="str">
        <f t="shared" si="6"/>
        <v/>
      </c>
      <c r="T84" s="10"/>
    </row>
    <row r="85" spans="1:20" x14ac:dyDescent="0.2">
      <c r="A85" s="10" t="s">
        <v>159</v>
      </c>
      <c r="B85" s="10"/>
      <c r="C85" s="10"/>
      <c r="D85" s="10">
        <f>5*0.04+1*Assumptions!$E$4</f>
        <v>0.20571428571428574</v>
      </c>
      <c r="E85" s="10"/>
      <c r="F85" s="10"/>
      <c r="G85" s="10">
        <f>5*0.04+1*Assumptions!$E$4</f>
        <v>0.20571428571428574</v>
      </c>
      <c r="H85" s="10"/>
      <c r="I85" s="10"/>
      <c r="J85" s="10"/>
      <c r="K85" s="55">
        <f t="shared" si="7"/>
        <v>0</v>
      </c>
      <c r="L85" s="51">
        <f>'Crawley Receipts'!F68</f>
        <v>7.5000000000000011E-2</v>
      </c>
      <c r="M85" s="10">
        <f>5*0.04+1*Assumptions!$E$4</f>
        <v>0.20571428571428574</v>
      </c>
      <c r="N85" s="10"/>
      <c r="O85" s="10"/>
      <c r="P85" s="10">
        <f>5*0.04+1*Assumptions!$E$4</f>
        <v>0.20571428571428574</v>
      </c>
      <c r="Q85" s="51">
        <f t="shared" si="4"/>
        <v>0.36458333333333337</v>
      </c>
      <c r="R85" s="51">
        <f t="shared" si="5"/>
        <v>7.5000000000000011E-2</v>
      </c>
      <c r="S85" s="51">
        <f t="shared" si="6"/>
        <v>7.5000000000000011E-2</v>
      </c>
      <c r="T85" s="10"/>
    </row>
    <row r="86" spans="1:20" x14ac:dyDescent="0.2">
      <c r="A86" s="10" t="s">
        <v>160</v>
      </c>
      <c r="B86" s="10"/>
      <c r="C86" s="10"/>
      <c r="D86" s="10">
        <v>168</v>
      </c>
      <c r="E86" s="10"/>
      <c r="F86" s="10"/>
      <c r="G86" s="10">
        <v>148</v>
      </c>
      <c r="H86" s="10"/>
      <c r="I86" s="10">
        <v>20</v>
      </c>
      <c r="J86" s="10"/>
      <c r="K86" s="55">
        <f t="shared" si="7"/>
        <v>0</v>
      </c>
      <c r="L86" s="51">
        <f>'Crawley Receipts'!F69</f>
        <v>3.3041666666666667</v>
      </c>
      <c r="M86" s="51">
        <f>P86</f>
        <v>7.98</v>
      </c>
      <c r="N86" s="10"/>
      <c r="O86" s="10"/>
      <c r="P86" s="10">
        <f>7.5+12*0.04</f>
        <v>7.98</v>
      </c>
      <c r="Q86" s="51">
        <f t="shared" si="4"/>
        <v>0.41405597326649957</v>
      </c>
      <c r="R86" s="51">
        <f t="shared" si="5"/>
        <v>69.561403508771932</v>
      </c>
      <c r="S86" s="51">
        <f t="shared" si="6"/>
        <v>61.280284043441938</v>
      </c>
      <c r="T86" s="10"/>
    </row>
    <row r="87" spans="1:20" s="20" customFormat="1" x14ac:dyDescent="0.2">
      <c r="A87" s="101" t="s">
        <v>9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2">
        <f t="shared" si="7"/>
        <v>0</v>
      </c>
      <c r="L87" s="103"/>
      <c r="M87" s="103"/>
      <c r="N87" s="101"/>
      <c r="O87" s="101"/>
      <c r="P87" s="101"/>
      <c r="Q87" s="103" t="str">
        <f t="shared" si="4"/>
        <v/>
      </c>
      <c r="R87" s="103" t="str">
        <f t="shared" si="5"/>
        <v/>
      </c>
      <c r="S87" s="103">
        <f>SUM(S85:S86)</f>
        <v>61.355284043441941</v>
      </c>
      <c r="T87" s="101"/>
    </row>
    <row r="88" spans="1:2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55">
        <f t="shared" si="7"/>
        <v>0</v>
      </c>
      <c r="L88" s="51"/>
      <c r="M88" s="51"/>
      <c r="N88" s="10"/>
      <c r="O88" s="10"/>
      <c r="P88" s="10"/>
      <c r="Q88" s="51" t="str">
        <f t="shared" si="4"/>
        <v/>
      </c>
      <c r="R88" s="51" t="str">
        <f t="shared" si="5"/>
        <v/>
      </c>
      <c r="S88" s="51" t="str">
        <f t="shared" si="6"/>
        <v/>
      </c>
      <c r="T88" s="10"/>
    </row>
    <row r="89" spans="1:20" x14ac:dyDescent="0.2">
      <c r="A89" s="9" t="s">
        <v>136</v>
      </c>
      <c r="B89" s="49"/>
      <c r="C89" s="49"/>
      <c r="D89" s="10">
        <f>15*0.04+5*Assumptions!$E$4</f>
        <v>0.62857142857142856</v>
      </c>
      <c r="E89" s="10"/>
      <c r="F89" s="10"/>
      <c r="G89" s="10">
        <f>15*0.04+5*Assumptions!$E$4</f>
        <v>0.62857142857142856</v>
      </c>
      <c r="H89" s="10"/>
      <c r="I89" s="10"/>
      <c r="J89" s="10"/>
      <c r="K89" s="55">
        <f t="shared" si="7"/>
        <v>0</v>
      </c>
      <c r="L89" s="51"/>
      <c r="M89" s="10">
        <f>15*0.04+5*Assumptions!$E$4</f>
        <v>0.62857142857142856</v>
      </c>
      <c r="N89" s="10"/>
      <c r="P89" s="10">
        <f>15*0.04+5*Assumptions!$E$4</f>
        <v>0.62857142857142856</v>
      </c>
      <c r="Q89" s="51">
        <f t="shared" si="4"/>
        <v>0</v>
      </c>
      <c r="R89" s="51">
        <f t="shared" si="5"/>
        <v>0</v>
      </c>
      <c r="S89" s="51">
        <f t="shared" si="6"/>
        <v>0</v>
      </c>
      <c r="T89" s="10"/>
    </row>
    <row r="90" spans="1:20" s="20" customFormat="1" x14ac:dyDescent="0.2">
      <c r="A90" s="101" t="s">
        <v>9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2">
        <f t="shared" si="7"/>
        <v>0</v>
      </c>
      <c r="L90" s="103"/>
      <c r="M90" s="103"/>
      <c r="N90" s="101"/>
      <c r="O90" s="101"/>
      <c r="P90" s="101"/>
      <c r="Q90" s="103" t="str">
        <f t="shared" si="4"/>
        <v/>
      </c>
      <c r="R90" s="103" t="str">
        <f t="shared" si="5"/>
        <v/>
      </c>
      <c r="S90" s="103">
        <f>SUM(S89)</f>
        <v>0</v>
      </c>
      <c r="T90" s="101"/>
    </row>
    <row r="91" spans="1:20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55">
        <f t="shared" si="7"/>
        <v>0</v>
      </c>
      <c r="L91" s="51"/>
      <c r="M91" s="51"/>
      <c r="N91" s="10"/>
      <c r="O91" s="10"/>
      <c r="P91" s="10"/>
      <c r="Q91" s="51" t="str">
        <f t="shared" si="4"/>
        <v/>
      </c>
      <c r="R91" s="51" t="str">
        <f t="shared" si="5"/>
        <v/>
      </c>
      <c r="S91" s="51" t="str">
        <f t="shared" si="6"/>
        <v/>
      </c>
      <c r="T91" s="10"/>
    </row>
    <row r="92" spans="1:20" x14ac:dyDescent="0.2">
      <c r="A92" s="9" t="s">
        <v>161</v>
      </c>
      <c r="B92" s="10"/>
      <c r="C92" s="10"/>
      <c r="D92" s="10"/>
      <c r="E92" s="10"/>
      <c r="F92" s="10"/>
      <c r="G92" s="10"/>
      <c r="H92" s="10"/>
      <c r="I92" s="10"/>
      <c r="J92" s="10"/>
      <c r="K92" s="55">
        <f t="shared" si="7"/>
        <v>0</v>
      </c>
      <c r="L92" s="51"/>
      <c r="M92" s="51"/>
      <c r="N92" s="10"/>
      <c r="O92" s="10"/>
      <c r="P92" s="10"/>
      <c r="Q92" s="51" t="str">
        <f t="shared" si="4"/>
        <v/>
      </c>
      <c r="R92" s="51" t="str">
        <f t="shared" si="5"/>
        <v/>
      </c>
      <c r="S92" s="51" t="str">
        <f t="shared" si="6"/>
        <v/>
      </c>
      <c r="T92" s="10"/>
    </row>
    <row r="93" spans="1:2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55">
        <f t="shared" si="7"/>
        <v>0</v>
      </c>
      <c r="L93" s="51"/>
      <c r="M93" s="51"/>
      <c r="N93" s="10"/>
      <c r="O93" s="10"/>
      <c r="P93" s="10"/>
      <c r="Q93" s="51" t="str">
        <f t="shared" si="4"/>
        <v/>
      </c>
      <c r="R93" s="51" t="str">
        <f t="shared" si="5"/>
        <v/>
      </c>
      <c r="S93" s="51" t="str">
        <f t="shared" si="6"/>
        <v/>
      </c>
      <c r="T93" s="10"/>
    </row>
    <row r="94" spans="1:20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55">
        <f t="shared" si="7"/>
        <v>0</v>
      </c>
      <c r="L94" s="51"/>
      <c r="M94" s="51"/>
      <c r="N94" s="10"/>
      <c r="O94" s="10"/>
      <c r="P94" s="10"/>
      <c r="Q94" s="51" t="str">
        <f t="shared" si="4"/>
        <v/>
      </c>
      <c r="R94" s="51" t="str">
        <f t="shared" si="5"/>
        <v/>
      </c>
      <c r="S94" s="51" t="str">
        <f t="shared" si="6"/>
        <v/>
      </c>
      <c r="T94" s="10"/>
    </row>
    <row r="95" spans="1:20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55">
        <f t="shared" si="7"/>
        <v>0</v>
      </c>
      <c r="L95" s="51"/>
      <c r="M95" s="51"/>
      <c r="N95" s="10"/>
      <c r="O95" s="10"/>
      <c r="P95" s="10"/>
      <c r="Q95" s="51" t="str">
        <f t="shared" si="4"/>
        <v/>
      </c>
      <c r="R95" s="51" t="str">
        <f t="shared" si="5"/>
        <v/>
      </c>
      <c r="S95" s="51" t="str">
        <f t="shared" si="6"/>
        <v/>
      </c>
      <c r="T95" s="10"/>
    </row>
    <row r="96" spans="1:20" x14ac:dyDescent="0.2">
      <c r="B96" s="49"/>
      <c r="C96" s="49"/>
      <c r="D96" s="10"/>
      <c r="E96" s="10"/>
      <c r="F96" s="10"/>
      <c r="G96" s="10"/>
      <c r="H96" s="10"/>
      <c r="I96" s="10"/>
      <c r="J96" s="10"/>
      <c r="K96" s="55"/>
      <c r="L96" s="51"/>
      <c r="M96" s="51"/>
      <c r="N96" s="10"/>
      <c r="O96" s="10"/>
      <c r="P96" s="10"/>
      <c r="Q96" s="51" t="str">
        <f t="shared" si="4"/>
        <v/>
      </c>
      <c r="R96" s="51" t="str">
        <f t="shared" si="5"/>
        <v/>
      </c>
      <c r="S96" s="51" t="str">
        <f t="shared" si="6"/>
        <v/>
      </c>
      <c r="T96" s="10"/>
    </row>
    <row r="97" spans="1:19" x14ac:dyDescent="0.2">
      <c r="Q97" s="51" t="str">
        <f t="shared" si="4"/>
        <v/>
      </c>
      <c r="R97" s="51" t="str">
        <f t="shared" si="5"/>
        <v/>
      </c>
      <c r="S97" s="51" t="str">
        <f t="shared" si="6"/>
        <v/>
      </c>
    </row>
    <row r="98" spans="1:19" x14ac:dyDescent="0.2">
      <c r="A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B4" sqref="B4"/>
    </sheetView>
  </sheetViews>
  <sheetFormatPr baseColWidth="10" defaultRowHeight="16" x14ac:dyDescent="0.2"/>
  <sheetData>
    <row r="1" spans="1:6" x14ac:dyDescent="0.2">
      <c r="A1" t="s">
        <v>177</v>
      </c>
    </row>
    <row r="3" spans="1:6" x14ac:dyDescent="0.2">
      <c r="B3" s="5" t="s">
        <v>171</v>
      </c>
      <c r="C3" s="5" t="s">
        <v>178</v>
      </c>
      <c r="D3" s="5" t="s">
        <v>182</v>
      </c>
      <c r="E3" s="5" t="s">
        <v>184</v>
      </c>
      <c r="F3" s="5" t="s">
        <v>185</v>
      </c>
    </row>
    <row r="4" spans="1:6" x14ac:dyDescent="0.2">
      <c r="B4" s="5" t="s">
        <v>179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180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181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183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Crawley Overview</vt:lpstr>
      <vt:lpstr>Crawley Receipts</vt:lpstr>
      <vt:lpstr>Crawley Expenses</vt:lpstr>
      <vt:lpstr>Issues of the Grange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2025-09-02T18:33:28Z</dcterms:modified>
</cp:coreProperties>
</file>
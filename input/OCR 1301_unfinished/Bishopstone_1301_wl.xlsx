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iagierok/Dropbox/Physical Capital England/Decennial 2018/Detailed Estimates/Winchester Pipe Rolls/1301-1302/final new agricultural production/"/>
    </mc:Choice>
  </mc:AlternateContent>
  <xr:revisionPtr revIDLastSave="0" documentId="13_ncr:1_{F80F933F-24BD-F943-9FB0-F75AAC700A37}" xr6:coauthVersionLast="47" xr6:coauthVersionMax="47" xr10:uidLastSave="{00000000-0000-0000-0000-000000000000}"/>
  <bookViews>
    <workbookView xWindow="3000" yWindow="500" windowWidth="25160" windowHeight="16600" xr2:uid="{23B83A58-82C6-F74F-B690-D0207AADBAFA}"/>
  </bookViews>
  <sheets>
    <sheet name="Bishopstone Overview" sheetId="5" r:id="rId1"/>
    <sheet name="Bishopstone Receipts" sheetId="1" r:id="rId2"/>
    <sheet name="Bishopstone Expenses" sheetId="2" r:id="rId3"/>
    <sheet name="Issues of the Grange" sheetId="4" r:id="rId4"/>
    <sheet name="Stock" sheetId="6" r:id="rId5"/>
    <sheet name="Assumption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5" i="5" l="1"/>
  <c r="R38" i="6"/>
  <c r="S89" i="6"/>
  <c r="S86" i="6"/>
  <c r="S70" i="6"/>
  <c r="S63" i="6"/>
  <c r="S30" i="6"/>
  <c r="F54" i="5"/>
  <c r="F53" i="5"/>
  <c r="F48" i="5"/>
  <c r="F49" i="5"/>
  <c r="F50" i="5"/>
  <c r="F51" i="5"/>
  <c r="F52" i="5"/>
  <c r="F47" i="5"/>
  <c r="G10" i="5"/>
  <c r="M85" i="6"/>
  <c r="M84" i="6"/>
  <c r="N60" i="6"/>
  <c r="K45" i="6"/>
  <c r="K84" i="6"/>
  <c r="I33" i="6"/>
  <c r="K10" i="4"/>
  <c r="O10" i="4" s="1"/>
  <c r="L23" i="4" s="1"/>
  <c r="L9" i="4"/>
  <c r="N5" i="4"/>
  <c r="L5" i="4"/>
  <c r="I6" i="4"/>
  <c r="C81" i="2"/>
  <c r="B78" i="2"/>
  <c r="D78" i="2"/>
  <c r="C78" i="2"/>
  <c r="C70" i="2"/>
  <c r="D70" i="2"/>
  <c r="C62" i="2"/>
  <c r="D62" i="2"/>
  <c r="B62" i="2"/>
  <c r="C52" i="2"/>
  <c r="D52" i="2"/>
  <c r="B52" i="2"/>
  <c r="C51" i="2"/>
  <c r="D51" i="2"/>
  <c r="C43" i="2"/>
  <c r="D43" i="2"/>
  <c r="B43" i="2"/>
  <c r="C42" i="2"/>
  <c r="D42" i="2"/>
  <c r="C33" i="2"/>
  <c r="D33" i="2"/>
  <c r="B33" i="2"/>
  <c r="C32" i="2"/>
  <c r="D32" i="2"/>
  <c r="C23" i="2"/>
  <c r="D23" i="2"/>
  <c r="C22" i="2"/>
  <c r="D22" i="2"/>
  <c r="C14" i="2"/>
  <c r="C85" i="2" s="1"/>
  <c r="D14" i="2"/>
  <c r="D85" i="2" s="1"/>
  <c r="B14" i="2"/>
  <c r="B85" i="2" s="1"/>
  <c r="C13" i="2"/>
  <c r="D13" i="2"/>
  <c r="D81" i="2" s="1"/>
  <c r="B13" i="2"/>
  <c r="C96" i="1"/>
  <c r="D96" i="1"/>
  <c r="B96" i="1"/>
  <c r="B99" i="1" s="1"/>
  <c r="F95" i="1"/>
  <c r="F94" i="1"/>
  <c r="F93" i="1"/>
  <c r="F92" i="1"/>
  <c r="C89" i="1"/>
  <c r="D89" i="1"/>
  <c r="C77" i="1"/>
  <c r="D77" i="1"/>
  <c r="B77" i="1"/>
  <c r="F73" i="1"/>
  <c r="K8" i="4" s="1"/>
  <c r="F74" i="1"/>
  <c r="K9" i="4" s="1"/>
  <c r="O9" i="4" s="1"/>
  <c r="F75" i="1"/>
  <c r="C65" i="1"/>
  <c r="D65" i="1"/>
  <c r="F55" i="1"/>
  <c r="D36" i="1"/>
  <c r="C22" i="1"/>
  <c r="D22" i="1"/>
  <c r="C14" i="1"/>
  <c r="D14" i="1"/>
  <c r="B14" i="1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2" i="6"/>
  <c r="K33" i="6"/>
  <c r="K34" i="6"/>
  <c r="K35" i="6"/>
  <c r="K37" i="6"/>
  <c r="K38" i="6"/>
  <c r="K41" i="6"/>
  <c r="K42" i="6"/>
  <c r="K43" i="6"/>
  <c r="K44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5" i="6"/>
  <c r="K66" i="6"/>
  <c r="K67" i="6"/>
  <c r="K68" i="6"/>
  <c r="K69" i="6"/>
  <c r="K72" i="6"/>
  <c r="K73" i="6"/>
  <c r="K74" i="6"/>
  <c r="K77" i="6"/>
  <c r="K78" i="6"/>
  <c r="K79" i="6"/>
  <c r="K80" i="6"/>
  <c r="K83" i="6"/>
  <c r="K85" i="6"/>
  <c r="K86" i="6"/>
  <c r="K87" i="6"/>
  <c r="K88" i="6"/>
  <c r="K91" i="6"/>
  <c r="K92" i="6"/>
  <c r="K93" i="6"/>
  <c r="K94" i="6"/>
  <c r="K4" i="6"/>
  <c r="D27" i="1"/>
  <c r="G142" i="5"/>
  <c r="C149" i="5"/>
  <c r="B149" i="5"/>
  <c r="C148" i="5"/>
  <c r="B148" i="5"/>
  <c r="C147" i="5"/>
  <c r="B147" i="5"/>
  <c r="F142" i="5"/>
  <c r="C141" i="5"/>
  <c r="B141" i="5"/>
  <c r="C140" i="5"/>
  <c r="B140" i="5"/>
  <c r="C135" i="5"/>
  <c r="B135" i="5"/>
  <c r="C134" i="5"/>
  <c r="B134" i="5"/>
  <c r="C133" i="5"/>
  <c r="B133" i="5"/>
  <c r="C132" i="5"/>
  <c r="B132" i="5"/>
  <c r="C127" i="5"/>
  <c r="B127" i="5"/>
  <c r="C126" i="5"/>
  <c r="B126" i="5"/>
  <c r="C125" i="5"/>
  <c r="B125" i="5"/>
  <c r="C124" i="5"/>
  <c r="B124" i="5"/>
  <c r="C123" i="5"/>
  <c r="B123" i="5"/>
  <c r="C122" i="5"/>
  <c r="B122" i="5"/>
  <c r="C121" i="5"/>
  <c r="B121" i="5"/>
  <c r="C120" i="5"/>
  <c r="B120" i="5"/>
  <c r="C119" i="5"/>
  <c r="B119" i="5"/>
  <c r="C118" i="5"/>
  <c r="B118" i="5"/>
  <c r="C117" i="5"/>
  <c r="B117" i="5"/>
  <c r="C116" i="5"/>
  <c r="B116" i="5"/>
  <c r="C115" i="5"/>
  <c r="B115" i="5"/>
  <c r="C114" i="5"/>
  <c r="B114" i="5"/>
  <c r="C113" i="5"/>
  <c r="B113" i="5"/>
  <c r="C112" i="5"/>
  <c r="B112" i="5"/>
  <c r="C111" i="5"/>
  <c r="B111" i="5"/>
  <c r="C110" i="5"/>
  <c r="B110" i="5"/>
  <c r="C109" i="5"/>
  <c r="B109" i="5"/>
  <c r="C108" i="5"/>
  <c r="B108" i="5"/>
  <c r="C103" i="5"/>
  <c r="B103" i="5"/>
  <c r="C102" i="5"/>
  <c r="B102" i="5"/>
  <c r="C101" i="5"/>
  <c r="B101" i="5"/>
  <c r="C100" i="5"/>
  <c r="B100" i="5"/>
  <c r="C99" i="5"/>
  <c r="B99" i="5"/>
  <c r="C94" i="5"/>
  <c r="B94" i="5"/>
  <c r="C93" i="5"/>
  <c r="B93" i="5"/>
  <c r="C92" i="5"/>
  <c r="B92" i="5"/>
  <c r="C91" i="5"/>
  <c r="B91" i="5"/>
  <c r="C90" i="5"/>
  <c r="B90" i="5"/>
  <c r="C89" i="5"/>
  <c r="B89" i="5"/>
  <c r="C88" i="5"/>
  <c r="B88" i="5"/>
  <c r="C87" i="5"/>
  <c r="B87" i="5"/>
  <c r="C86" i="5"/>
  <c r="B86" i="5"/>
  <c r="C85" i="5"/>
  <c r="B85" i="5"/>
  <c r="C84" i="5"/>
  <c r="B84" i="5"/>
  <c r="C83" i="5"/>
  <c r="B83" i="5"/>
  <c r="C82" i="5"/>
  <c r="B82" i="5"/>
  <c r="C81" i="5"/>
  <c r="B81" i="5"/>
  <c r="C80" i="5"/>
  <c r="B80" i="5"/>
  <c r="C79" i="5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C69" i="5"/>
  <c r="B69" i="5"/>
  <c r="F101" i="1"/>
  <c r="Q4" i="6"/>
  <c r="S4" i="6" s="1"/>
  <c r="F69" i="5" s="1"/>
  <c r="Q5" i="6"/>
  <c r="Q6" i="6"/>
  <c r="Q7" i="6"/>
  <c r="Q8" i="6"/>
  <c r="Q9" i="6"/>
  <c r="S9" i="6" s="1"/>
  <c r="F74" i="5" s="1"/>
  <c r="Q10" i="6"/>
  <c r="S10" i="6" s="1"/>
  <c r="F75" i="5" s="1"/>
  <c r="Q12" i="6"/>
  <c r="R12" i="6" s="1"/>
  <c r="G77" i="5" s="1"/>
  <c r="Q13" i="6"/>
  <c r="Q14" i="6"/>
  <c r="Q15" i="6"/>
  <c r="Q16" i="6"/>
  <c r="R16" i="6" s="1"/>
  <c r="G81" i="5" s="1"/>
  <c r="Q19" i="6"/>
  <c r="S19" i="6" s="1"/>
  <c r="F84" i="5" s="1"/>
  <c r="Q21" i="6"/>
  <c r="Q23" i="6"/>
  <c r="Q24" i="6"/>
  <c r="R24" i="6" s="1"/>
  <c r="G89" i="5" s="1"/>
  <c r="Q25" i="6"/>
  <c r="Q26" i="6"/>
  <c r="Q27" i="6"/>
  <c r="S27" i="6" s="1"/>
  <c r="F92" i="5" s="1"/>
  <c r="Q28" i="6"/>
  <c r="R28" i="6" s="1"/>
  <c r="G93" i="5" s="1"/>
  <c r="Q29" i="6"/>
  <c r="Q30" i="6"/>
  <c r="Q32" i="6"/>
  <c r="S32" i="6" s="1"/>
  <c r="Q34" i="6"/>
  <c r="S34" i="6" s="1"/>
  <c r="F100" i="5" s="1"/>
  <c r="R35" i="6"/>
  <c r="G101" i="5" s="1"/>
  <c r="Q37" i="6"/>
  <c r="Q38" i="6"/>
  <c r="Q41" i="6"/>
  <c r="S41" i="6" s="1"/>
  <c r="Q42" i="6"/>
  <c r="Q44" i="6"/>
  <c r="R44" i="6" s="1"/>
  <c r="Q46" i="6"/>
  <c r="Q47" i="6"/>
  <c r="Q48" i="6"/>
  <c r="S48" i="6" s="1"/>
  <c r="F113" i="5" s="1"/>
  <c r="Q49" i="6"/>
  <c r="R49" i="6" s="1"/>
  <c r="G114" i="5" s="1"/>
  <c r="Q50" i="6"/>
  <c r="S50" i="6" s="1"/>
  <c r="F115" i="5" s="1"/>
  <c r="Q51" i="6"/>
  <c r="S51" i="6" s="1"/>
  <c r="F116" i="5" s="1"/>
  <c r="Q52" i="6"/>
  <c r="R52" i="6" s="1"/>
  <c r="G117" i="5" s="1"/>
  <c r="Q53" i="6"/>
  <c r="S53" i="6" s="1"/>
  <c r="F118" i="5" s="1"/>
  <c r="Q55" i="6"/>
  <c r="Q56" i="6"/>
  <c r="S56" i="6" s="1"/>
  <c r="F121" i="5" s="1"/>
  <c r="Q57" i="6"/>
  <c r="Q58" i="6"/>
  <c r="Q59" i="6"/>
  <c r="Q61" i="6"/>
  <c r="S61" i="6" s="1"/>
  <c r="F126" i="5" s="1"/>
  <c r="Q62" i="6"/>
  <c r="Q63" i="6"/>
  <c r="Q65" i="6"/>
  <c r="S65" i="6" s="1"/>
  <c r="Q67" i="6"/>
  <c r="S67" i="6" s="1"/>
  <c r="F133" i="5" s="1"/>
  <c r="Q68" i="6"/>
  <c r="S68" i="6" s="1"/>
  <c r="F134" i="5" s="1"/>
  <c r="Q69" i="6"/>
  <c r="S69" i="6" s="1"/>
  <c r="F135" i="5" s="1"/>
  <c r="Q72" i="6"/>
  <c r="Q73" i="6"/>
  <c r="S73" i="6" s="1"/>
  <c r="F140" i="5" s="1"/>
  <c r="Q74" i="6"/>
  <c r="Q77" i="6"/>
  <c r="S77" i="6" s="1"/>
  <c r="Q78" i="6"/>
  <c r="Q79" i="6"/>
  <c r="Q80" i="6"/>
  <c r="R80" i="6" s="1"/>
  <c r="Q83" i="6"/>
  <c r="S83" i="6" s="1"/>
  <c r="Q86" i="6"/>
  <c r="Q87" i="6"/>
  <c r="Q91" i="6"/>
  <c r="S91" i="6" s="1"/>
  <c r="Q92" i="6"/>
  <c r="S92" i="6" s="1"/>
  <c r="Q93" i="6"/>
  <c r="S93" i="6" s="1"/>
  <c r="Q94" i="6"/>
  <c r="E7" i="7"/>
  <c r="D36" i="6" s="1"/>
  <c r="E6" i="7"/>
  <c r="E5" i="7"/>
  <c r="E4" i="7"/>
  <c r="D6" i="7"/>
  <c r="D4" i="7"/>
  <c r="C7" i="7"/>
  <c r="F4" i="7" s="1"/>
  <c r="B23" i="2"/>
  <c r="C39" i="5"/>
  <c r="D39" i="5"/>
  <c r="E39" i="5"/>
  <c r="B39" i="5"/>
  <c r="S5" i="6"/>
  <c r="F70" i="5" s="1"/>
  <c r="S6" i="6"/>
  <c r="F71" i="5" s="1"/>
  <c r="S7" i="6"/>
  <c r="F72" i="5" s="1"/>
  <c r="R8" i="6"/>
  <c r="S14" i="6"/>
  <c r="F79" i="5" s="1"/>
  <c r="S15" i="6"/>
  <c r="F80" i="5" s="1"/>
  <c r="S21" i="6"/>
  <c r="F86" i="5" s="1"/>
  <c r="S23" i="6"/>
  <c r="F88" i="5" s="1"/>
  <c r="S26" i="6"/>
  <c r="F91" i="5" s="1"/>
  <c r="S29" i="6"/>
  <c r="F94" i="5" s="1"/>
  <c r="S33" i="6"/>
  <c r="F99" i="5" s="1"/>
  <c r="S37" i="6"/>
  <c r="F103" i="5" s="1"/>
  <c r="R55" i="6"/>
  <c r="G120" i="5" s="1"/>
  <c r="S57" i="6"/>
  <c r="F122" i="5" s="1"/>
  <c r="S58" i="6"/>
  <c r="F123" i="5" s="1"/>
  <c r="S62" i="6"/>
  <c r="F127" i="5" s="1"/>
  <c r="S72" i="6"/>
  <c r="R74" i="6"/>
  <c r="G141" i="5" s="1"/>
  <c r="S78" i="6"/>
  <c r="S79" i="6"/>
  <c r="S87" i="6"/>
  <c r="S94" i="6"/>
  <c r="Q95" i="6"/>
  <c r="S95" i="6" s="1"/>
  <c r="Q96" i="6"/>
  <c r="S96" i="6" s="1"/>
  <c r="I22" i="4"/>
  <c r="E19" i="4"/>
  <c r="E20" i="4"/>
  <c r="E21" i="4"/>
  <c r="E22" i="4"/>
  <c r="E23" i="4"/>
  <c r="B19" i="4"/>
  <c r="B20" i="4"/>
  <c r="B21" i="4"/>
  <c r="B22" i="4"/>
  <c r="B23" i="4"/>
  <c r="J23" i="4" s="1"/>
  <c r="B52" i="5" s="1"/>
  <c r="B18" i="4"/>
  <c r="F10" i="4"/>
  <c r="F9" i="4"/>
  <c r="F8" i="4"/>
  <c r="F7" i="4"/>
  <c r="F6" i="4"/>
  <c r="I7" i="4"/>
  <c r="L7" i="4" s="1"/>
  <c r="O7" i="4" s="1"/>
  <c r="I8" i="4"/>
  <c r="I9" i="4"/>
  <c r="N22" i="4" s="1"/>
  <c r="I10" i="4"/>
  <c r="L10" i="4" s="1"/>
  <c r="I21" i="4"/>
  <c r="I19" i="4"/>
  <c r="I5" i="4"/>
  <c r="F5" i="4"/>
  <c r="F84" i="2"/>
  <c r="G42" i="5" s="1"/>
  <c r="F83" i="2"/>
  <c r="G38" i="5" s="1"/>
  <c r="F82" i="2"/>
  <c r="G35" i="5" s="1"/>
  <c r="F80" i="2"/>
  <c r="G32" i="5" s="1"/>
  <c r="F77" i="2"/>
  <c r="F75" i="2"/>
  <c r="F74" i="2"/>
  <c r="F73" i="2"/>
  <c r="F69" i="2"/>
  <c r="F68" i="2"/>
  <c r="F67" i="2"/>
  <c r="F66" i="2"/>
  <c r="F65" i="2"/>
  <c r="B70" i="2"/>
  <c r="F61" i="2"/>
  <c r="F59" i="2"/>
  <c r="F58" i="2"/>
  <c r="F57" i="2"/>
  <c r="F56" i="2"/>
  <c r="F55" i="2"/>
  <c r="F50" i="2"/>
  <c r="F49" i="2"/>
  <c r="F48" i="2"/>
  <c r="F47" i="2"/>
  <c r="F46" i="2"/>
  <c r="B51" i="2"/>
  <c r="F41" i="2"/>
  <c r="F40" i="2"/>
  <c r="F39" i="2"/>
  <c r="F38" i="2"/>
  <c r="F37" i="2"/>
  <c r="F36" i="2"/>
  <c r="B42" i="2"/>
  <c r="B32" i="2"/>
  <c r="B81" i="2" s="1"/>
  <c r="F31" i="2"/>
  <c r="F27" i="2"/>
  <c r="F28" i="2"/>
  <c r="F29" i="2"/>
  <c r="F30" i="2"/>
  <c r="F26" i="2"/>
  <c r="F18" i="2"/>
  <c r="F19" i="2"/>
  <c r="F20" i="2"/>
  <c r="F21" i="2"/>
  <c r="F17" i="2"/>
  <c r="B22" i="2"/>
  <c r="F15" i="2"/>
  <c r="F11" i="2"/>
  <c r="F10" i="2"/>
  <c r="F9" i="2"/>
  <c r="F8" i="2"/>
  <c r="F7" i="2"/>
  <c r="F6" i="2"/>
  <c r="F5" i="2"/>
  <c r="F4" i="2"/>
  <c r="F12" i="2"/>
  <c r="F100" i="1"/>
  <c r="G16" i="5" s="1"/>
  <c r="F96" i="1"/>
  <c r="G96" i="1" s="1"/>
  <c r="F81" i="1"/>
  <c r="F82" i="1"/>
  <c r="F83" i="1"/>
  <c r="F84" i="1"/>
  <c r="F85" i="1"/>
  <c r="F86" i="1"/>
  <c r="F87" i="1"/>
  <c r="F88" i="1"/>
  <c r="F80" i="1"/>
  <c r="B89" i="1"/>
  <c r="F69" i="1"/>
  <c r="M5" i="4" s="1"/>
  <c r="F70" i="1"/>
  <c r="K6" i="4" s="1"/>
  <c r="F71" i="1"/>
  <c r="F72" i="1"/>
  <c r="K7" i="4" s="1"/>
  <c r="F76" i="1"/>
  <c r="F68" i="1"/>
  <c r="K5" i="4" s="1"/>
  <c r="F40" i="1"/>
  <c r="F41" i="1"/>
  <c r="F42" i="1"/>
  <c r="F43" i="1"/>
  <c r="F44" i="1"/>
  <c r="F45" i="1"/>
  <c r="L11" i="6" s="1"/>
  <c r="Q11" i="6" s="1"/>
  <c r="F46" i="1"/>
  <c r="L17" i="6" s="1"/>
  <c r="Q17" i="6" s="1"/>
  <c r="S17" i="6" s="1"/>
  <c r="F82" i="5" s="1"/>
  <c r="F47" i="1"/>
  <c r="L20" i="6" s="1"/>
  <c r="Q20" i="6" s="1"/>
  <c r="F48" i="1"/>
  <c r="L18" i="6" s="1"/>
  <c r="F49" i="1"/>
  <c r="L22" i="6" s="1"/>
  <c r="Q22" i="6" s="1"/>
  <c r="F50" i="1"/>
  <c r="L43" i="6" s="1"/>
  <c r="Q43" i="6" s="1"/>
  <c r="F51" i="1"/>
  <c r="L45" i="6" s="1"/>
  <c r="Q45" i="6" s="1"/>
  <c r="F52" i="1"/>
  <c r="L54" i="6" s="1"/>
  <c r="F53" i="1"/>
  <c r="N54" i="6" s="1"/>
  <c r="F54" i="1"/>
  <c r="L60" i="6" s="1"/>
  <c r="Q60" i="6" s="1"/>
  <c r="F56" i="1"/>
  <c r="L36" i="6" s="1"/>
  <c r="F57" i="1"/>
  <c r="L84" i="6" s="1"/>
  <c r="Q84" i="6" s="1"/>
  <c r="R84" i="6" s="1"/>
  <c r="G148" i="5" s="1"/>
  <c r="F58" i="1"/>
  <c r="L85" i="6" s="1"/>
  <c r="Q85" i="6" s="1"/>
  <c r="F59" i="1"/>
  <c r="L88" i="6" s="1"/>
  <c r="Q88" i="6" s="1"/>
  <c r="F60" i="1"/>
  <c r="L66" i="6" s="1"/>
  <c r="Q66" i="6" s="1"/>
  <c r="F61" i="1"/>
  <c r="F62" i="1"/>
  <c r="S59" i="6" s="1"/>
  <c r="F124" i="5" s="1"/>
  <c r="F63" i="1"/>
  <c r="F64" i="1"/>
  <c r="F39" i="1"/>
  <c r="B65" i="1"/>
  <c r="F33" i="1"/>
  <c r="F34" i="1"/>
  <c r="F35" i="1"/>
  <c r="F32" i="1"/>
  <c r="C36" i="1"/>
  <c r="B36" i="1"/>
  <c r="F29" i="1"/>
  <c r="F26" i="1"/>
  <c r="F25" i="1"/>
  <c r="C27" i="1"/>
  <c r="B27" i="1"/>
  <c r="F18" i="1"/>
  <c r="F19" i="1"/>
  <c r="F20" i="1"/>
  <c r="F21" i="1"/>
  <c r="F17" i="1"/>
  <c r="B22" i="1"/>
  <c r="M23" i="4" l="1"/>
  <c r="G52" i="5" s="1"/>
  <c r="O8" i="4"/>
  <c r="N21" i="4" s="1"/>
  <c r="Q54" i="6"/>
  <c r="R54" i="6" s="1"/>
  <c r="G119" i="5" s="1"/>
  <c r="R45" i="6"/>
  <c r="S45" i="6"/>
  <c r="G110" i="5"/>
  <c r="G14" i="5"/>
  <c r="L8" i="4"/>
  <c r="N23" i="4"/>
  <c r="F5" i="7"/>
  <c r="F6" i="7"/>
  <c r="N20" i="4"/>
  <c r="D7" i="7"/>
  <c r="L6" i="4"/>
  <c r="O6" i="4" s="1"/>
  <c r="N19" i="4" s="1"/>
  <c r="N18" i="6"/>
  <c r="Q18" i="6" s="1"/>
  <c r="J19" i="4"/>
  <c r="B48" i="5" s="1"/>
  <c r="G36" i="6"/>
  <c r="P36" i="6" s="1"/>
  <c r="M36" i="6" s="1"/>
  <c r="Q36" i="6" s="1"/>
  <c r="D69" i="5"/>
  <c r="D71" i="5"/>
  <c r="D73" i="5"/>
  <c r="D75" i="5"/>
  <c r="D77" i="5"/>
  <c r="D79" i="5"/>
  <c r="D81" i="5"/>
  <c r="D83" i="5"/>
  <c r="D85" i="5"/>
  <c r="D87" i="5"/>
  <c r="D89" i="5"/>
  <c r="D91" i="5"/>
  <c r="D93" i="5"/>
  <c r="D99" i="5"/>
  <c r="D101" i="5"/>
  <c r="D103" i="5"/>
  <c r="D109" i="5"/>
  <c r="D111" i="5"/>
  <c r="D113" i="5"/>
  <c r="D115" i="5"/>
  <c r="B142" i="5"/>
  <c r="D117" i="5"/>
  <c r="O5" i="4"/>
  <c r="N18" i="4" s="1"/>
  <c r="F55" i="5" s="1"/>
  <c r="P13" i="4"/>
  <c r="F13" i="4"/>
  <c r="F12" i="4"/>
  <c r="F14" i="2"/>
  <c r="D147" i="5"/>
  <c r="D149" i="5"/>
  <c r="D119" i="5"/>
  <c r="D121" i="5"/>
  <c r="D123" i="5"/>
  <c r="D125" i="5"/>
  <c r="D127" i="5"/>
  <c r="D133" i="5"/>
  <c r="D135" i="5"/>
  <c r="D141" i="5"/>
  <c r="D148" i="5"/>
  <c r="D70" i="5"/>
  <c r="D72" i="5"/>
  <c r="D74" i="5"/>
  <c r="D76" i="5"/>
  <c r="D78" i="5"/>
  <c r="D80" i="5"/>
  <c r="D82" i="5"/>
  <c r="D84" i="5"/>
  <c r="D86" i="5"/>
  <c r="D88" i="5"/>
  <c r="D90" i="5"/>
  <c r="D92" i="5"/>
  <c r="D94" i="5"/>
  <c r="D100" i="5"/>
  <c r="D102" i="5"/>
  <c r="D108" i="5"/>
  <c r="D110" i="5"/>
  <c r="D112" i="5"/>
  <c r="D114" i="5"/>
  <c r="D116" i="5"/>
  <c r="D118" i="5"/>
  <c r="D120" i="5"/>
  <c r="D122" i="5"/>
  <c r="D124" i="5"/>
  <c r="D126" i="5"/>
  <c r="D132" i="5"/>
  <c r="D134" i="5"/>
  <c r="C142" i="5"/>
  <c r="F73" i="5"/>
  <c r="D140" i="5"/>
  <c r="F22" i="1"/>
  <c r="F27" i="1"/>
  <c r="F36" i="1"/>
  <c r="F77" i="1"/>
  <c r="F52" i="2"/>
  <c r="F65" i="1"/>
  <c r="F89" i="1"/>
  <c r="F33" i="2"/>
  <c r="P10" i="4"/>
  <c r="R33" i="6"/>
  <c r="G99" i="5" s="1"/>
  <c r="S60" i="6"/>
  <c r="F125" i="5" s="1"/>
  <c r="R11" i="6"/>
  <c r="G76" i="5" s="1"/>
  <c r="P7" i="4"/>
  <c r="J9" i="4"/>
  <c r="J6" i="4"/>
  <c r="J10" i="4"/>
  <c r="L20" i="4"/>
  <c r="F62" i="2"/>
  <c r="F43" i="2"/>
  <c r="S46" i="6"/>
  <c r="F111" i="5" s="1"/>
  <c r="R59" i="6"/>
  <c r="G124" i="5" s="1"/>
  <c r="G39" i="5"/>
  <c r="H43" i="5"/>
  <c r="S13" i="6"/>
  <c r="F78" i="5" s="1"/>
  <c r="R13" i="6"/>
  <c r="G78" i="5" s="1"/>
  <c r="S22" i="6"/>
  <c r="F87" i="5" s="1"/>
  <c r="R22" i="6"/>
  <c r="G87" i="5" s="1"/>
  <c r="S43" i="6"/>
  <c r="F109" i="5" s="1"/>
  <c r="R43" i="6"/>
  <c r="G109" i="5" s="1"/>
  <c r="R66" i="6"/>
  <c r="G132" i="5" s="1"/>
  <c r="S66" i="6"/>
  <c r="F132" i="5" s="1"/>
  <c r="G137" i="5" s="1"/>
  <c r="S25" i="6"/>
  <c r="F90" i="5" s="1"/>
  <c r="R25" i="6"/>
  <c r="G90" i="5" s="1"/>
  <c r="S85" i="6"/>
  <c r="F149" i="5" s="1"/>
  <c r="R85" i="6"/>
  <c r="G149" i="5" s="1"/>
  <c r="R20" i="6"/>
  <c r="G85" i="5" s="1"/>
  <c r="S20" i="6"/>
  <c r="F85" i="5" s="1"/>
  <c r="S42" i="6"/>
  <c r="F108" i="5" s="1"/>
  <c r="R42" i="6"/>
  <c r="G108" i="5" s="1"/>
  <c r="S47" i="6"/>
  <c r="F112" i="5" s="1"/>
  <c r="R47" i="6"/>
  <c r="G112" i="5" s="1"/>
  <c r="R96" i="6"/>
  <c r="R92" i="6"/>
  <c r="R87" i="6"/>
  <c r="R83" i="6"/>
  <c r="R79" i="6"/>
  <c r="R73" i="6"/>
  <c r="G140" i="5" s="1"/>
  <c r="R69" i="6"/>
  <c r="G135" i="5" s="1"/>
  <c r="R65" i="6"/>
  <c r="R62" i="6"/>
  <c r="G127" i="5" s="1"/>
  <c r="R58" i="6"/>
  <c r="G123" i="5" s="1"/>
  <c r="R51" i="6"/>
  <c r="G116" i="5" s="1"/>
  <c r="R48" i="6"/>
  <c r="G113" i="5" s="1"/>
  <c r="R34" i="6"/>
  <c r="G100" i="5" s="1"/>
  <c r="R30" i="6"/>
  <c r="R27" i="6"/>
  <c r="G92" i="5" s="1"/>
  <c r="R23" i="6"/>
  <c r="G88" i="5" s="1"/>
  <c r="R19" i="6"/>
  <c r="G84" i="5" s="1"/>
  <c r="R15" i="6"/>
  <c r="G80" i="5" s="1"/>
  <c r="R7" i="6"/>
  <c r="S84" i="6"/>
  <c r="F148" i="5" s="1"/>
  <c r="S80" i="6"/>
  <c r="S74" i="6"/>
  <c r="F141" i="5" s="1"/>
  <c r="S55" i="6"/>
  <c r="F120" i="5" s="1"/>
  <c r="S52" i="6"/>
  <c r="F117" i="5" s="1"/>
  <c r="S49" i="6"/>
  <c r="F114" i="5" s="1"/>
  <c r="S44" i="6"/>
  <c r="F110" i="5" s="1"/>
  <c r="S35" i="6"/>
  <c r="S28" i="6"/>
  <c r="F93" i="5" s="1"/>
  <c r="S24" i="6"/>
  <c r="F89" i="5" s="1"/>
  <c r="S16" i="6"/>
  <c r="F81" i="5" s="1"/>
  <c r="S12" i="6"/>
  <c r="F77" i="5" s="1"/>
  <c r="S8" i="6"/>
  <c r="R95" i="6"/>
  <c r="R91" i="6"/>
  <c r="R86" i="6"/>
  <c r="R78" i="6"/>
  <c r="R72" i="6"/>
  <c r="R68" i="6"/>
  <c r="G134" i="5" s="1"/>
  <c r="R61" i="6"/>
  <c r="G126" i="5" s="1"/>
  <c r="R57" i="6"/>
  <c r="G122" i="5" s="1"/>
  <c r="R50" i="6"/>
  <c r="G115" i="5" s="1"/>
  <c r="R26" i="6"/>
  <c r="G91" i="5" s="1"/>
  <c r="R14" i="6"/>
  <c r="G79" i="5" s="1"/>
  <c r="R10" i="6"/>
  <c r="G75" i="5" s="1"/>
  <c r="R6" i="6"/>
  <c r="G71" i="5" s="1"/>
  <c r="R94" i="6"/>
  <c r="R77" i="6"/>
  <c r="R67" i="6"/>
  <c r="G133" i="5" s="1"/>
  <c r="R63" i="6"/>
  <c r="R56" i="6"/>
  <c r="G121" i="5" s="1"/>
  <c r="R53" i="6"/>
  <c r="G118" i="5" s="1"/>
  <c r="R41" i="6"/>
  <c r="R37" i="6"/>
  <c r="G103" i="5" s="1"/>
  <c r="R32" i="6"/>
  <c r="R29" i="6"/>
  <c r="G94" i="5" s="1"/>
  <c r="R21" i="6"/>
  <c r="G86" i="5" s="1"/>
  <c r="R17" i="6"/>
  <c r="G82" i="5" s="1"/>
  <c r="R9" i="6"/>
  <c r="G74" i="5" s="1"/>
  <c r="R5" i="6"/>
  <c r="G70" i="5" s="1"/>
  <c r="R4" i="6"/>
  <c r="G69" i="5" s="1"/>
  <c r="R93" i="6"/>
  <c r="F13" i="2"/>
  <c r="F23" i="2"/>
  <c r="F32" i="2"/>
  <c r="F51" i="2"/>
  <c r="G27" i="5" s="1"/>
  <c r="F70" i="2"/>
  <c r="G29" i="5" s="1"/>
  <c r="F42" i="2"/>
  <c r="G26" i="5" s="1"/>
  <c r="F78" i="2"/>
  <c r="F22" i="2"/>
  <c r="G23" i="5" s="1"/>
  <c r="I20" i="4"/>
  <c r="J20" i="4" s="1"/>
  <c r="B49" i="5" s="1"/>
  <c r="B25" i="4"/>
  <c r="J22" i="4"/>
  <c r="B51" i="5" s="1"/>
  <c r="J7" i="4"/>
  <c r="J8" i="4"/>
  <c r="I18" i="4"/>
  <c r="E18" i="4"/>
  <c r="E25" i="4" s="1"/>
  <c r="J21" i="4"/>
  <c r="B50" i="5" s="1"/>
  <c r="J5" i="4"/>
  <c r="F101" i="5" l="1"/>
  <c r="G136" i="5"/>
  <c r="R18" i="6"/>
  <c r="G83" i="5" s="1"/>
  <c r="S18" i="6"/>
  <c r="F83" i="5" s="1"/>
  <c r="S36" i="6"/>
  <c r="F102" i="5" s="1"/>
  <c r="G105" i="5" s="1"/>
  <c r="R36" i="6"/>
  <c r="G102" i="5" s="1"/>
  <c r="G104" i="5" s="1"/>
  <c r="G62" i="2"/>
  <c r="G28" i="5"/>
  <c r="G36" i="1"/>
  <c r="G9" i="5"/>
  <c r="G13" i="2"/>
  <c r="G21" i="5"/>
  <c r="G32" i="2"/>
  <c r="G24" i="5"/>
  <c r="G27" i="1"/>
  <c r="G8" i="5"/>
  <c r="S54" i="6"/>
  <c r="F119" i="5" s="1"/>
  <c r="G129" i="5" s="1"/>
  <c r="G22" i="1"/>
  <c r="G7" i="5"/>
  <c r="G65" i="1"/>
  <c r="G11" i="5"/>
  <c r="B157" i="5" s="1"/>
  <c r="G89" i="1"/>
  <c r="G13" i="5"/>
  <c r="P5" i="4"/>
  <c r="G77" i="1"/>
  <c r="G12" i="5"/>
  <c r="K36" i="6"/>
  <c r="D142" i="5"/>
  <c r="F85" i="2"/>
  <c r="G33" i="5" s="1"/>
  <c r="G72" i="5"/>
  <c r="G73" i="5"/>
  <c r="S11" i="6"/>
  <c r="F76" i="5" s="1"/>
  <c r="R46" i="6"/>
  <c r="G111" i="5" s="1"/>
  <c r="R60" i="6"/>
  <c r="G125" i="5" s="1"/>
  <c r="M20" i="4"/>
  <c r="G49" i="5" s="1"/>
  <c r="P6" i="4"/>
  <c r="L19" i="4"/>
  <c r="M19" i="4" s="1"/>
  <c r="G48" i="5" s="1"/>
  <c r="L18" i="4"/>
  <c r="P8" i="4"/>
  <c r="L21" i="4"/>
  <c r="M21" i="4" s="1"/>
  <c r="G50" i="5" s="1"/>
  <c r="P9" i="4"/>
  <c r="L22" i="4"/>
  <c r="M22" i="4" s="1"/>
  <c r="G51" i="5" s="1"/>
  <c r="G42" i="2"/>
  <c r="G70" i="2"/>
  <c r="G78" i="2"/>
  <c r="F81" i="2"/>
  <c r="G81" i="2" s="1"/>
  <c r="G22" i="2"/>
  <c r="G51" i="2"/>
  <c r="J18" i="4"/>
  <c r="G31" i="5" l="1"/>
  <c r="J25" i="4"/>
  <c r="B47" i="5"/>
  <c r="G96" i="5"/>
  <c r="G95" i="5"/>
  <c r="G128" i="5"/>
  <c r="P12" i="4"/>
  <c r="M18" i="4"/>
  <c r="S88" i="6"/>
  <c r="F147" i="5" s="1"/>
  <c r="G151" i="5" s="1"/>
  <c r="R88" i="6"/>
  <c r="G147" i="5" s="1"/>
  <c r="G150" i="5" s="1"/>
  <c r="H32" i="5"/>
  <c r="B156" i="5" l="1"/>
  <c r="M25" i="4"/>
  <c r="G47" i="5"/>
  <c r="F13" i="1"/>
  <c r="F12" i="1"/>
  <c r="F11" i="1"/>
  <c r="F10" i="1"/>
  <c r="F9" i="1"/>
  <c r="F6" i="1"/>
  <c r="F5" i="1"/>
  <c r="G5" i="5" s="1"/>
  <c r="G15" i="5" s="1"/>
  <c r="B158" i="5" l="1"/>
  <c r="B161" i="5" s="1"/>
  <c r="B160" i="5"/>
  <c r="B98" i="1"/>
  <c r="D98" i="1"/>
  <c r="D99" i="1"/>
  <c r="C98" i="1"/>
  <c r="C99" i="1"/>
  <c r="F14" i="1"/>
  <c r="G14" i="1" l="1"/>
  <c r="G6" i="5"/>
  <c r="F98" i="1"/>
  <c r="G100" i="1" s="1"/>
  <c r="F9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Gierok</author>
  </authors>
  <commentList>
    <comment ref="C16" authorId="0" shapeId="0" xr:uid="{838A28F8-15BC-FC46-8A52-201F99D3D8F8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from Issue of the grange </t>
        </r>
      </text>
    </comment>
  </commentList>
</comments>
</file>

<file path=xl/sharedStrings.xml><?xml version="1.0" encoding="utf-8"?>
<sst xmlns="http://schemas.openxmlformats.org/spreadsheetml/2006/main" count="554" uniqueCount="337">
  <si>
    <t>£</t>
  </si>
  <si>
    <t xml:space="preserve">s </t>
  </si>
  <si>
    <t>d</t>
  </si>
  <si>
    <t>Total in £</t>
  </si>
  <si>
    <t>Notes</t>
  </si>
  <si>
    <t>Error</t>
  </si>
  <si>
    <t>Arrears</t>
  </si>
  <si>
    <t>arrears from previous year</t>
  </si>
  <si>
    <t>of which delivered to treasurer of Wolvesey</t>
  </si>
  <si>
    <t>Total recorded in accounts</t>
  </si>
  <si>
    <t>Total</t>
  </si>
  <si>
    <t>Quittances</t>
  </si>
  <si>
    <t>Defaults of rent</t>
  </si>
  <si>
    <t>Total of rents remaining</t>
  </si>
  <si>
    <t>Annual recognizances</t>
  </si>
  <si>
    <t>Issues of the manor</t>
  </si>
  <si>
    <t>Sale of corn</t>
  </si>
  <si>
    <t>Entry and marriage fines</t>
  </si>
  <si>
    <t>Pleas and perquisites</t>
  </si>
  <si>
    <t>Total of all receipts (sum of above excl. arrears)</t>
  </si>
  <si>
    <t>Total of all receipts (sum of above incl. arrears)</t>
  </si>
  <si>
    <t>Cost of Ploughs</t>
  </si>
  <si>
    <t>Cost of Carts and Wagons</t>
  </si>
  <si>
    <t>Cost of Dairy</t>
  </si>
  <si>
    <t>Sheepcote</t>
  </si>
  <si>
    <t>Cost of Buildings</t>
  </si>
  <si>
    <t>Threshing</t>
  </si>
  <si>
    <t>Expenses of the Harvest</t>
  </si>
  <si>
    <t>Total of all Expenses</t>
  </si>
  <si>
    <t>And thus he owes</t>
  </si>
  <si>
    <t>Delivered to Sir Geoffrey, treasurer of Wolvesey</t>
  </si>
  <si>
    <t>and thus he owes clear</t>
  </si>
  <si>
    <t>Total of all Expenses (calculated)</t>
  </si>
  <si>
    <t>The issue of the grange account gives the total "yield" at the top of each heading in curly brackets, measurements used: fold, qrs, bus</t>
  </si>
  <si>
    <t>Value of Total Production</t>
  </si>
  <si>
    <t>Gross output</t>
  </si>
  <si>
    <t>Quantity</t>
  </si>
  <si>
    <t>Additional bought-in</t>
  </si>
  <si>
    <t>Quantity noted as sold</t>
  </si>
  <si>
    <t>Difference Produced vs. Sold</t>
  </si>
  <si>
    <t>Price 1</t>
  </si>
  <si>
    <t>Quantity 1</t>
  </si>
  <si>
    <t>Price 2</t>
  </si>
  <si>
    <t>Quantity 2</t>
  </si>
  <si>
    <t>Value</t>
  </si>
  <si>
    <t>qrs</t>
  </si>
  <si>
    <t>bus</t>
  </si>
  <si>
    <t>£ per qr</t>
  </si>
  <si>
    <t>Wheat</t>
  </si>
  <si>
    <t>Curall</t>
  </si>
  <si>
    <t>Barley</t>
  </si>
  <si>
    <t>Oats</t>
  </si>
  <si>
    <t>Peas</t>
  </si>
  <si>
    <t>Vetches</t>
  </si>
  <si>
    <t>Total Production</t>
  </si>
  <si>
    <t>Production value is significantly more, as much less was sold than what was produced</t>
  </si>
  <si>
    <t>Sales of corn (as recorded in accounts)</t>
  </si>
  <si>
    <t>Net output</t>
  </si>
  <si>
    <t>Seed</t>
  </si>
  <si>
    <t>tithe</t>
  </si>
  <si>
    <t>to manorial servants &amp; livestock</t>
  </si>
  <si>
    <t>Output net of tithe &amp; seed &amp; liveries to manorial servants</t>
  </si>
  <si>
    <t>in stock from last year</t>
  </si>
  <si>
    <t xml:space="preserve">Price </t>
  </si>
  <si>
    <t>Value of net output</t>
  </si>
  <si>
    <t>Value of sales (in "Sale of Corn")</t>
  </si>
  <si>
    <t>Liveries of manorial servants</t>
  </si>
  <si>
    <t>CASH ACCOUNT</t>
  </si>
  <si>
    <t>RECEIPTS</t>
  </si>
  <si>
    <t>Issues of the Manor</t>
  </si>
  <si>
    <t>Pleas &amp; Perquisites</t>
  </si>
  <si>
    <t>Sum of the above (incl. arrears)</t>
  </si>
  <si>
    <t>EXPENSES</t>
  </si>
  <si>
    <t>Purchase of corn</t>
  </si>
  <si>
    <t>Sum of the above</t>
  </si>
  <si>
    <t>Total of all expenses</t>
  </si>
  <si>
    <t>Owed by the reeve</t>
  </si>
  <si>
    <t>From accounts</t>
  </si>
  <si>
    <t>Total of all allowances and cash deliveries in accounts</t>
  </si>
  <si>
    <t>Net amount owed</t>
  </si>
  <si>
    <t>Net amount owed in accounts</t>
  </si>
  <si>
    <t xml:space="preserve">GRANGE ACCOUNT </t>
  </si>
  <si>
    <t>Grange</t>
  </si>
  <si>
    <t>Total value of production (sum of the above)</t>
  </si>
  <si>
    <t>Value of sales</t>
  </si>
  <si>
    <t>MILL ACCOUNT</t>
  </si>
  <si>
    <t>Issues of the mill</t>
  </si>
  <si>
    <t>Oatmeal</t>
  </si>
  <si>
    <t>1st grade malt</t>
  </si>
  <si>
    <t>2nd grade malt</t>
  </si>
  <si>
    <t>Maslin</t>
  </si>
  <si>
    <t>STOCK ACCOUNT</t>
  </si>
  <si>
    <t>Livestock</t>
  </si>
  <si>
    <t>Stockbuilding</t>
  </si>
  <si>
    <t>Cart-horses</t>
  </si>
  <si>
    <t>Mares</t>
  </si>
  <si>
    <t>Plough horses</t>
  </si>
  <si>
    <t>Colts (2 years)</t>
  </si>
  <si>
    <t>Colts (1 year)</t>
  </si>
  <si>
    <t>Foals</t>
  </si>
  <si>
    <t>Oxen</t>
  </si>
  <si>
    <t>Bulls</t>
  </si>
  <si>
    <t>Cows</t>
  </si>
  <si>
    <t>Steers</t>
  </si>
  <si>
    <t>Bullocks</t>
  </si>
  <si>
    <t>Yearlings</t>
  </si>
  <si>
    <t>Calves</t>
  </si>
  <si>
    <t>Wethers</t>
  </si>
  <si>
    <t>Rams</t>
  </si>
  <si>
    <t>Ewes</t>
  </si>
  <si>
    <t>Hoggs</t>
  </si>
  <si>
    <t>Lambs</t>
  </si>
  <si>
    <t>Boars</t>
  </si>
  <si>
    <t>Sows</t>
  </si>
  <si>
    <t>Pigs</t>
  </si>
  <si>
    <t>Hoggets</t>
  </si>
  <si>
    <t>Piglets</t>
  </si>
  <si>
    <t>Swans</t>
  </si>
  <si>
    <t>Peacocks</t>
  </si>
  <si>
    <t>Wool</t>
  </si>
  <si>
    <t>Coarse wool</t>
  </si>
  <si>
    <t>Lamb's wool</t>
  </si>
  <si>
    <t>Wool locks</t>
  </si>
  <si>
    <t>Hides</t>
  </si>
  <si>
    <t>Ox hides</t>
  </si>
  <si>
    <t>Bareskins (total)</t>
  </si>
  <si>
    <t>Rotted skins</t>
  </si>
  <si>
    <t>Shorn skins</t>
  </si>
  <si>
    <t>Poultry stock</t>
  </si>
  <si>
    <t>Hens</t>
  </si>
  <si>
    <t>Geese</t>
  </si>
  <si>
    <t>Capons (from chickens)</t>
  </si>
  <si>
    <t>Cocks &amp; hens</t>
  </si>
  <si>
    <t>Poultry production</t>
  </si>
  <si>
    <t>Eggs</t>
  </si>
  <si>
    <t>Cocks &amp; hens from churchscot of customary tenants</t>
  </si>
  <si>
    <t>Sum of above</t>
  </si>
  <si>
    <t>Total value of stock</t>
  </si>
  <si>
    <t>Dairy Production</t>
  </si>
  <si>
    <t>Butter</t>
  </si>
  <si>
    <t>Winter Cheese</t>
  </si>
  <si>
    <t>Summer Cheese</t>
  </si>
  <si>
    <t>% of capital expenses in terms of total production</t>
  </si>
  <si>
    <t>% of capital expenses in terms of total production + cash receipts</t>
  </si>
  <si>
    <r>
      <t xml:space="preserve">% of capital expenses as </t>
    </r>
    <r>
      <rPr>
        <b/>
        <i/>
        <sz val="12"/>
        <color rgb="FF000000"/>
        <rFont val="Calibri"/>
        <family val="2"/>
        <scheme val="minor"/>
      </rPr>
      <t>calculated previously</t>
    </r>
  </si>
  <si>
    <t>Inherited stock</t>
  </si>
  <si>
    <t>strays</t>
  </si>
  <si>
    <t>herbage</t>
  </si>
  <si>
    <t>sold</t>
  </si>
  <si>
    <t>in murrain</t>
  </si>
  <si>
    <t>accounted for elsewhere</t>
  </si>
  <si>
    <t>End-period  stock</t>
  </si>
  <si>
    <t>cross-check</t>
  </si>
  <si>
    <t>Unit price (£)</t>
  </si>
  <si>
    <t>Sales in (£)</t>
  </si>
  <si>
    <t>Details</t>
  </si>
  <si>
    <t>Wool sold at shearing</t>
  </si>
  <si>
    <t>Meat</t>
  </si>
  <si>
    <t>Beef</t>
  </si>
  <si>
    <t>Mutton</t>
  </si>
  <si>
    <t>Pork</t>
  </si>
  <si>
    <t>Cheese</t>
  </si>
  <si>
    <t>Winter cheese</t>
  </si>
  <si>
    <t>Summer cheese</t>
  </si>
  <si>
    <t>Cider</t>
  </si>
  <si>
    <t>EAST KNOYLE STOCK ACCOUNT</t>
  </si>
  <si>
    <t>Fleeces</t>
  </si>
  <si>
    <t>Woolskins (total)</t>
  </si>
  <si>
    <t>Lambskins</t>
  </si>
  <si>
    <t>Value of production (£) at sales prices</t>
  </si>
  <si>
    <t>price 1</t>
  </si>
  <si>
    <t>units 1</t>
  </si>
  <si>
    <t>price 2</t>
  </si>
  <si>
    <t>units 2</t>
  </si>
  <si>
    <t>Weights</t>
  </si>
  <si>
    <t>Weight (weys)</t>
  </si>
  <si>
    <t>Annual reconizances</t>
  </si>
  <si>
    <t>Rents of assize</t>
  </si>
  <si>
    <t>n/a</t>
  </si>
  <si>
    <t>Cost of ploughs</t>
  </si>
  <si>
    <t>Cost of carts and wagons</t>
  </si>
  <si>
    <t>Cost of dairy</t>
  </si>
  <si>
    <t>Purchase of stock</t>
  </si>
  <si>
    <t>Cost of buildings</t>
  </si>
  <si>
    <t>Expenses of the harvest</t>
  </si>
  <si>
    <t>Stewards expenses</t>
  </si>
  <si>
    <t>Total capital expenses</t>
  </si>
  <si>
    <t>Cash deliveries</t>
  </si>
  <si>
    <t>ASSUMPTIONS</t>
  </si>
  <si>
    <t>Value (in lbs)</t>
  </si>
  <si>
    <t>Lbs</t>
  </si>
  <si>
    <t>Cloves</t>
  </si>
  <si>
    <t>Wey</t>
  </si>
  <si>
    <t>Value (in cloves)</t>
  </si>
  <si>
    <t>Stone</t>
  </si>
  <si>
    <t>Value (in weys)</t>
  </si>
  <si>
    <t>Value (in stone)</t>
  </si>
  <si>
    <t>Unit price</t>
  </si>
  <si>
    <t>Cow hides</t>
  </si>
  <si>
    <t>Mare hides</t>
  </si>
  <si>
    <t>Steer hides</t>
  </si>
  <si>
    <t>Yearling Calf hides</t>
  </si>
  <si>
    <t>Calf hides</t>
  </si>
  <si>
    <t>Pig hides</t>
  </si>
  <si>
    <t>Weather woolskins</t>
  </si>
  <si>
    <t>Ram woolskins</t>
  </si>
  <si>
    <t>Ewe woolskins</t>
  </si>
  <si>
    <t>Hogg woolskins</t>
  </si>
  <si>
    <t>Wether bareskins</t>
  </si>
  <si>
    <t>Ram bareskins</t>
  </si>
  <si>
    <t>Ewe bareskins</t>
  </si>
  <si>
    <t>Hogg bareskins</t>
  </si>
  <si>
    <t>In "Issues of the grange" (p.xx)</t>
  </si>
  <si>
    <t>In "Sale of Corn" (p.x)</t>
  </si>
  <si>
    <t>Total recorded in the accounts excl. arrears</t>
  </si>
  <si>
    <t>Total recorded in the accounts incl. arrears</t>
  </si>
  <si>
    <t>Total of all receipts in account incl. arrears</t>
  </si>
  <si>
    <t>Total of all receipts in account excl.  arrears</t>
  </si>
  <si>
    <t>Net Production</t>
  </si>
  <si>
    <t>Produced</t>
  </si>
  <si>
    <t>Christmas</t>
  </si>
  <si>
    <t>Easter</t>
  </si>
  <si>
    <t>Nativity of John the Baptist</t>
  </si>
  <si>
    <t>Michaelmas</t>
  </si>
  <si>
    <t>1 reeve for year</t>
  </si>
  <si>
    <t>2 ploughmen for year</t>
  </si>
  <si>
    <t>1 hayward for 1/2 year</t>
  </si>
  <si>
    <t>2 shephers for the year</t>
  </si>
  <si>
    <t>default of a plot formerly belonging to John Vicar'</t>
  </si>
  <si>
    <t>from John Pavel</t>
  </si>
  <si>
    <t>from John Scherewynd</t>
  </si>
  <si>
    <t>from Roger le Dregh to come to 2 tous and pay suit for his tithing</t>
  </si>
  <si>
    <t>from panage of pigs</t>
  </si>
  <si>
    <t>from panage of oxen (at Hockday)</t>
  </si>
  <si>
    <t>from panage of sheep</t>
  </si>
  <si>
    <t>from pannage of oxen (at Martinmas)</t>
  </si>
  <si>
    <t>from hay sold</t>
  </si>
  <si>
    <t>from the residue of Peter's Pence</t>
  </si>
  <si>
    <t>from 1 feeble and sick ox sold</t>
  </si>
  <si>
    <t>from 21 kebb wethers and 40 ewes sold</t>
  </si>
  <si>
    <t>from 6 old kebb wethers</t>
  </si>
  <si>
    <t>from 50 lambs sold after shearing</t>
  </si>
  <si>
    <t>from the hide sold of 1 cow in murrain</t>
  </si>
  <si>
    <t>from the hides sold of 2 bullocks in murrain</t>
  </si>
  <si>
    <t>from the skins sold of 9 wethers 11 ewes and 6 hoggs in murrain</t>
  </si>
  <si>
    <t>from the bare skins sold of 20 wethers and ewes after shearing</t>
  </si>
  <si>
    <t>form the skins sold of 11 lambs in murrrain before weaning</t>
  </si>
  <si>
    <t>from 7.5 stone of wool locks sold</t>
  </si>
  <si>
    <t>from 0.5 weys of winter cheese sold</t>
  </si>
  <si>
    <t>from 8 weys of summer cheese sold</t>
  </si>
  <si>
    <t>from 1 wey of butter sold</t>
  </si>
  <si>
    <t>from 64 hens from churchscot</t>
  </si>
  <si>
    <t>from the whole hundred for refusing to stack</t>
  </si>
  <si>
    <t>form the hall which was leased to John Vicar for the year</t>
  </si>
  <si>
    <t>from dairy produce sold at audit</t>
  </si>
  <si>
    <t>from 7 late-born calves sold</t>
  </si>
  <si>
    <t>from the skins sold of 6 rotted sheep in murrain after shearing</t>
  </si>
  <si>
    <t>from 48 qrs 7 bus of wheat sold</t>
  </si>
  <si>
    <t>from 3 bus of wheat sold at audit</t>
  </si>
  <si>
    <t>from 1.5 bus of curall sold at audit</t>
  </si>
  <si>
    <t>from 7.5 qrs 1 peck of curall sold</t>
  </si>
  <si>
    <t>from 75 qrs 1.5 bus of barley sold</t>
  </si>
  <si>
    <t>from 35 qrs of oats sold</t>
  </si>
  <si>
    <t>from 7 qrs of vetches sold</t>
  </si>
  <si>
    <t>from 13.5 qrs of peas sold</t>
  </si>
  <si>
    <t>from tithing of bishopstone at the hundred court of Michaelmas</t>
  </si>
  <si>
    <t>from the tithing of Flamston for the same</t>
  </si>
  <si>
    <t>from the tithing of Faulston for the same</t>
  </si>
  <si>
    <t>from the aforesaid tithings at the hundred-court of Hockday for the same</t>
  </si>
  <si>
    <t>from John Stacy to have 8 acres of land</t>
  </si>
  <si>
    <t>from Joan to retain 1 virgate</t>
  </si>
  <si>
    <t>from Thomas Osbsbern for 8 acres of land</t>
  </si>
  <si>
    <t>from Thomas Faber for 1 messeuage</t>
  </si>
  <si>
    <t>from the pleas and perquisites of the court</t>
  </si>
  <si>
    <t>from Thomas reeve because he sowed the lord's land with bad seed</t>
  </si>
  <si>
    <t>from John Perour for the same</t>
  </si>
  <si>
    <t>in ironwork of 2 ploughs for the year with stipend of smith</t>
  </si>
  <si>
    <t>in 2 ploughfeet</t>
  </si>
  <si>
    <t>in 2 yokes</t>
  </si>
  <si>
    <t>in 4 wheels</t>
  </si>
  <si>
    <t>in 1 boon-work of 16 ploughmen in winter and 14 in lent</t>
  </si>
  <si>
    <t>in stipend of 2 ploughmen for the year</t>
  </si>
  <si>
    <t>in allowance of Thomas reeve for making a plough which ihe is bound to do according to custom</t>
  </si>
  <si>
    <t>in 1 ox bought for the plough</t>
  </si>
  <si>
    <t>in 4 clouts</t>
  </si>
  <si>
    <t>in 1 halter</t>
  </si>
  <si>
    <t>in shoeing the carthorse</t>
  </si>
  <si>
    <t>in white leather bought</t>
  </si>
  <si>
    <t>in 5 bus of salt bought for salting cheese and butter</t>
  </si>
  <si>
    <t>in linen and woollen cloth bought for cheese</t>
  </si>
  <si>
    <t>in earthenware pots and pans</t>
  </si>
  <si>
    <t>in a press bought</t>
  </si>
  <si>
    <t>in stipend of 1 dairymaid for the year</t>
  </si>
  <si>
    <t>in grease, vinegar and copperas bought for greasing sheep</t>
  </si>
  <si>
    <t>in 1 stake bought</t>
  </si>
  <si>
    <t>in 27 hurdles bought</t>
  </si>
  <si>
    <t>in 16 ells of canvas bought for packing wool</t>
  </si>
  <si>
    <t>in packing the said wool and making sacks with the thread bought for the same</t>
  </si>
  <si>
    <t>in stipend of 1 man repairing door of byre</t>
  </si>
  <si>
    <t>in repairing and restoring the walls around the curia</t>
  </si>
  <si>
    <t>in stipend of 1 man covering the stack of vetches</t>
  </si>
  <si>
    <t>in 1 sack bought</t>
  </si>
  <si>
    <t>in threshing 68 qrs 1 bus of wheat, 7 qrs 7 bus of curral, 21 qrs 7 bus of peas and 9.5 qrs of vetches</t>
  </si>
  <si>
    <t>in winnowing the same</t>
  </si>
  <si>
    <t>in threshing 120.5 qrs of barley</t>
  </si>
  <si>
    <t>in threshing 60 qrs 1 bus of oats</t>
  </si>
  <si>
    <t>in weeding corn</t>
  </si>
  <si>
    <t>in customary payment for the mowing of the meadow</t>
  </si>
  <si>
    <t>in 2 boon-works of 200 men who reaped and bound 104 acres</t>
  </si>
  <si>
    <t>in customary payment to 6 carters for carrying corn</t>
  </si>
  <si>
    <t>Bailiff's expenses</t>
  </si>
  <si>
    <t>in expense of the bailiff for his visits with the expenses of the previous bailiff for holding the tourn and court and performing other business</t>
  </si>
  <si>
    <t>in wages of 1 overseer of harvest</t>
  </si>
  <si>
    <t>in wages of other overseer of harvest</t>
  </si>
  <si>
    <t>in stipend of same overseer</t>
  </si>
  <si>
    <t>Bought / added not produced</t>
  </si>
  <si>
    <t>account states 185 remain</t>
  </si>
  <si>
    <t>615 sent to Wolvesey which made 4 weys and 5 cloves</t>
  </si>
  <si>
    <t>273 sent to Wolvesey which made 0.5 weys</t>
  </si>
  <si>
    <t>159 cheeses sold made 8 weys</t>
  </si>
  <si>
    <t>Bullock Hides</t>
  </si>
  <si>
    <t>Price of ewes and wethers conflated in receipts - assume same price</t>
  </si>
  <si>
    <t>=</t>
  </si>
  <si>
    <t>Bullock hides</t>
  </si>
  <si>
    <t>Production Value + Cash Receipts (excl. Arrears, Issues, Corn and Mill)</t>
  </si>
  <si>
    <t>BISHOPSTONE EXPENSES</t>
  </si>
  <si>
    <t>BISHOPSTONE RECEIPTS</t>
  </si>
  <si>
    <t>BISHOPSTONE</t>
  </si>
  <si>
    <t>Rents remaining</t>
  </si>
  <si>
    <t>Total Demesne fixed investment</t>
  </si>
  <si>
    <t>Total Sales Value of all Output as defined above</t>
  </si>
  <si>
    <t>Total Sales of Corn + Issues of the Manor as recorded in account</t>
  </si>
  <si>
    <t>Value of total gross production in £</t>
  </si>
  <si>
    <t>Value of total net production in £</t>
  </si>
  <si>
    <t>Total value of gross production (sum of the above)</t>
  </si>
  <si>
    <t>Total value of net production</t>
  </si>
  <si>
    <t>Total Production Value of all Output (Grange, Dairy, Livestock Sales, Wools, Skins - NO Mill)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</si>
</sst>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theme="7" tint="0.79998168889431442"/>
        <bgColor rgb="FF000000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A6A6A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4" fontId="0" fillId="0" borderId="0" xfId="0" applyNumberFormat="1"/>
    <xf numFmtId="0" fontId="1" fillId="0" borderId="0" xfId="0" applyFont="1"/>
    <xf numFmtId="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  <xf numFmtId="4" fontId="2" fillId="0" borderId="0" xfId="0" applyNumberFormat="1" applyFont="1" applyAlignment="1">
      <alignment horizontal="center"/>
    </xf>
    <xf numFmtId="0" fontId="3" fillId="0" borderId="0" xfId="0" applyFont="1"/>
    <xf numFmtId="4" fontId="2" fillId="0" borderId="0" xfId="0" applyNumberFormat="1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4" fontId="0" fillId="0" borderId="0" xfId="0" applyNumberFormat="1" applyAlignment="1">
      <alignment horizontal="right"/>
    </xf>
    <xf numFmtId="4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0" fillId="4" borderId="0" xfId="0" applyFill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2" xfId="0" applyBorder="1"/>
    <xf numFmtId="2" fontId="0" fillId="0" borderId="4" xfId="0" applyNumberFormat="1" applyBorder="1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0" fillId="5" borderId="0" xfId="0" applyFill="1"/>
    <xf numFmtId="0" fontId="0" fillId="6" borderId="0" xfId="0" applyFill="1"/>
    <xf numFmtId="2" fontId="0" fillId="6" borderId="0" xfId="0" applyNumberFormat="1" applyFill="1"/>
    <xf numFmtId="0" fontId="8" fillId="5" borderId="0" xfId="0" applyFont="1" applyFill="1"/>
    <xf numFmtId="0" fontId="0" fillId="0" borderId="0" xfId="0" applyAlignment="1">
      <alignment horizontal="right" wrapText="1"/>
    </xf>
    <xf numFmtId="4" fontId="0" fillId="0" borderId="0" xfId="0" applyNumberFormat="1" applyAlignment="1">
      <alignment horizontal="right" wrapText="1"/>
    </xf>
    <xf numFmtId="164" fontId="0" fillId="0" borderId="0" xfId="0" applyNumberFormat="1"/>
    <xf numFmtId="0" fontId="0" fillId="3" borderId="0" xfId="0" applyFill="1"/>
    <xf numFmtId="0" fontId="0" fillId="3" borderId="1" xfId="0" applyFill="1" applyBorder="1"/>
    <xf numFmtId="0" fontId="0" fillId="2" borderId="0" xfId="0" applyFill="1"/>
    <xf numFmtId="0" fontId="11" fillId="0" borderId="0" xfId="0" applyFont="1"/>
    <xf numFmtId="4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7" borderId="0" xfId="0" applyFont="1" applyFill="1"/>
    <xf numFmtId="0" fontId="5" fillId="7" borderId="0" xfId="0" applyFont="1" applyFill="1"/>
    <xf numFmtId="4" fontId="5" fillId="0" borderId="0" xfId="0" applyNumberFormat="1" applyFont="1"/>
    <xf numFmtId="0" fontId="14" fillId="7" borderId="0" xfId="0" applyFont="1" applyFill="1"/>
    <xf numFmtId="0" fontId="14" fillId="0" borderId="0" xfId="0" applyFont="1"/>
    <xf numFmtId="4" fontId="1" fillId="0" borderId="0" xfId="0" applyNumberFormat="1" applyFont="1"/>
    <xf numFmtId="2" fontId="5" fillId="0" borderId="0" xfId="0" applyNumberFormat="1" applyFont="1"/>
    <xf numFmtId="2" fontId="5" fillId="7" borderId="0" xfId="0" applyNumberFormat="1" applyFont="1" applyFill="1"/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2" fontId="4" fillId="0" borderId="0" xfId="0" applyNumberFormat="1" applyFont="1" applyAlignment="1">
      <alignment horizontal="right" wrapText="1"/>
    </xf>
    <xf numFmtId="2" fontId="5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right" wrapText="1"/>
    </xf>
    <xf numFmtId="0" fontId="5" fillId="0" borderId="5" xfId="0" applyFont="1" applyBorder="1"/>
    <xf numFmtId="0" fontId="5" fillId="0" borderId="0" xfId="0" applyFont="1" applyAlignment="1">
      <alignment horizontal="right"/>
    </xf>
    <xf numFmtId="0" fontId="5" fillId="0" borderId="5" xfId="0" applyFont="1" applyBorder="1" applyAlignment="1">
      <alignment horizontal="left"/>
    </xf>
    <xf numFmtId="2" fontId="4" fillId="0" borderId="0" xfId="0" applyNumberFormat="1" applyFont="1" applyAlignment="1">
      <alignment wrapText="1"/>
    </xf>
    <xf numFmtId="2" fontId="11" fillId="0" borderId="0" xfId="0" applyNumberFormat="1" applyFont="1" applyAlignment="1">
      <alignment horizontal="right"/>
    </xf>
    <xf numFmtId="2" fontId="14" fillId="7" borderId="0" xfId="0" applyNumberFormat="1" applyFont="1" applyFill="1"/>
    <xf numFmtId="2" fontId="5" fillId="8" borderId="0" xfId="0" applyNumberFormat="1" applyFont="1" applyFill="1"/>
    <xf numFmtId="2" fontId="4" fillId="0" borderId="0" xfId="0" applyNumberFormat="1" applyFont="1" applyAlignment="1">
      <alignment horizontal="right"/>
    </xf>
    <xf numFmtId="0" fontId="4" fillId="6" borderId="0" xfId="0" applyFont="1" applyFill="1" applyAlignment="1">
      <alignment horizontal="right" wrapText="1"/>
    </xf>
    <xf numFmtId="0" fontId="4" fillId="6" borderId="0" xfId="0" applyFont="1" applyFill="1" applyAlignment="1">
      <alignment horizontal="right"/>
    </xf>
    <xf numFmtId="0" fontId="5" fillId="6" borderId="0" xfId="0" applyFont="1" applyFill="1"/>
    <xf numFmtId="2" fontId="4" fillId="6" borderId="0" xfId="0" applyNumberFormat="1" applyFont="1" applyFill="1" applyAlignment="1">
      <alignment wrapText="1"/>
    </xf>
    <xf numFmtId="0" fontId="4" fillId="6" borderId="0" xfId="0" applyFont="1" applyFill="1"/>
    <xf numFmtId="0" fontId="5" fillId="6" borderId="6" xfId="0" applyFont="1" applyFill="1" applyBorder="1"/>
    <xf numFmtId="2" fontId="4" fillId="6" borderId="7" xfId="0" applyNumberFormat="1" applyFont="1" applyFill="1" applyBorder="1" applyAlignment="1">
      <alignment horizontal="right"/>
    </xf>
    <xf numFmtId="0" fontId="1" fillId="6" borderId="7" xfId="0" applyFont="1" applyFill="1" applyBorder="1"/>
    <xf numFmtId="0" fontId="16" fillId="6" borderId="7" xfId="0" applyFont="1" applyFill="1" applyBorder="1"/>
    <xf numFmtId="0" fontId="16" fillId="6" borderId="8" xfId="0" applyFont="1" applyFill="1" applyBorder="1"/>
    <xf numFmtId="0" fontId="14" fillId="7" borderId="9" xfId="0" applyFont="1" applyFill="1" applyBorder="1"/>
    <xf numFmtId="2" fontId="16" fillId="0" borderId="0" xfId="0" applyNumberFormat="1" applyFont="1"/>
    <xf numFmtId="0" fontId="16" fillId="0" borderId="0" xfId="0" applyFont="1"/>
    <xf numFmtId="0" fontId="16" fillId="0" borderId="10" xfId="0" applyFont="1" applyBorder="1"/>
    <xf numFmtId="0" fontId="14" fillId="9" borderId="9" xfId="0" applyFont="1" applyFill="1" applyBorder="1"/>
    <xf numFmtId="0" fontId="5" fillId="0" borderId="9" xfId="0" applyFont="1" applyBorder="1"/>
    <xf numFmtId="10" fontId="14" fillId="7" borderId="9" xfId="0" applyNumberFormat="1" applyFont="1" applyFill="1" applyBorder="1"/>
    <xf numFmtId="10" fontId="16" fillId="0" borderId="0" xfId="0" applyNumberFormat="1" applyFont="1"/>
    <xf numFmtId="10" fontId="14" fillId="9" borderId="11" xfId="0" applyNumberFormat="1" applyFont="1" applyFill="1" applyBorder="1"/>
    <xf numFmtId="0" fontId="16" fillId="0" borderId="12" xfId="0" applyFont="1" applyBorder="1"/>
    <xf numFmtId="0" fontId="1" fillId="0" borderId="12" xfId="0" applyFont="1" applyBorder="1"/>
    <xf numFmtId="0" fontId="16" fillId="0" borderId="13" xfId="0" applyFont="1" applyBorder="1"/>
    <xf numFmtId="2" fontId="1" fillId="0" borderId="0" xfId="0" applyNumberFormat="1" applyFont="1"/>
    <xf numFmtId="9" fontId="5" fillId="0" borderId="0" xfId="0" applyNumberFormat="1" applyFont="1"/>
    <xf numFmtId="10" fontId="16" fillId="0" borderId="12" xfId="0" applyNumberFormat="1" applyFont="1" applyBorder="1"/>
    <xf numFmtId="0" fontId="8" fillId="6" borderId="0" xfId="0" applyFont="1" applyFill="1"/>
    <xf numFmtId="2" fontId="2" fillId="0" borderId="0" xfId="0" applyNumberFormat="1" applyFont="1"/>
    <xf numFmtId="0" fontId="5" fillId="4" borderId="0" xfId="0" applyFont="1" applyFill="1"/>
    <xf numFmtId="0" fontId="4" fillId="4" borderId="0" xfId="0" applyFont="1" applyFill="1" applyAlignment="1">
      <alignment horizontal="right" wrapText="1"/>
    </xf>
    <xf numFmtId="2" fontId="5" fillId="4" borderId="0" xfId="0" applyNumberFormat="1" applyFont="1" applyFill="1"/>
    <xf numFmtId="0" fontId="4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87B49-6531-AD40-B4B6-936B083C300F}">
  <dimension ref="A1:I163"/>
  <sheetViews>
    <sheetView tabSelected="1" topLeftCell="A131" zoomScaleNormal="86" workbookViewId="0">
      <selection activeCell="B155" sqref="B155"/>
    </sheetView>
  </sheetViews>
  <sheetFormatPr baseColWidth="10" defaultColWidth="11" defaultRowHeight="16" x14ac:dyDescent="0.2"/>
  <cols>
    <col min="1" max="1" width="78.33203125" bestFit="1" customWidth="1"/>
    <col min="6" max="6" width="30.83203125" bestFit="1" customWidth="1"/>
    <col min="7" max="7" width="29.33203125" style="27" bestFit="1" customWidth="1"/>
  </cols>
  <sheetData>
    <row r="1" spans="1:9" ht="19" x14ac:dyDescent="0.25">
      <c r="A1" s="40" t="s">
        <v>327</v>
      </c>
      <c r="B1" s="41" t="s">
        <v>0</v>
      </c>
      <c r="C1" s="42" t="s">
        <v>1</v>
      </c>
      <c r="D1" s="42" t="s">
        <v>2</v>
      </c>
      <c r="E1" s="43"/>
      <c r="F1" s="43"/>
      <c r="G1" s="63" t="s">
        <v>3</v>
      </c>
      <c r="H1" s="44" t="s">
        <v>5</v>
      </c>
    </row>
    <row r="2" spans="1:9" x14ac:dyDescent="0.2">
      <c r="A2" s="10"/>
      <c r="B2" s="10"/>
      <c r="C2" s="10"/>
      <c r="D2" s="10"/>
      <c r="E2" s="10"/>
      <c r="F2" s="10"/>
      <c r="G2" s="51"/>
      <c r="H2" s="2"/>
    </row>
    <row r="3" spans="1:9" x14ac:dyDescent="0.2">
      <c r="A3" s="9" t="s">
        <v>67</v>
      </c>
      <c r="B3" s="10"/>
      <c r="C3" s="10"/>
      <c r="D3" s="10"/>
      <c r="E3" s="10"/>
      <c r="F3" s="10"/>
      <c r="G3" s="51"/>
      <c r="H3" s="2"/>
    </row>
    <row r="4" spans="1:9" x14ac:dyDescent="0.2">
      <c r="A4" s="45" t="s">
        <v>68</v>
      </c>
      <c r="B4" s="46"/>
      <c r="C4" s="46"/>
      <c r="D4" s="46"/>
      <c r="E4" s="46"/>
      <c r="F4" s="46"/>
      <c r="G4" s="52"/>
      <c r="H4" s="2"/>
    </row>
    <row r="5" spans="1:9" x14ac:dyDescent="0.2">
      <c r="A5" s="10" t="s">
        <v>6</v>
      </c>
      <c r="B5" s="10"/>
      <c r="C5" s="10"/>
      <c r="D5" s="10"/>
      <c r="E5" s="10"/>
      <c r="F5" s="10"/>
      <c r="G5" s="51">
        <f>'Bishopstone Receipts'!F5</f>
        <v>10.934375000000001</v>
      </c>
      <c r="H5" s="2"/>
    </row>
    <row r="6" spans="1:9" x14ac:dyDescent="0.2">
      <c r="A6" s="10" t="s">
        <v>177</v>
      </c>
      <c r="B6" s="10"/>
      <c r="C6" s="10"/>
      <c r="D6" s="10"/>
      <c r="E6" s="10"/>
      <c r="F6" s="10"/>
      <c r="G6" s="51">
        <f>'Bishopstone Receipts'!F14</f>
        <v>12.275</v>
      </c>
      <c r="H6" s="2"/>
    </row>
    <row r="7" spans="1:9" x14ac:dyDescent="0.2">
      <c r="A7" s="10" t="s">
        <v>11</v>
      </c>
      <c r="B7" s="10"/>
      <c r="C7" s="10"/>
      <c r="D7" s="10"/>
      <c r="E7" s="10"/>
      <c r="F7" s="10"/>
      <c r="G7" s="51">
        <f>'Bishopstone Receipts'!F22</f>
        <v>0.76249999999999996</v>
      </c>
      <c r="H7" s="2"/>
    </row>
    <row r="8" spans="1:9" x14ac:dyDescent="0.2">
      <c r="A8" s="10" t="s">
        <v>12</v>
      </c>
      <c r="B8" s="10"/>
      <c r="C8" s="10"/>
      <c r="D8" s="10"/>
      <c r="E8" s="10"/>
      <c r="F8" s="10"/>
      <c r="G8" s="51">
        <f>'Bishopstone Receipts'!F27</f>
        <v>2.5000000000000001E-2</v>
      </c>
      <c r="H8" s="2"/>
    </row>
    <row r="9" spans="1:9" x14ac:dyDescent="0.2">
      <c r="A9" s="10" t="s">
        <v>176</v>
      </c>
      <c r="B9" s="10"/>
      <c r="C9" s="10"/>
      <c r="D9" s="10"/>
      <c r="E9" s="10"/>
      <c r="F9" s="10"/>
      <c r="G9" s="51">
        <f>'Bishopstone Receipts'!F36</f>
        <v>7.4999999999999997E-2</v>
      </c>
      <c r="H9" s="2"/>
    </row>
    <row r="10" spans="1:9" x14ac:dyDescent="0.2">
      <c r="A10" s="10" t="s">
        <v>328</v>
      </c>
      <c r="B10" s="10"/>
      <c r="C10" s="10"/>
      <c r="D10" s="10"/>
      <c r="E10" s="10"/>
      <c r="F10" s="10"/>
      <c r="G10" s="51">
        <f>'Bishopstone Receipts'!F29</f>
        <v>11.487499999999999</v>
      </c>
      <c r="H10" s="2"/>
    </row>
    <row r="11" spans="1:9" x14ac:dyDescent="0.2">
      <c r="A11" s="10" t="s">
        <v>69</v>
      </c>
      <c r="B11" s="10"/>
      <c r="C11" s="10"/>
      <c r="D11" s="10"/>
      <c r="E11" s="10"/>
      <c r="F11" s="10"/>
      <c r="G11" s="51">
        <f>'Bishopstone Receipts'!F65</f>
        <v>14.485416666666667</v>
      </c>
      <c r="H11" s="2"/>
    </row>
    <row r="12" spans="1:9" x14ac:dyDescent="0.2">
      <c r="A12" s="10" t="s">
        <v>16</v>
      </c>
      <c r="B12" s="10"/>
      <c r="C12" s="10"/>
      <c r="D12" s="10"/>
      <c r="E12" s="10"/>
      <c r="F12" s="10"/>
      <c r="G12" s="51">
        <f>'Bishopstone Receipts'!F77</f>
        <v>36.342708333333334</v>
      </c>
      <c r="H12" s="2"/>
    </row>
    <row r="13" spans="1:9" x14ac:dyDescent="0.2">
      <c r="A13" s="10" t="s">
        <v>17</v>
      </c>
      <c r="B13" s="10"/>
      <c r="C13" s="10"/>
      <c r="D13" s="10"/>
      <c r="E13" s="10"/>
      <c r="F13" s="10"/>
      <c r="G13" s="51">
        <f>'Bishopstone Receipts'!F89</f>
        <v>2.0166666666666666</v>
      </c>
      <c r="H13" s="2"/>
    </row>
    <row r="14" spans="1:9" x14ac:dyDescent="0.2">
      <c r="A14" s="10" t="s">
        <v>70</v>
      </c>
      <c r="B14" s="10"/>
      <c r="C14" s="10"/>
      <c r="D14" s="10"/>
      <c r="E14" s="10"/>
      <c r="F14" s="10"/>
      <c r="G14" s="51">
        <f>'Bishopstone Receipts'!F96</f>
        <v>2.2999999999999998</v>
      </c>
      <c r="H14" s="2"/>
    </row>
    <row r="15" spans="1:9" x14ac:dyDescent="0.2">
      <c r="A15" s="48" t="s">
        <v>71</v>
      </c>
      <c r="B15" s="48"/>
      <c r="C15" s="48"/>
      <c r="D15" s="48"/>
      <c r="E15" s="48"/>
      <c r="F15" s="48"/>
      <c r="G15" s="64">
        <f>G5+G9+G10+G11+G12+G13+G14</f>
        <v>77.641666666666666</v>
      </c>
      <c r="H15" s="2"/>
    </row>
    <row r="16" spans="1:9" x14ac:dyDescent="0.2">
      <c r="A16" s="48" t="s">
        <v>214</v>
      </c>
      <c r="B16" s="48"/>
      <c r="C16" s="48"/>
      <c r="D16" s="48"/>
      <c r="E16" s="48"/>
      <c r="F16" s="48"/>
      <c r="G16" s="64">
        <f>'Bishopstone Receipts'!F100</f>
        <v>66.707291666666663</v>
      </c>
      <c r="H16" s="50"/>
      <c r="I16" s="18"/>
    </row>
    <row r="17" spans="1:8" x14ac:dyDescent="0.2">
      <c r="A17" s="48" t="s">
        <v>215</v>
      </c>
      <c r="B17" s="48"/>
      <c r="C17" s="48"/>
      <c r="D17" s="48"/>
      <c r="E17" s="48"/>
      <c r="F17" s="48"/>
      <c r="G17" s="64" t="s">
        <v>178</v>
      </c>
      <c r="H17" s="50"/>
    </row>
    <row r="18" spans="1:8" x14ac:dyDescent="0.2">
      <c r="A18" s="10"/>
      <c r="B18" s="10"/>
      <c r="C18" s="10"/>
      <c r="D18" s="10"/>
      <c r="E18" s="10"/>
      <c r="F18" s="10"/>
      <c r="G18" s="51"/>
      <c r="H18" s="2"/>
    </row>
    <row r="19" spans="1:8" x14ac:dyDescent="0.2">
      <c r="A19" s="10"/>
      <c r="B19" s="10"/>
      <c r="C19" s="10"/>
      <c r="D19" s="10"/>
      <c r="E19" s="10"/>
      <c r="F19" s="10"/>
      <c r="G19" s="51"/>
      <c r="H19" s="2"/>
    </row>
    <row r="20" spans="1:8" x14ac:dyDescent="0.2">
      <c r="A20" s="45" t="s">
        <v>72</v>
      </c>
      <c r="B20" s="46"/>
      <c r="C20" s="46"/>
      <c r="D20" s="46"/>
      <c r="E20" s="46"/>
      <c r="F20" s="46"/>
      <c r="G20" s="52"/>
      <c r="H20" s="2"/>
    </row>
    <row r="21" spans="1:8" x14ac:dyDescent="0.2">
      <c r="A21" s="10" t="s">
        <v>179</v>
      </c>
      <c r="B21" s="10"/>
      <c r="C21" s="10"/>
      <c r="D21" s="10"/>
      <c r="E21" s="10"/>
      <c r="F21" s="10"/>
      <c r="G21" s="51">
        <f>'Bishopstone Expenses'!F13</f>
        <v>1.7583333333333333</v>
      </c>
      <c r="H21" s="2"/>
    </row>
    <row r="22" spans="1:8" x14ac:dyDescent="0.2">
      <c r="A22" s="10" t="s">
        <v>73</v>
      </c>
      <c r="B22" s="10"/>
      <c r="C22" s="10"/>
      <c r="D22" s="10"/>
      <c r="E22" s="10"/>
      <c r="F22" s="10"/>
      <c r="G22" s="51"/>
      <c r="H22" s="2"/>
    </row>
    <row r="23" spans="1:8" x14ac:dyDescent="0.2">
      <c r="A23" s="10" t="s">
        <v>180</v>
      </c>
      <c r="B23" s="10"/>
      <c r="C23" s="10"/>
      <c r="D23" s="10"/>
      <c r="E23" s="10"/>
      <c r="F23" s="10"/>
      <c r="G23" s="51">
        <f>'Bishopstone Expenses'!F22</f>
        <v>8.5416666666666669E-2</v>
      </c>
      <c r="H23" s="2"/>
    </row>
    <row r="24" spans="1:8" x14ac:dyDescent="0.2">
      <c r="A24" s="10" t="s">
        <v>181</v>
      </c>
      <c r="B24" s="10"/>
      <c r="C24" s="10"/>
      <c r="D24" s="10"/>
      <c r="E24" s="10"/>
      <c r="F24" s="10"/>
      <c r="G24" s="51">
        <f>'Bishopstone Expenses'!F32</f>
        <v>0.2583333333333333</v>
      </c>
      <c r="H24" s="2"/>
    </row>
    <row r="25" spans="1:8" x14ac:dyDescent="0.2">
      <c r="A25" s="10" t="s">
        <v>182</v>
      </c>
      <c r="B25" s="10"/>
      <c r="C25" s="10"/>
      <c r="D25" s="10"/>
      <c r="E25" s="10"/>
      <c r="F25" s="10"/>
      <c r="G25" s="51"/>
      <c r="H25" s="2"/>
    </row>
    <row r="26" spans="1:8" x14ac:dyDescent="0.2">
      <c r="A26" s="10" t="s">
        <v>24</v>
      </c>
      <c r="B26" s="10"/>
      <c r="C26" s="10"/>
      <c r="D26" s="10"/>
      <c r="E26" s="10"/>
      <c r="F26" s="10"/>
      <c r="G26" s="51">
        <f>'Bishopstone Expenses'!F42</f>
        <v>1.2604166666666667</v>
      </c>
      <c r="H26" s="2"/>
    </row>
    <row r="27" spans="1:8" x14ac:dyDescent="0.2">
      <c r="A27" s="10" t="s">
        <v>183</v>
      </c>
      <c r="B27" s="10"/>
      <c r="C27" s="10"/>
      <c r="D27" s="10"/>
      <c r="E27" s="10"/>
      <c r="F27" s="10"/>
      <c r="G27" s="51">
        <f>'Bishopstone Expenses'!F51</f>
        <v>6.6666666666666666E-2</v>
      </c>
      <c r="H27" s="2"/>
    </row>
    <row r="28" spans="1:8" x14ac:dyDescent="0.2">
      <c r="A28" s="10" t="s">
        <v>26</v>
      </c>
      <c r="B28" s="10"/>
      <c r="C28" s="10"/>
      <c r="D28" s="10"/>
      <c r="E28" s="10"/>
      <c r="F28" s="10"/>
      <c r="G28" s="51">
        <f>'Bishopstone Expenses'!F62</f>
        <v>1.7979166666666666</v>
      </c>
      <c r="H28" s="2"/>
    </row>
    <row r="29" spans="1:8" x14ac:dyDescent="0.2">
      <c r="A29" s="10" t="s">
        <v>184</v>
      </c>
      <c r="B29" s="10"/>
      <c r="C29" s="10"/>
      <c r="D29" s="10"/>
      <c r="E29" s="10"/>
      <c r="F29" s="10"/>
      <c r="G29" s="51">
        <f>'Bishopstone Expenses'!F70</f>
        <v>0.61041666666666661</v>
      </c>
      <c r="H29" s="2"/>
    </row>
    <row r="30" spans="1:8" x14ac:dyDescent="0.2">
      <c r="A30" s="10" t="s">
        <v>185</v>
      </c>
      <c r="B30" s="10"/>
      <c r="C30" s="10"/>
      <c r="D30" s="10"/>
      <c r="E30" s="10"/>
      <c r="F30" s="10"/>
      <c r="G30" s="51" t="s">
        <v>322</v>
      </c>
      <c r="H30" s="2"/>
    </row>
    <row r="31" spans="1:8" x14ac:dyDescent="0.2">
      <c r="A31" s="48" t="s">
        <v>74</v>
      </c>
      <c r="B31" s="46"/>
      <c r="C31" s="46"/>
      <c r="D31" s="46"/>
      <c r="E31" s="46"/>
      <c r="F31" s="46"/>
      <c r="G31" s="52">
        <f>SUM(G21:G30)</f>
        <v>5.8374999999999995</v>
      </c>
      <c r="H31" s="2"/>
    </row>
    <row r="32" spans="1:8" x14ac:dyDescent="0.2">
      <c r="A32" s="48" t="s">
        <v>75</v>
      </c>
      <c r="B32" s="46"/>
      <c r="C32" s="46"/>
      <c r="D32" s="46"/>
      <c r="E32" s="46"/>
      <c r="F32" s="46"/>
      <c r="G32" s="52">
        <f>'Bishopstone Expenses'!F80</f>
        <v>7.8395833333333336</v>
      </c>
      <c r="H32" s="50">
        <f>G31-G32</f>
        <v>-2.0020833333333341</v>
      </c>
    </row>
    <row r="33" spans="1:8" x14ac:dyDescent="0.2">
      <c r="A33" s="92" t="s">
        <v>329</v>
      </c>
      <c r="B33" s="46"/>
      <c r="C33" s="46"/>
      <c r="D33" s="46"/>
      <c r="E33" s="46"/>
      <c r="F33" s="46"/>
      <c r="G33" s="52">
        <f>'Bishopstone Expenses'!F85</f>
        <v>2.7208333333333332</v>
      </c>
      <c r="H33" s="2"/>
    </row>
    <row r="34" spans="1:8" x14ac:dyDescent="0.2">
      <c r="A34" s="10"/>
      <c r="B34" s="10"/>
      <c r="C34" s="10"/>
      <c r="D34" s="10"/>
      <c r="E34" s="10"/>
      <c r="F34" s="10"/>
      <c r="G34" s="51"/>
      <c r="H34" s="2"/>
    </row>
    <row r="35" spans="1:8" x14ac:dyDescent="0.2">
      <c r="A35" s="10" t="s">
        <v>76</v>
      </c>
      <c r="B35" s="10"/>
      <c r="C35" s="10"/>
      <c r="D35" s="10"/>
      <c r="E35" s="10"/>
      <c r="F35" s="10"/>
      <c r="G35" s="51">
        <f>'Bishopstone Expenses'!F82</f>
        <v>58.867708333333333</v>
      </c>
      <c r="H35" s="2"/>
    </row>
    <row r="36" spans="1:8" x14ac:dyDescent="0.2">
      <c r="A36" s="10" t="s">
        <v>77</v>
      </c>
      <c r="B36" s="10"/>
      <c r="C36" s="10"/>
      <c r="D36" s="10"/>
      <c r="E36" s="10"/>
      <c r="F36" s="10"/>
      <c r="G36" s="51"/>
      <c r="H36" s="50"/>
    </row>
    <row r="37" spans="1:8" x14ac:dyDescent="0.2">
      <c r="A37" s="10"/>
      <c r="B37" s="10"/>
      <c r="C37" s="10"/>
      <c r="D37" s="10"/>
      <c r="E37" s="10"/>
      <c r="F37" s="10"/>
      <c r="G37" s="51"/>
      <c r="H37" s="2"/>
    </row>
    <row r="38" spans="1:8" x14ac:dyDescent="0.2">
      <c r="A38" s="10" t="s">
        <v>187</v>
      </c>
      <c r="B38" s="10"/>
      <c r="C38" s="10"/>
      <c r="D38" s="10"/>
      <c r="E38" s="10"/>
      <c r="F38" s="10"/>
      <c r="G38" s="27">
        <f>'Bishopstone Expenses'!F83</f>
        <v>47.4</v>
      </c>
      <c r="H38" s="2"/>
    </row>
    <row r="39" spans="1:8" x14ac:dyDescent="0.2">
      <c r="A39" s="48" t="s">
        <v>74</v>
      </c>
      <c r="B39" s="46">
        <f>SUM(B38:B38)</f>
        <v>0</v>
      </c>
      <c r="C39" s="46">
        <f>SUM(C38:C38)</f>
        <v>0</v>
      </c>
      <c r="D39" s="46">
        <f>SUM(D38:D38)</f>
        <v>0</v>
      </c>
      <c r="E39" s="46">
        <f>SUM(E38:E38)</f>
        <v>0</v>
      </c>
      <c r="F39" s="46"/>
      <c r="G39" s="52">
        <f>SUM(G38:G38)</f>
        <v>47.4</v>
      </c>
      <c r="H39" s="2"/>
    </row>
    <row r="40" spans="1:8" x14ac:dyDescent="0.2">
      <c r="A40" s="48" t="s">
        <v>78</v>
      </c>
      <c r="B40" s="46" t="s">
        <v>178</v>
      </c>
      <c r="C40" s="46"/>
      <c r="D40" s="46"/>
      <c r="E40" s="46"/>
      <c r="F40" s="46"/>
      <c r="G40" s="65"/>
      <c r="H40" s="2"/>
    </row>
    <row r="41" spans="1:8" x14ac:dyDescent="0.2">
      <c r="A41" s="10"/>
      <c r="B41" s="10"/>
      <c r="C41" s="10"/>
      <c r="D41" s="10"/>
      <c r="E41" s="10"/>
      <c r="F41" s="10"/>
      <c r="G41" s="51"/>
      <c r="H41" s="2"/>
    </row>
    <row r="42" spans="1:8" x14ac:dyDescent="0.2">
      <c r="A42" s="10" t="s">
        <v>79</v>
      </c>
      <c r="B42" s="10"/>
      <c r="C42" s="10"/>
      <c r="D42" s="10"/>
      <c r="E42" s="10"/>
      <c r="F42" s="10"/>
      <c r="G42" s="27">
        <f>'Bishopstone Expenses'!F84</f>
        <v>11.467708333333333</v>
      </c>
      <c r="H42" s="2"/>
    </row>
    <row r="43" spans="1:8" x14ac:dyDescent="0.2">
      <c r="A43" s="10" t="s">
        <v>80</v>
      </c>
      <c r="B43" s="10"/>
      <c r="C43" s="10"/>
      <c r="D43" s="10"/>
      <c r="E43" s="10"/>
      <c r="F43" s="10"/>
      <c r="H43" s="50">
        <f>G42-G43</f>
        <v>11.467708333333333</v>
      </c>
    </row>
    <row r="44" spans="1:8" x14ac:dyDescent="0.2">
      <c r="A44" s="10"/>
      <c r="B44" s="10"/>
      <c r="C44" s="10"/>
      <c r="D44" s="10"/>
      <c r="E44" s="10"/>
      <c r="F44" s="10"/>
      <c r="G44" s="51"/>
      <c r="H44" s="2"/>
    </row>
    <row r="45" spans="1:8" x14ac:dyDescent="0.2">
      <c r="A45" s="45" t="s">
        <v>81</v>
      </c>
      <c r="B45" s="97" t="s">
        <v>218</v>
      </c>
      <c r="C45" s="97"/>
      <c r="D45" s="46"/>
      <c r="E45" s="46"/>
      <c r="F45" s="46"/>
      <c r="G45" s="52"/>
      <c r="H45" s="2"/>
    </row>
    <row r="46" spans="1:8" x14ac:dyDescent="0.2">
      <c r="A46" s="9" t="s">
        <v>82</v>
      </c>
      <c r="B46" s="13" t="s">
        <v>45</v>
      </c>
      <c r="C46" s="15" t="s">
        <v>46</v>
      </c>
      <c r="D46" s="10"/>
      <c r="E46" s="10"/>
      <c r="F46" s="93" t="s">
        <v>332</v>
      </c>
      <c r="G46" s="93" t="s">
        <v>333</v>
      </c>
    </row>
    <row r="47" spans="1:8" x14ac:dyDescent="0.2">
      <c r="A47" t="s">
        <v>48</v>
      </c>
      <c r="B47" s="51">
        <f>'Issues of the Grange'!J18</f>
        <v>49.25</v>
      </c>
      <c r="C47" s="10"/>
      <c r="D47" s="10"/>
      <c r="E47" s="10"/>
      <c r="F47" s="51">
        <f>'Issues of the Grange'!P5</f>
        <v>17.867131979695433</v>
      </c>
      <c r="G47" s="51">
        <f>'Issues of the Grange'!M18</f>
        <v>12.393750000000001</v>
      </c>
      <c r="H47" s="2"/>
    </row>
    <row r="48" spans="1:8" x14ac:dyDescent="0.2">
      <c r="A48" t="s">
        <v>49</v>
      </c>
      <c r="B48" s="51">
        <f>'Issues of the Grange'!J19</f>
        <v>7</v>
      </c>
      <c r="C48" s="10"/>
      <c r="D48" s="10"/>
      <c r="E48" s="10"/>
      <c r="F48" s="51">
        <f>'Issues of the Grange'!P6</f>
        <v>1.0760416666666668</v>
      </c>
      <c r="G48" s="51">
        <f>'Issues of the Grange'!M19</f>
        <v>0.97190860215053765</v>
      </c>
      <c r="H48" s="2"/>
    </row>
    <row r="49" spans="1:8" x14ac:dyDescent="0.2">
      <c r="A49" t="s">
        <v>50</v>
      </c>
      <c r="B49" s="51">
        <f>'Issues of the Grange'!J20</f>
        <v>75.25</v>
      </c>
      <c r="C49" s="10"/>
      <c r="D49" s="10"/>
      <c r="E49" s="10"/>
      <c r="F49" s="51">
        <f>'Issues of the Grange'!P7</f>
        <v>24.066583471991123</v>
      </c>
      <c r="G49" s="51">
        <f>'Issues of the Grange'!M20</f>
        <v>15.029132002218523</v>
      </c>
      <c r="H49" s="2"/>
    </row>
    <row r="50" spans="1:8" x14ac:dyDescent="0.2">
      <c r="A50" t="s">
        <v>51</v>
      </c>
      <c r="B50" s="51">
        <f>'Issues of the Grange'!J21</f>
        <v>34.875</v>
      </c>
      <c r="C50" s="10"/>
      <c r="D50" s="10"/>
      <c r="E50" s="10"/>
      <c r="F50" s="51">
        <f>'Issues of the Grange'!P8</f>
        <v>8.0166666666666657</v>
      </c>
      <c r="G50" s="51">
        <f>'Issues of the Grange'!M21</f>
        <v>4.6500000000000004</v>
      </c>
      <c r="H50" s="2"/>
    </row>
    <row r="51" spans="1:8" x14ac:dyDescent="0.2">
      <c r="A51" t="s">
        <v>52</v>
      </c>
      <c r="B51" s="51">
        <f>'Issues of the Grange'!J22</f>
        <v>17.5</v>
      </c>
      <c r="C51" s="10"/>
      <c r="D51" s="10"/>
      <c r="E51" s="10"/>
      <c r="F51" s="51">
        <f>'Issues of the Grange'!P9</f>
        <v>3.645833333333333</v>
      </c>
      <c r="G51" s="51">
        <f>'Issues of the Grange'!M22</f>
        <v>2.9166666666666665</v>
      </c>
      <c r="H51" s="2"/>
    </row>
    <row r="52" spans="1:8" x14ac:dyDescent="0.2">
      <c r="A52" t="s">
        <v>53</v>
      </c>
      <c r="B52" s="51">
        <f>'Issues of the Grange'!J23</f>
        <v>6.5</v>
      </c>
      <c r="C52" s="10"/>
      <c r="D52" s="10"/>
      <c r="E52" s="10"/>
      <c r="F52" s="51">
        <f>'Issues of the Grange'!P10</f>
        <v>0</v>
      </c>
      <c r="G52" s="51">
        <f>'Issues of the Grange'!M23</f>
        <v>0</v>
      </c>
      <c r="H52" s="2"/>
    </row>
    <row r="53" spans="1:8" x14ac:dyDescent="0.2">
      <c r="A53" s="48" t="s">
        <v>334</v>
      </c>
      <c r="B53" s="46"/>
      <c r="C53" s="46"/>
      <c r="D53" s="46"/>
      <c r="E53" s="46"/>
      <c r="F53" s="52">
        <f>SUM(F47:F52)</f>
        <v>54.672257118353222</v>
      </c>
      <c r="G53" s="52"/>
      <c r="H53" s="2"/>
    </row>
    <row r="54" spans="1:8" x14ac:dyDescent="0.2">
      <c r="A54" s="48" t="s">
        <v>335</v>
      </c>
      <c r="B54" s="46"/>
      <c r="C54" s="46"/>
      <c r="D54" s="46"/>
      <c r="E54" s="46"/>
      <c r="F54" s="52">
        <f>SUM(G47:G52)</f>
        <v>35.961457271035727</v>
      </c>
      <c r="G54" s="52"/>
      <c r="H54" s="2"/>
    </row>
    <row r="55" spans="1:8" x14ac:dyDescent="0.2">
      <c r="A55" s="48" t="s">
        <v>84</v>
      </c>
      <c r="B55" s="46"/>
      <c r="C55" s="46"/>
      <c r="D55" s="46"/>
      <c r="E55" s="46"/>
      <c r="F55" s="52">
        <f>SUM('Issues of the Grange'!N18:N23)</f>
        <v>35.390625</v>
      </c>
      <c r="G55" s="32"/>
      <c r="H55" s="2"/>
    </row>
    <row r="56" spans="1:8" x14ac:dyDescent="0.2">
      <c r="A56" s="10"/>
      <c r="B56" s="10"/>
      <c r="C56" s="10"/>
      <c r="D56" s="10"/>
      <c r="E56" s="10"/>
      <c r="F56" s="10"/>
      <c r="G56" s="51"/>
      <c r="H56" s="2"/>
    </row>
    <row r="57" spans="1:8" x14ac:dyDescent="0.2">
      <c r="A57" s="45" t="s">
        <v>85</v>
      </c>
      <c r="B57" s="46" t="s">
        <v>178</v>
      </c>
      <c r="C57" s="46"/>
      <c r="D57" s="46"/>
      <c r="E57" s="46"/>
      <c r="F57" s="46"/>
      <c r="G57" s="52"/>
      <c r="H57" s="2"/>
    </row>
    <row r="58" spans="1:8" x14ac:dyDescent="0.2">
      <c r="A58" s="9" t="s">
        <v>86</v>
      </c>
      <c r="B58" s="13" t="s">
        <v>45</v>
      </c>
      <c r="C58" s="15" t="s">
        <v>46</v>
      </c>
      <c r="D58" s="10"/>
      <c r="E58" s="10"/>
      <c r="F58" s="10"/>
      <c r="G58" s="66" t="s">
        <v>0</v>
      </c>
      <c r="H58" s="2"/>
    </row>
    <row r="59" spans="1:8" x14ac:dyDescent="0.2">
      <c r="A59" s="10" t="s">
        <v>48</v>
      </c>
      <c r="B59" s="10"/>
      <c r="C59" s="10"/>
      <c r="D59" s="10"/>
      <c r="E59" s="10"/>
      <c r="F59" s="10"/>
      <c r="G59" s="51"/>
      <c r="H59" s="2"/>
    </row>
    <row r="60" spans="1:8" x14ac:dyDescent="0.2">
      <c r="A60" s="10" t="s">
        <v>87</v>
      </c>
      <c r="B60" s="10"/>
      <c r="C60" s="10"/>
      <c r="D60" s="10"/>
      <c r="E60" s="10"/>
      <c r="F60" s="10"/>
      <c r="G60" s="51"/>
      <c r="H60" s="2"/>
    </row>
    <row r="61" spans="1:8" x14ac:dyDescent="0.2">
      <c r="A61" s="10" t="s">
        <v>88</v>
      </c>
      <c r="B61" s="10"/>
      <c r="C61" s="10"/>
      <c r="D61" s="10"/>
      <c r="E61" s="10"/>
      <c r="F61" s="10"/>
      <c r="G61" s="51"/>
      <c r="H61" s="2"/>
    </row>
    <row r="62" spans="1:8" x14ac:dyDescent="0.2">
      <c r="A62" s="10" t="s">
        <v>89</v>
      </c>
      <c r="B62" s="10"/>
      <c r="C62" s="10"/>
      <c r="D62" s="10"/>
      <c r="E62" s="10"/>
      <c r="F62" s="10"/>
      <c r="G62" s="51"/>
      <c r="H62" s="2"/>
    </row>
    <row r="63" spans="1:8" x14ac:dyDescent="0.2">
      <c r="A63" s="10" t="s">
        <v>90</v>
      </c>
      <c r="B63" s="10"/>
      <c r="C63" s="10"/>
      <c r="D63" s="10"/>
      <c r="E63" s="10"/>
      <c r="F63" s="10"/>
      <c r="G63" s="51"/>
      <c r="H63" s="2"/>
    </row>
    <row r="64" spans="1:8" x14ac:dyDescent="0.2">
      <c r="A64" s="48" t="s">
        <v>83</v>
      </c>
      <c r="B64" s="46"/>
      <c r="C64" s="46"/>
      <c r="D64" s="46"/>
      <c r="E64" s="46"/>
      <c r="F64" s="46"/>
      <c r="G64" s="52"/>
      <c r="H64" s="2"/>
    </row>
    <row r="65" spans="1:8" x14ac:dyDescent="0.2">
      <c r="A65" s="48" t="s">
        <v>84</v>
      </c>
      <c r="B65" s="46"/>
      <c r="C65" s="46"/>
      <c r="D65" s="46"/>
      <c r="E65" s="46"/>
      <c r="F65" s="46"/>
      <c r="G65" s="52" t="s">
        <v>178</v>
      </c>
      <c r="H65" s="2"/>
    </row>
    <row r="66" spans="1:8" x14ac:dyDescent="0.2">
      <c r="A66" s="10"/>
      <c r="B66" s="10"/>
      <c r="C66" s="10"/>
      <c r="D66" s="10"/>
      <c r="E66" s="10"/>
      <c r="F66" s="10"/>
      <c r="G66" s="51"/>
      <c r="H66" s="2"/>
    </row>
    <row r="67" spans="1:8" x14ac:dyDescent="0.2">
      <c r="A67" s="45" t="s">
        <v>91</v>
      </c>
      <c r="B67" s="46"/>
      <c r="C67" s="46"/>
      <c r="D67" s="46"/>
      <c r="E67" s="46"/>
      <c r="F67" s="46"/>
      <c r="G67" s="52"/>
      <c r="H67" s="2"/>
    </row>
    <row r="68" spans="1:8" ht="34" x14ac:dyDescent="0.2">
      <c r="A68" s="71" t="s">
        <v>92</v>
      </c>
      <c r="B68" s="67" t="s">
        <v>145</v>
      </c>
      <c r="C68" s="67" t="s">
        <v>151</v>
      </c>
      <c r="D68" s="68" t="s">
        <v>93</v>
      </c>
      <c r="E68" s="69"/>
      <c r="F68" s="70" t="s">
        <v>154</v>
      </c>
      <c r="G68" s="70" t="s">
        <v>169</v>
      </c>
      <c r="H68" s="2"/>
    </row>
    <row r="69" spans="1:8" ht="17" x14ac:dyDescent="0.2">
      <c r="A69" s="53" t="s">
        <v>94</v>
      </c>
      <c r="B69" s="10">
        <f>IFERROR(INDEX(Stock!$A$3:$T$91,MATCH('Bishopstone Overview'!$A69,Stock!$A$3:$A$91,0),MATCH('Bishopstone Overview'!B$68,Stock!$A$3:$T$3,0)),0)</f>
        <v>0</v>
      </c>
      <c r="C69" s="10">
        <f>IFERROR(INDEX(Stock!$A$3:$T$91,MATCH('Bishopstone Overview'!$A69,Stock!$A$3:$A$91,0),MATCH('Bishopstone Overview'!C$68,Stock!$A$3:$T$3,0)),0)</f>
        <v>0</v>
      </c>
      <c r="D69" s="10">
        <f>C69-B69</f>
        <v>0</v>
      </c>
      <c r="E69" s="51"/>
      <c r="F69" s="10" t="str">
        <f>IFERROR(INDEX(Stock!$A$3:$T$91,MATCH('Bishopstone Overview'!$A69,Stock!$A$3:$A$91,0),MATCH('Bishopstone Overview'!F$68,Stock!$A$3:$T$3,0)),0)</f>
        <v/>
      </c>
      <c r="G69" s="10" t="str">
        <f>IFERROR(INDEX(Stock!$A$3:$T$91,MATCH('Bishopstone Overview'!$A69,Stock!$A$3:$A$91,0),MATCH('Bishopstone Overview'!G$68,Stock!$A$3:$T$3,0)),0)</f>
        <v/>
      </c>
      <c r="H69" s="2"/>
    </row>
    <row r="70" spans="1:8" ht="17" x14ac:dyDescent="0.2">
      <c r="A70" s="53" t="s">
        <v>95</v>
      </c>
      <c r="B70" s="10">
        <f>IFERROR(INDEX(Stock!$A$3:$T$91,MATCH('Bishopstone Overview'!$A70,Stock!$A$3:$A$91,0),MATCH('Bishopstone Overview'!B$68,Stock!$A$3:$T$3,0)),0)</f>
        <v>0</v>
      </c>
      <c r="C70" s="10">
        <f>IFERROR(INDEX(Stock!$A$3:$T$91,MATCH('Bishopstone Overview'!$A70,Stock!$A$3:$A$91,0),MATCH('Bishopstone Overview'!C$68,Stock!$A$3:$T$3,0)),0)</f>
        <v>0</v>
      </c>
      <c r="D70" s="10">
        <f t="shared" ref="D70:D94" si="0">C70-B70</f>
        <v>0</v>
      </c>
      <c r="E70" s="51"/>
      <c r="F70" s="10" t="str">
        <f>IFERROR(INDEX(Stock!$A$3:$T$91,MATCH('Bishopstone Overview'!$A70,Stock!$A$3:$A$91,0),MATCH('Bishopstone Overview'!F$68,Stock!$A$3:$T$3,0)),0)</f>
        <v/>
      </c>
      <c r="G70" s="10" t="str">
        <f>IFERROR(INDEX(Stock!$A$3:$T$91,MATCH('Bishopstone Overview'!$A70,Stock!$A$3:$A$91,0),MATCH('Bishopstone Overview'!G$68,Stock!$A$3:$T$3,0)),0)</f>
        <v/>
      </c>
      <c r="H70" s="2"/>
    </row>
    <row r="71" spans="1:8" x14ac:dyDescent="0.2">
      <c r="A71" s="10" t="s">
        <v>96</v>
      </c>
      <c r="B71" s="10">
        <f>IFERROR(INDEX(Stock!$A$3:$T$91,MATCH('Bishopstone Overview'!$A71,Stock!$A$3:$A$91,0),MATCH('Bishopstone Overview'!B$68,Stock!$A$3:$T$3,0)),0)</f>
        <v>1</v>
      </c>
      <c r="C71" s="10">
        <f>IFERROR(INDEX(Stock!$A$3:$T$91,MATCH('Bishopstone Overview'!$A71,Stock!$A$3:$A$91,0),MATCH('Bishopstone Overview'!C$68,Stock!$A$3:$T$3,0)),0)</f>
        <v>1</v>
      </c>
      <c r="D71" s="10">
        <f t="shared" si="0"/>
        <v>0</v>
      </c>
      <c r="E71" s="51"/>
      <c r="F71" s="10" t="str">
        <f>IFERROR(INDEX(Stock!$A$3:$T$91,MATCH('Bishopstone Overview'!$A71,Stock!$A$3:$A$91,0),MATCH('Bishopstone Overview'!F$68,Stock!$A$3:$T$3,0)),0)</f>
        <v/>
      </c>
      <c r="G71" s="10" t="str">
        <f>IFERROR(INDEX(Stock!$A$3:$T$91,MATCH('Bishopstone Overview'!$A71,Stock!$A$3:$A$91,0),MATCH('Bishopstone Overview'!G$68,Stock!$A$3:$T$3,0)),0)</f>
        <v/>
      </c>
      <c r="H71" s="2"/>
    </row>
    <row r="72" spans="1:8" x14ac:dyDescent="0.2">
      <c r="A72" s="10" t="s">
        <v>97</v>
      </c>
      <c r="B72" s="10">
        <f>IFERROR(INDEX(Stock!$A$3:$T$91,MATCH('Bishopstone Overview'!$A72,Stock!$A$3:$A$91,0),MATCH('Bishopstone Overview'!B$68,Stock!$A$3:$T$3,0)),0)</f>
        <v>0</v>
      </c>
      <c r="C72" s="10">
        <f>IFERROR(INDEX(Stock!$A$3:$T$91,MATCH('Bishopstone Overview'!$A72,Stock!$A$3:$A$91,0),MATCH('Bishopstone Overview'!C$68,Stock!$A$3:$T$3,0)),0)</f>
        <v>0</v>
      </c>
      <c r="D72" s="10">
        <f t="shared" si="0"/>
        <v>0</v>
      </c>
      <c r="E72" s="51"/>
      <c r="F72" s="10" t="str">
        <f>IFERROR(INDEX(Stock!$A$3:$T$91,MATCH('Bishopstone Overview'!$A72,Stock!$A$3:$A$91,0),MATCH('Bishopstone Overview'!F$68,Stock!$A$3:$T$3,0)),0)</f>
        <v/>
      </c>
      <c r="G72" s="10" t="str">
        <f>IFERROR(INDEX(Stock!$A$3:$T$91,MATCH('Bishopstone Overview'!$A72,Stock!$A$3:$A$91,0),MATCH('Bishopstone Overview'!G$68,Stock!$A$3:$T$3,0)),0)</f>
        <v/>
      </c>
      <c r="H72" s="2"/>
    </row>
    <row r="73" spans="1:8" x14ac:dyDescent="0.2">
      <c r="A73" s="10" t="s">
        <v>97</v>
      </c>
      <c r="B73" s="10">
        <f>IFERROR(INDEX(Stock!$A$3:$T$91,MATCH('Bishopstone Overview'!$A73,Stock!$A$3:$A$91,0),MATCH('Bishopstone Overview'!B$68,Stock!$A$3:$T$3,0)),0)</f>
        <v>0</v>
      </c>
      <c r="C73" s="10">
        <f>IFERROR(INDEX(Stock!$A$3:$T$91,MATCH('Bishopstone Overview'!$A73,Stock!$A$3:$A$91,0),MATCH('Bishopstone Overview'!C$68,Stock!$A$3:$T$3,0)),0)</f>
        <v>0</v>
      </c>
      <c r="D73" s="10">
        <f t="shared" si="0"/>
        <v>0</v>
      </c>
      <c r="E73" s="51"/>
      <c r="F73" s="51" t="str">
        <f>IFERROR(INDEX(Stock!$A$3:$T$91,MATCH('Bishopstone Overview'!$A73,Stock!$A$3:$A$91,0),MATCH('Bishopstone Overview'!F$68,Stock!$A$3:$T$3,0)),0)</f>
        <v/>
      </c>
      <c r="G73" s="51" t="str">
        <f>IFERROR(INDEX(Stock!$A$3:$T$91,MATCH('Bishopstone Overview'!$A73,Stock!$A$3:$A$91,0),MATCH('Bishopstone Overview'!G$68,Stock!$A$3:$T$3,0)),0)</f>
        <v/>
      </c>
      <c r="H73" s="2"/>
    </row>
    <row r="74" spans="1:8" x14ac:dyDescent="0.2">
      <c r="A74" s="10" t="s">
        <v>98</v>
      </c>
      <c r="B74" s="10">
        <f>IFERROR(INDEX(Stock!$A$3:$T$91,MATCH('Bishopstone Overview'!$A74,Stock!$A$3:$A$91,0),MATCH('Bishopstone Overview'!B$68,Stock!$A$3:$T$3,0)),0)</f>
        <v>0</v>
      </c>
      <c r="C74" s="10">
        <f>IFERROR(INDEX(Stock!$A$3:$T$91,MATCH('Bishopstone Overview'!$A74,Stock!$A$3:$A$91,0),MATCH('Bishopstone Overview'!C$68,Stock!$A$3:$T$3,0)),0)</f>
        <v>0</v>
      </c>
      <c r="D74" s="10">
        <f t="shared" si="0"/>
        <v>0</v>
      </c>
      <c r="E74" s="51"/>
      <c r="F74" s="51" t="str">
        <f>IFERROR(INDEX(Stock!$A$3:$T$91,MATCH('Bishopstone Overview'!$A74,Stock!$A$3:$A$91,0),MATCH('Bishopstone Overview'!F$68,Stock!$A$3:$T$3,0)),0)</f>
        <v/>
      </c>
      <c r="G74" s="51" t="str">
        <f>IFERROR(INDEX(Stock!$A$3:$T$91,MATCH('Bishopstone Overview'!$A74,Stock!$A$3:$A$91,0),MATCH('Bishopstone Overview'!G$68,Stock!$A$3:$T$3,0)),0)</f>
        <v/>
      </c>
      <c r="H74" s="2"/>
    </row>
    <row r="75" spans="1:8" x14ac:dyDescent="0.2">
      <c r="A75" s="10" t="s">
        <v>99</v>
      </c>
      <c r="B75" s="10">
        <f>IFERROR(INDEX(Stock!$A$3:$T$91,MATCH('Bishopstone Overview'!$A75,Stock!$A$3:$A$91,0),MATCH('Bishopstone Overview'!B$68,Stock!$A$3:$T$3,0)),0)</f>
        <v>0</v>
      </c>
      <c r="C75" s="10">
        <f>IFERROR(INDEX(Stock!$A$3:$T$91,MATCH('Bishopstone Overview'!$A75,Stock!$A$3:$A$91,0),MATCH('Bishopstone Overview'!C$68,Stock!$A$3:$T$3,0)),0)</f>
        <v>0</v>
      </c>
      <c r="D75" s="10">
        <f t="shared" si="0"/>
        <v>0</v>
      </c>
      <c r="E75" s="51"/>
      <c r="F75" s="51" t="str">
        <f>IFERROR(INDEX(Stock!$A$3:$T$91,MATCH('Bishopstone Overview'!$A75,Stock!$A$3:$A$91,0),MATCH('Bishopstone Overview'!F$68,Stock!$A$3:$T$3,0)),0)</f>
        <v/>
      </c>
      <c r="G75" s="51" t="str">
        <f>IFERROR(INDEX(Stock!$A$3:$T$91,MATCH('Bishopstone Overview'!$A75,Stock!$A$3:$A$91,0),MATCH('Bishopstone Overview'!G$68,Stock!$A$3:$T$3,0)),0)</f>
        <v/>
      </c>
      <c r="H75" s="2"/>
    </row>
    <row r="76" spans="1:8" x14ac:dyDescent="0.2">
      <c r="A76" s="10" t="s">
        <v>100</v>
      </c>
      <c r="B76" s="10">
        <f>IFERROR(INDEX(Stock!$A$3:$T$91,MATCH('Bishopstone Overview'!$A76,Stock!$A$3:$A$91,0),MATCH('Bishopstone Overview'!B$68,Stock!$A$3:$T$3,0)),0)</f>
        <v>16</v>
      </c>
      <c r="C76" s="10">
        <f>IFERROR(INDEX(Stock!$A$3:$T$91,MATCH('Bishopstone Overview'!$A76,Stock!$A$3:$A$91,0),MATCH('Bishopstone Overview'!C$68,Stock!$A$3:$T$3,0)),0)</f>
        <v>18</v>
      </c>
      <c r="D76" s="10">
        <f t="shared" si="0"/>
        <v>2</v>
      </c>
      <c r="E76" s="51"/>
      <c r="F76" s="51">
        <f>IFERROR(INDEX(Stock!$A$3:$T$91,MATCH('Bishopstone Overview'!$A76,Stock!$A$3:$A$91,0),MATCH('Bishopstone Overview'!F$68,Stock!$A$3:$T$3,0)),0)</f>
        <v>0.27500000000000002</v>
      </c>
      <c r="G76" s="51">
        <f>IFERROR(INDEX(Stock!$A$3:$T$91,MATCH('Bishopstone Overview'!$A76,Stock!$A$3:$A$91,0),MATCH('Bishopstone Overview'!G$68,Stock!$A$3:$T$3,0)),0)</f>
        <v>0.27500000000000002</v>
      </c>
      <c r="H76" s="2"/>
    </row>
    <row r="77" spans="1:8" x14ac:dyDescent="0.2">
      <c r="A77" s="10" t="s">
        <v>101</v>
      </c>
      <c r="B77" s="10">
        <f>IFERROR(INDEX(Stock!$A$3:$T$91,MATCH('Bishopstone Overview'!$A77,Stock!$A$3:$A$91,0),MATCH('Bishopstone Overview'!B$68,Stock!$A$3:$T$3,0)),0)</f>
        <v>1</v>
      </c>
      <c r="C77" s="10">
        <f>IFERROR(INDEX(Stock!$A$3:$T$91,MATCH('Bishopstone Overview'!$A77,Stock!$A$3:$A$91,0),MATCH('Bishopstone Overview'!C$68,Stock!$A$3:$T$3,0)),0)</f>
        <v>1</v>
      </c>
      <c r="D77" s="10">
        <f t="shared" si="0"/>
        <v>0</v>
      </c>
      <c r="E77" s="51"/>
      <c r="F77" s="51" t="str">
        <f>IFERROR(INDEX(Stock!$A$3:$T$91,MATCH('Bishopstone Overview'!$A77,Stock!$A$3:$A$91,0),MATCH('Bishopstone Overview'!F$68,Stock!$A$3:$T$3,0)),0)</f>
        <v/>
      </c>
      <c r="G77" s="51" t="str">
        <f>IFERROR(INDEX(Stock!$A$3:$T$91,MATCH('Bishopstone Overview'!$A77,Stock!$A$3:$A$91,0),MATCH('Bishopstone Overview'!G$68,Stock!$A$3:$T$3,0)),0)</f>
        <v/>
      </c>
      <c r="H77" s="2"/>
    </row>
    <row r="78" spans="1:8" x14ac:dyDescent="0.2">
      <c r="A78" s="10" t="s">
        <v>102</v>
      </c>
      <c r="B78" s="10">
        <f>IFERROR(INDEX(Stock!$A$3:$T$91,MATCH('Bishopstone Overview'!$A78,Stock!$A$3:$A$91,0),MATCH('Bishopstone Overview'!B$68,Stock!$A$3:$T$3,0)),0)</f>
        <v>11</v>
      </c>
      <c r="C78" s="10">
        <f>IFERROR(INDEX(Stock!$A$3:$T$91,MATCH('Bishopstone Overview'!$A78,Stock!$A$3:$A$91,0),MATCH('Bishopstone Overview'!C$68,Stock!$A$3:$T$3,0)),0)</f>
        <v>11</v>
      </c>
      <c r="D78" s="10">
        <f t="shared" si="0"/>
        <v>0</v>
      </c>
      <c r="E78" s="51"/>
      <c r="F78" s="51" t="str">
        <f>IFERROR(INDEX(Stock!$A$3:$T$91,MATCH('Bishopstone Overview'!$A78,Stock!$A$3:$A$91,0),MATCH('Bishopstone Overview'!F$68,Stock!$A$3:$T$3,0)),0)</f>
        <v/>
      </c>
      <c r="G78" s="51" t="str">
        <f>IFERROR(INDEX(Stock!$A$3:$T$91,MATCH('Bishopstone Overview'!$A78,Stock!$A$3:$A$91,0),MATCH('Bishopstone Overview'!G$68,Stock!$A$3:$T$3,0)),0)</f>
        <v/>
      </c>
      <c r="H78" s="2"/>
    </row>
    <row r="79" spans="1:8" x14ac:dyDescent="0.2">
      <c r="A79" s="10" t="s">
        <v>103</v>
      </c>
      <c r="B79" s="10">
        <f>IFERROR(INDEX(Stock!$A$3:$T$91,MATCH('Bishopstone Overview'!$A79,Stock!$A$3:$A$91,0),MATCH('Bishopstone Overview'!B$68,Stock!$A$3:$T$3,0)),0)</f>
        <v>4</v>
      </c>
      <c r="C79" s="10">
        <f>IFERROR(INDEX(Stock!$A$3:$T$91,MATCH('Bishopstone Overview'!$A79,Stock!$A$3:$A$91,0),MATCH('Bishopstone Overview'!C$68,Stock!$A$3:$T$3,0)),0)</f>
        <v>0</v>
      </c>
      <c r="D79" s="10">
        <f t="shared" si="0"/>
        <v>-4</v>
      </c>
      <c r="E79" s="51"/>
      <c r="F79" s="51" t="str">
        <f>IFERROR(INDEX(Stock!$A$3:$T$91,MATCH('Bishopstone Overview'!$A79,Stock!$A$3:$A$91,0),MATCH('Bishopstone Overview'!F$68,Stock!$A$3:$T$3,0)),0)</f>
        <v/>
      </c>
      <c r="G79" s="51" t="str">
        <f>IFERROR(INDEX(Stock!$A$3:$T$91,MATCH('Bishopstone Overview'!$A79,Stock!$A$3:$A$91,0),MATCH('Bishopstone Overview'!G$68,Stock!$A$3:$T$3,0)),0)</f>
        <v/>
      </c>
      <c r="H79" s="2"/>
    </row>
    <row r="80" spans="1:8" x14ac:dyDescent="0.2">
      <c r="A80" s="10" t="s">
        <v>104</v>
      </c>
      <c r="B80" s="10">
        <f>IFERROR(INDEX(Stock!$A$3:$T$91,MATCH('Bishopstone Overview'!$A80,Stock!$A$3:$A$91,0),MATCH('Bishopstone Overview'!B$68,Stock!$A$3:$T$3,0)),0)</f>
        <v>2</v>
      </c>
      <c r="C80" s="10">
        <f>IFERROR(INDEX(Stock!$A$3:$T$91,MATCH('Bishopstone Overview'!$A80,Stock!$A$3:$A$91,0),MATCH('Bishopstone Overview'!C$68,Stock!$A$3:$T$3,0)),0)</f>
        <v>3</v>
      </c>
      <c r="D80" s="10">
        <f t="shared" si="0"/>
        <v>1</v>
      </c>
      <c r="E80" s="51"/>
      <c r="F80" s="51" t="str">
        <f>IFERROR(INDEX(Stock!$A$3:$T$91,MATCH('Bishopstone Overview'!$A80,Stock!$A$3:$A$91,0),MATCH('Bishopstone Overview'!F$68,Stock!$A$3:$T$3,0)),0)</f>
        <v/>
      </c>
      <c r="G80" s="51" t="str">
        <f>IFERROR(INDEX(Stock!$A$3:$T$91,MATCH('Bishopstone Overview'!$A80,Stock!$A$3:$A$91,0),MATCH('Bishopstone Overview'!G$68,Stock!$A$3:$T$3,0)),0)</f>
        <v/>
      </c>
      <c r="H80" s="2"/>
    </row>
    <row r="81" spans="1:8" x14ac:dyDescent="0.2">
      <c r="A81" s="10" t="s">
        <v>105</v>
      </c>
      <c r="B81" s="10">
        <f>IFERROR(INDEX(Stock!$A$3:$T$91,MATCH('Bishopstone Overview'!$A81,Stock!$A$3:$A$91,0),MATCH('Bishopstone Overview'!B$68,Stock!$A$3:$T$3,0)),0)</f>
        <v>3</v>
      </c>
      <c r="C81" s="10">
        <f>IFERROR(INDEX(Stock!$A$3:$T$91,MATCH('Bishopstone Overview'!$A81,Stock!$A$3:$A$91,0),MATCH('Bishopstone Overview'!C$68,Stock!$A$3:$T$3,0)),0)</f>
        <v>3</v>
      </c>
      <c r="D81" s="10">
        <f t="shared" si="0"/>
        <v>0</v>
      </c>
      <c r="E81" s="51"/>
      <c r="F81" s="51" t="str">
        <f>IFERROR(INDEX(Stock!$A$3:$T$91,MATCH('Bishopstone Overview'!$A81,Stock!$A$3:$A$91,0),MATCH('Bishopstone Overview'!F$68,Stock!$A$3:$T$3,0)),0)</f>
        <v/>
      </c>
      <c r="G81" s="51" t="str">
        <f>IFERROR(INDEX(Stock!$A$3:$T$91,MATCH('Bishopstone Overview'!$A81,Stock!$A$3:$A$91,0),MATCH('Bishopstone Overview'!G$68,Stock!$A$3:$T$3,0)),0)</f>
        <v/>
      </c>
      <c r="H81" s="2"/>
    </row>
    <row r="82" spans="1:8" x14ac:dyDescent="0.2">
      <c r="A82" s="10" t="s">
        <v>106</v>
      </c>
      <c r="B82" s="10">
        <f>IFERROR(INDEX(Stock!$A$3:$T$91,MATCH('Bishopstone Overview'!$A82,Stock!$A$3:$A$91,0),MATCH('Bishopstone Overview'!B$68,Stock!$A$3:$T$3,0)),0)</f>
        <v>0</v>
      </c>
      <c r="C82" s="10">
        <f>IFERROR(INDEX(Stock!$A$3:$T$91,MATCH('Bishopstone Overview'!$A82,Stock!$A$3:$A$91,0),MATCH('Bishopstone Overview'!C$68,Stock!$A$3:$T$3,0)),0)</f>
        <v>2</v>
      </c>
      <c r="D82" s="10">
        <f t="shared" si="0"/>
        <v>2</v>
      </c>
      <c r="E82" s="51"/>
      <c r="F82" s="51">
        <f>IFERROR(INDEX(Stock!$A$3:$T$91,MATCH('Bishopstone Overview'!$A82,Stock!$A$3:$A$91,0),MATCH('Bishopstone Overview'!F$68,Stock!$A$3:$T$3,0)),0)</f>
        <v>0.38749999999999996</v>
      </c>
      <c r="G82" s="51">
        <f>IFERROR(INDEX(Stock!$A$3:$T$91,MATCH('Bishopstone Overview'!$A82,Stock!$A$3:$A$91,0),MATCH('Bishopstone Overview'!G$68,Stock!$A$3:$T$3,0)),0)</f>
        <v>0.60892857142857137</v>
      </c>
      <c r="H82" s="2"/>
    </row>
    <row r="83" spans="1:8" x14ac:dyDescent="0.2">
      <c r="A83" s="10" t="s">
        <v>107</v>
      </c>
      <c r="B83" s="10">
        <f>IFERROR(INDEX(Stock!$A$3:$T$91,MATCH('Bishopstone Overview'!$A83,Stock!$A$3:$A$91,0),MATCH('Bishopstone Overview'!B$68,Stock!$A$3:$T$3,0)),0)</f>
        <v>275</v>
      </c>
      <c r="C83" s="10">
        <f>IFERROR(INDEX(Stock!$A$3:$T$91,MATCH('Bishopstone Overview'!$A83,Stock!$A$3:$A$91,0),MATCH('Bishopstone Overview'!C$68,Stock!$A$3:$T$3,0)),0)</f>
        <v>301</v>
      </c>
      <c r="D83" s="10">
        <f t="shared" si="0"/>
        <v>26</v>
      </c>
      <c r="E83" s="51"/>
      <c r="F83" s="51">
        <f>IFERROR(INDEX(Stock!$A$3:$T$91,MATCH('Bishopstone Overview'!$A83,Stock!$A$3:$A$91,0),MATCH('Bishopstone Overview'!F$68,Stock!$A$3:$T$3,0)),0)</f>
        <v>1.0763888888888891</v>
      </c>
      <c r="G83" s="51">
        <f>IFERROR(INDEX(Stock!$A$3:$T$91,MATCH('Bishopstone Overview'!$A83,Stock!$A$3:$A$91,0),MATCH('Bishopstone Overview'!G$68,Stock!$A$3:$T$3,0)),0)</f>
        <v>0</v>
      </c>
      <c r="H83" s="2"/>
    </row>
    <row r="84" spans="1:8" x14ac:dyDescent="0.2">
      <c r="A84" s="10" t="s">
        <v>108</v>
      </c>
      <c r="B84" s="10">
        <f>IFERROR(INDEX(Stock!$A$3:$T$91,MATCH('Bishopstone Overview'!$A84,Stock!$A$3:$A$91,0),MATCH('Bishopstone Overview'!B$68,Stock!$A$3:$T$3,0)),0)</f>
        <v>4</v>
      </c>
      <c r="C84" s="10">
        <f>IFERROR(INDEX(Stock!$A$3:$T$91,MATCH('Bishopstone Overview'!$A84,Stock!$A$3:$A$91,0),MATCH('Bishopstone Overview'!C$68,Stock!$A$3:$T$3,0)),0)</f>
        <v>4</v>
      </c>
      <c r="D84" s="10">
        <f t="shared" si="0"/>
        <v>0</v>
      </c>
      <c r="E84" s="51"/>
      <c r="F84" s="51" t="str">
        <f>IFERROR(INDEX(Stock!$A$3:$T$91,MATCH('Bishopstone Overview'!$A84,Stock!$A$3:$A$91,0),MATCH('Bishopstone Overview'!F$68,Stock!$A$3:$T$3,0)),0)</f>
        <v/>
      </c>
      <c r="G84" s="51" t="str">
        <f>IFERROR(INDEX(Stock!$A$3:$T$91,MATCH('Bishopstone Overview'!$A84,Stock!$A$3:$A$91,0),MATCH('Bishopstone Overview'!G$68,Stock!$A$3:$T$3,0)),0)</f>
        <v/>
      </c>
      <c r="H84" s="2"/>
    </row>
    <row r="85" spans="1:8" x14ac:dyDescent="0.2">
      <c r="A85" s="10" t="s">
        <v>109</v>
      </c>
      <c r="B85" s="10">
        <f>IFERROR(INDEX(Stock!$A$3:$T$91,MATCH('Bishopstone Overview'!$A85,Stock!$A$3:$A$91,0),MATCH('Bishopstone Overview'!B$68,Stock!$A$3:$T$3,0)),0)</f>
        <v>340</v>
      </c>
      <c r="C85" s="10">
        <f>IFERROR(INDEX(Stock!$A$3:$T$91,MATCH('Bishopstone Overview'!$A85,Stock!$A$3:$A$91,0),MATCH('Bishopstone Overview'!C$68,Stock!$A$3:$T$3,0)),0)</f>
        <v>357</v>
      </c>
      <c r="D85" s="10">
        <f t="shared" si="0"/>
        <v>17</v>
      </c>
      <c r="E85" s="51"/>
      <c r="F85" s="51">
        <f>IFERROR(INDEX(Stock!$A$3:$T$91,MATCH('Bishopstone Overview'!$A85,Stock!$A$3:$A$91,0),MATCH('Bishopstone Overview'!F$68,Stock!$A$3:$T$3,0)),0)</f>
        <v>1.802777777777778</v>
      </c>
      <c r="G85" s="51">
        <f>IFERROR(INDEX(Stock!$A$3:$T$91,MATCH('Bishopstone Overview'!$A85,Stock!$A$3:$A$91,0),MATCH('Bishopstone Overview'!G$68,Stock!$A$3:$T$3,0)),0)</f>
        <v>0</v>
      </c>
      <c r="H85" s="2"/>
    </row>
    <row r="86" spans="1:8" x14ac:dyDescent="0.2">
      <c r="A86" s="10" t="s">
        <v>110</v>
      </c>
      <c r="B86" s="10">
        <f>IFERROR(INDEX(Stock!$A$3:$T$91,MATCH('Bishopstone Overview'!$A86,Stock!$A$3:$A$91,0),MATCH('Bishopstone Overview'!B$68,Stock!$A$3:$T$3,0)),0)</f>
        <v>158</v>
      </c>
      <c r="C86" s="10">
        <f>IFERROR(INDEX(Stock!$A$3:$T$91,MATCH('Bishopstone Overview'!$A86,Stock!$A$3:$A$91,0),MATCH('Bishopstone Overview'!C$68,Stock!$A$3:$T$3,0)),0)</f>
        <v>0</v>
      </c>
      <c r="D86" s="10">
        <f t="shared" si="0"/>
        <v>-158</v>
      </c>
      <c r="E86" s="51"/>
      <c r="F86" s="51" t="str">
        <f>IFERROR(INDEX(Stock!$A$3:$T$91,MATCH('Bishopstone Overview'!$A86,Stock!$A$3:$A$91,0),MATCH('Bishopstone Overview'!F$68,Stock!$A$3:$T$3,0)),0)</f>
        <v/>
      </c>
      <c r="G86" s="51" t="str">
        <f>IFERROR(INDEX(Stock!$A$3:$T$91,MATCH('Bishopstone Overview'!$A86,Stock!$A$3:$A$91,0),MATCH('Bishopstone Overview'!G$68,Stock!$A$3:$T$3,0)),0)</f>
        <v/>
      </c>
      <c r="H86" s="2"/>
    </row>
    <row r="87" spans="1:8" x14ac:dyDescent="0.2">
      <c r="A87" s="10" t="s">
        <v>111</v>
      </c>
      <c r="B87" s="10">
        <f>IFERROR(INDEX(Stock!$A$3:$T$91,MATCH('Bishopstone Overview'!$A87,Stock!$A$3:$A$91,0),MATCH('Bishopstone Overview'!B$68,Stock!$A$3:$T$3,0)),0)</f>
        <v>0</v>
      </c>
      <c r="C87" s="10">
        <f>IFERROR(INDEX(Stock!$A$3:$T$91,MATCH('Bishopstone Overview'!$A87,Stock!$A$3:$A$91,0),MATCH('Bishopstone Overview'!C$68,Stock!$A$3:$T$3,0)),0)</f>
        <v>171</v>
      </c>
      <c r="D87" s="10">
        <f t="shared" si="0"/>
        <v>171</v>
      </c>
      <c r="E87" s="51"/>
      <c r="F87" s="51">
        <f>IFERROR(INDEX(Stock!$A$3:$T$91,MATCH('Bishopstone Overview'!$A87,Stock!$A$3:$A$91,0),MATCH('Bishopstone Overview'!F$68,Stock!$A$3:$T$3,0)),0)</f>
        <v>1.1208333333333333</v>
      </c>
      <c r="G87" s="51">
        <f>IFERROR(INDEX(Stock!$A$3:$T$91,MATCH('Bishopstone Overview'!$A87,Stock!$A$3:$A$91,0),MATCH('Bishopstone Overview'!G$68,Stock!$A$3:$T$3,0)),0)</f>
        <v>6.1870000000000003</v>
      </c>
      <c r="H87" s="2"/>
    </row>
    <row r="88" spans="1:8" x14ac:dyDescent="0.2">
      <c r="A88" s="10" t="s">
        <v>112</v>
      </c>
      <c r="B88" s="10">
        <f>IFERROR(INDEX(Stock!$A$3:$T$91,MATCH('Bishopstone Overview'!$A88,Stock!$A$3:$A$91,0),MATCH('Bishopstone Overview'!B$68,Stock!$A$3:$T$3,0)),0)</f>
        <v>0</v>
      </c>
      <c r="C88" s="10">
        <f>IFERROR(INDEX(Stock!$A$3:$T$91,MATCH('Bishopstone Overview'!$A88,Stock!$A$3:$A$91,0),MATCH('Bishopstone Overview'!C$68,Stock!$A$3:$T$3,0)),0)</f>
        <v>0</v>
      </c>
      <c r="D88" s="10">
        <f t="shared" si="0"/>
        <v>0</v>
      </c>
      <c r="E88" s="51"/>
      <c r="F88" s="51" t="str">
        <f>IFERROR(INDEX(Stock!$A$3:$T$91,MATCH('Bishopstone Overview'!$A88,Stock!$A$3:$A$91,0),MATCH('Bishopstone Overview'!F$68,Stock!$A$3:$T$3,0)),0)</f>
        <v/>
      </c>
      <c r="G88" s="51" t="str">
        <f>IFERROR(INDEX(Stock!$A$3:$T$91,MATCH('Bishopstone Overview'!$A88,Stock!$A$3:$A$91,0),MATCH('Bishopstone Overview'!G$68,Stock!$A$3:$T$3,0)),0)</f>
        <v/>
      </c>
      <c r="H88" s="2"/>
    </row>
    <row r="89" spans="1:8" x14ac:dyDescent="0.2">
      <c r="A89" s="10" t="s">
        <v>113</v>
      </c>
      <c r="B89" s="10">
        <f>IFERROR(INDEX(Stock!$A$3:$T$91,MATCH('Bishopstone Overview'!$A89,Stock!$A$3:$A$91,0),MATCH('Bishopstone Overview'!B$68,Stock!$A$3:$T$3,0)),0)</f>
        <v>0</v>
      </c>
      <c r="C89" s="10">
        <f>IFERROR(INDEX(Stock!$A$3:$T$91,MATCH('Bishopstone Overview'!$A89,Stock!$A$3:$A$91,0),MATCH('Bishopstone Overview'!C$68,Stock!$A$3:$T$3,0)),0)</f>
        <v>0</v>
      </c>
      <c r="D89" s="10">
        <f t="shared" si="0"/>
        <v>0</v>
      </c>
      <c r="E89" s="51"/>
      <c r="F89" s="51" t="str">
        <f>IFERROR(INDEX(Stock!$A$3:$T$91,MATCH('Bishopstone Overview'!$A89,Stock!$A$3:$A$91,0),MATCH('Bishopstone Overview'!F$68,Stock!$A$3:$T$3,0)),0)</f>
        <v/>
      </c>
      <c r="G89" s="51" t="str">
        <f>IFERROR(INDEX(Stock!$A$3:$T$91,MATCH('Bishopstone Overview'!$A89,Stock!$A$3:$A$91,0),MATCH('Bishopstone Overview'!G$68,Stock!$A$3:$T$3,0)),0)</f>
        <v/>
      </c>
      <c r="H89" s="2"/>
    </row>
    <row r="90" spans="1:8" x14ac:dyDescent="0.2">
      <c r="A90" s="10" t="s">
        <v>114</v>
      </c>
      <c r="B90" s="10">
        <f>IFERROR(INDEX(Stock!$A$3:$T$91,MATCH('Bishopstone Overview'!$A90,Stock!$A$3:$A$91,0),MATCH('Bishopstone Overview'!B$68,Stock!$A$3:$T$3,0)),0)</f>
        <v>0</v>
      </c>
      <c r="C90" s="10">
        <f>IFERROR(INDEX(Stock!$A$3:$T$91,MATCH('Bishopstone Overview'!$A90,Stock!$A$3:$A$91,0),MATCH('Bishopstone Overview'!C$68,Stock!$A$3:$T$3,0)),0)</f>
        <v>0</v>
      </c>
      <c r="D90" s="10">
        <f t="shared" si="0"/>
        <v>0</v>
      </c>
      <c r="E90" s="51"/>
      <c r="F90" s="10" t="str">
        <f>IFERROR(INDEX(Stock!$A$3:$T$91,MATCH('Bishopstone Overview'!$A90,Stock!$A$3:$A$91,0),MATCH('Bishopstone Overview'!F$68,Stock!$A$3:$T$3,0)),0)</f>
        <v/>
      </c>
      <c r="G90" s="10" t="str">
        <f>IFERROR(INDEX(Stock!$A$3:$T$91,MATCH('Bishopstone Overview'!$A90,Stock!$A$3:$A$91,0),MATCH('Bishopstone Overview'!G$68,Stock!$A$3:$T$3,0)),0)</f>
        <v/>
      </c>
      <c r="H90" s="2"/>
    </row>
    <row r="91" spans="1:8" x14ac:dyDescent="0.2">
      <c r="A91" s="10" t="s">
        <v>115</v>
      </c>
      <c r="B91" s="10">
        <f>IFERROR(INDEX(Stock!$A$3:$T$91,MATCH('Bishopstone Overview'!$A91,Stock!$A$3:$A$91,0),MATCH('Bishopstone Overview'!B$68,Stock!$A$3:$T$3,0)),0)</f>
        <v>0</v>
      </c>
      <c r="C91" s="10">
        <f>IFERROR(INDEX(Stock!$A$3:$T$91,MATCH('Bishopstone Overview'!$A91,Stock!$A$3:$A$91,0),MATCH('Bishopstone Overview'!C$68,Stock!$A$3:$T$3,0)),0)</f>
        <v>0</v>
      </c>
      <c r="D91" s="10">
        <f t="shared" si="0"/>
        <v>0</v>
      </c>
      <c r="E91" s="51"/>
      <c r="F91" s="10" t="str">
        <f>IFERROR(INDEX(Stock!$A$3:$T$91,MATCH('Bishopstone Overview'!$A91,Stock!$A$3:$A$91,0),MATCH('Bishopstone Overview'!F$68,Stock!$A$3:$T$3,0)),0)</f>
        <v/>
      </c>
      <c r="G91" s="10" t="str">
        <f>IFERROR(INDEX(Stock!$A$3:$T$91,MATCH('Bishopstone Overview'!$A91,Stock!$A$3:$A$91,0),MATCH('Bishopstone Overview'!G$68,Stock!$A$3:$T$3,0)),0)</f>
        <v/>
      </c>
      <c r="H91" s="2"/>
    </row>
    <row r="92" spans="1:8" x14ac:dyDescent="0.2">
      <c r="A92" s="10" t="s">
        <v>116</v>
      </c>
      <c r="B92" s="10">
        <f>IFERROR(INDEX(Stock!$A$3:$T$91,MATCH('Bishopstone Overview'!$A92,Stock!$A$3:$A$91,0),MATCH('Bishopstone Overview'!B$68,Stock!$A$3:$T$3,0)),0)</f>
        <v>0</v>
      </c>
      <c r="C92" s="10">
        <f>IFERROR(INDEX(Stock!$A$3:$T$91,MATCH('Bishopstone Overview'!$A92,Stock!$A$3:$A$91,0),MATCH('Bishopstone Overview'!C$68,Stock!$A$3:$T$3,0)),0)</f>
        <v>0</v>
      </c>
      <c r="D92" s="10">
        <f t="shared" si="0"/>
        <v>0</v>
      </c>
      <c r="E92" s="51"/>
      <c r="F92" s="10" t="str">
        <f>IFERROR(INDEX(Stock!$A$3:$T$91,MATCH('Bishopstone Overview'!$A92,Stock!$A$3:$A$91,0),MATCH('Bishopstone Overview'!F$68,Stock!$A$3:$T$3,0)),0)</f>
        <v/>
      </c>
      <c r="G92" s="10" t="str">
        <f>IFERROR(INDEX(Stock!$A$3:$T$91,MATCH('Bishopstone Overview'!$A92,Stock!$A$3:$A$91,0),MATCH('Bishopstone Overview'!G$68,Stock!$A$3:$T$3,0)),0)</f>
        <v/>
      </c>
      <c r="H92" s="2"/>
    </row>
    <row r="93" spans="1:8" x14ac:dyDescent="0.2">
      <c r="A93" s="10" t="s">
        <v>117</v>
      </c>
      <c r="B93" s="10">
        <f>IFERROR(INDEX(Stock!$A$3:$T$91,MATCH('Bishopstone Overview'!$A93,Stock!$A$3:$A$91,0),MATCH('Bishopstone Overview'!B$68,Stock!$A$3:$T$3,0)),0)</f>
        <v>0</v>
      </c>
      <c r="C93" s="10">
        <f>IFERROR(INDEX(Stock!$A$3:$T$91,MATCH('Bishopstone Overview'!$A93,Stock!$A$3:$A$91,0),MATCH('Bishopstone Overview'!C$68,Stock!$A$3:$T$3,0)),0)</f>
        <v>0</v>
      </c>
      <c r="D93" s="10">
        <f t="shared" si="0"/>
        <v>0</v>
      </c>
      <c r="E93" s="51"/>
      <c r="F93" s="10" t="str">
        <f>IFERROR(INDEX(Stock!$A$3:$T$91,MATCH('Bishopstone Overview'!$A93,Stock!$A$3:$A$91,0),MATCH('Bishopstone Overview'!F$68,Stock!$A$3:$T$3,0)),0)</f>
        <v/>
      </c>
      <c r="G93" s="10" t="str">
        <f>IFERROR(INDEX(Stock!$A$3:$T$91,MATCH('Bishopstone Overview'!$A93,Stock!$A$3:$A$91,0),MATCH('Bishopstone Overview'!G$68,Stock!$A$3:$T$3,0)),0)</f>
        <v/>
      </c>
      <c r="H93" s="2"/>
    </row>
    <row r="94" spans="1:8" x14ac:dyDescent="0.2">
      <c r="A94" s="10" t="s">
        <v>118</v>
      </c>
      <c r="B94" s="10">
        <f>IFERROR(INDEX(Stock!$A$3:$T$91,MATCH('Bishopstone Overview'!$A94,Stock!$A$3:$A$91,0),MATCH('Bishopstone Overview'!B$68,Stock!$A$3:$T$3,0)),0)</f>
        <v>0</v>
      </c>
      <c r="C94" s="10">
        <f>IFERROR(INDEX(Stock!$A$3:$T$91,MATCH('Bishopstone Overview'!$A94,Stock!$A$3:$A$91,0),MATCH('Bishopstone Overview'!C$68,Stock!$A$3:$T$3,0)),0)</f>
        <v>0</v>
      </c>
      <c r="D94" s="10">
        <f t="shared" si="0"/>
        <v>0</v>
      </c>
      <c r="E94" s="51"/>
      <c r="F94" s="10" t="str">
        <f>IFERROR(INDEX(Stock!$A$3:$T$91,MATCH('Bishopstone Overview'!$A94,Stock!$A$3:$A$91,0),MATCH('Bishopstone Overview'!F$68,Stock!$A$3:$T$3,0)),0)</f>
        <v/>
      </c>
      <c r="G94" s="10" t="str">
        <f>IFERROR(INDEX(Stock!$A$3:$T$91,MATCH('Bishopstone Overview'!$A94,Stock!$A$3:$A$91,0),MATCH('Bishopstone Overview'!G$68,Stock!$A$3:$T$3,0)),0)</f>
        <v/>
      </c>
      <c r="H94" s="2"/>
    </row>
    <row r="95" spans="1:8" x14ac:dyDescent="0.2">
      <c r="A95" s="48" t="s">
        <v>10</v>
      </c>
      <c r="B95" s="46"/>
      <c r="C95" s="46"/>
      <c r="D95" s="46"/>
      <c r="E95" s="46"/>
      <c r="F95" s="46"/>
      <c r="G95" s="52">
        <f>SUM(G69:G94)</f>
        <v>7.0709285714285715</v>
      </c>
      <c r="H95" s="2"/>
    </row>
    <row r="96" spans="1:8" x14ac:dyDescent="0.2">
      <c r="A96" s="48" t="s">
        <v>84</v>
      </c>
      <c r="B96" s="46"/>
      <c r="C96" s="46"/>
      <c r="D96" s="46"/>
      <c r="E96" s="46"/>
      <c r="F96" s="46"/>
      <c r="G96" s="52">
        <f>SUM(F69:F94)</f>
        <v>4.6625000000000005</v>
      </c>
      <c r="H96" s="2"/>
    </row>
    <row r="97" spans="1:8" x14ac:dyDescent="0.2">
      <c r="A97" s="10"/>
      <c r="B97" s="10"/>
      <c r="C97" s="10"/>
      <c r="D97" s="10"/>
      <c r="E97" s="10"/>
      <c r="F97" s="10"/>
      <c r="G97" s="51"/>
      <c r="H97" s="2"/>
    </row>
    <row r="98" spans="1:8" ht="34" x14ac:dyDescent="0.2">
      <c r="A98" s="45" t="s">
        <v>119</v>
      </c>
      <c r="B98" s="67" t="s">
        <v>145</v>
      </c>
      <c r="C98" s="67" t="s">
        <v>151</v>
      </c>
      <c r="D98" s="68" t="s">
        <v>93</v>
      </c>
      <c r="E98" s="69"/>
      <c r="F98" s="70" t="s">
        <v>154</v>
      </c>
      <c r="G98" s="70" t="s">
        <v>169</v>
      </c>
      <c r="H98" s="2"/>
    </row>
    <row r="99" spans="1:8" ht="17" x14ac:dyDescent="0.2">
      <c r="A99" s="53" t="s">
        <v>166</v>
      </c>
      <c r="B99" s="10">
        <f>IFERROR(INDEX(Stock!$A$3:$T$91,MATCH('Bishopstone Overview'!$A99,Stock!$A$3:$A$91,0),MATCH('Bishopstone Overview'!B$68,Stock!$A$3:$T$3,0)),0)</f>
        <v>0</v>
      </c>
      <c r="C99" s="10">
        <f>IFERROR(INDEX(Stock!$A$3:$T$91,MATCH('Bishopstone Overview'!$A99,Stock!$A$3:$A$91,0),MATCH('Bishopstone Overview'!C$68,Stock!$A$3:$T$3,0)),0)</f>
        <v>0</v>
      </c>
      <c r="D99" s="10">
        <f t="shared" ref="D99:D103" si="1">C99-B99</f>
        <v>0</v>
      </c>
      <c r="F99" s="10">
        <f>IFERROR(INDEX(Stock!$A$3:$T$91,MATCH('Bishopstone Overview'!$A99,Stock!$A$3:$A$91,0),MATCH('Bishopstone Overview'!F$68,Stock!$A$3:$T$3,0)),0)</f>
        <v>0</v>
      </c>
      <c r="G99" s="10">
        <f>IFERROR(INDEX(Stock!$A$3:$T$91,MATCH('Bishopstone Overview'!$A99,Stock!$A$3:$A$91,0),MATCH('Bishopstone Overview'!G$68,Stock!$A$3:$T$3,0)),0)</f>
        <v>13.68</v>
      </c>
      <c r="H99" s="2"/>
    </row>
    <row r="100" spans="1:8" x14ac:dyDescent="0.2">
      <c r="A100" s="10" t="s">
        <v>120</v>
      </c>
      <c r="B100" s="10">
        <f>IFERROR(INDEX(Stock!$A$3:$T$91,MATCH('Bishopstone Overview'!$A100,Stock!$A$3:$A$91,0),MATCH('Bishopstone Overview'!B$68,Stock!$A$3:$T$3,0)),0)</f>
        <v>0</v>
      </c>
      <c r="C100" s="10">
        <f>IFERROR(INDEX(Stock!$A$3:$T$91,MATCH('Bishopstone Overview'!$A100,Stock!$A$3:$A$91,0),MATCH('Bishopstone Overview'!C$68,Stock!$A$3:$T$3,0)),0)</f>
        <v>0</v>
      </c>
      <c r="D100" s="10">
        <f t="shared" si="1"/>
        <v>0</v>
      </c>
      <c r="F100" s="10" t="str">
        <f>IFERROR(INDEX(Stock!$A$3:$T$91,MATCH('Bishopstone Overview'!$A100,Stock!$A$3:$A$91,0),MATCH('Bishopstone Overview'!F$68,Stock!$A$3:$T$3,0)),0)</f>
        <v/>
      </c>
      <c r="G100" s="10" t="str">
        <f>IFERROR(INDEX(Stock!$A$3:$T$91,MATCH('Bishopstone Overview'!$A100,Stock!$A$3:$A$91,0),MATCH('Bishopstone Overview'!G$68,Stock!$A$3:$T$3,0)),0)</f>
        <v/>
      </c>
      <c r="H100" s="2"/>
    </row>
    <row r="101" spans="1:8" x14ac:dyDescent="0.2">
      <c r="A101" s="10" t="s">
        <v>121</v>
      </c>
      <c r="B101" s="10">
        <f>IFERROR(INDEX(Stock!$A$3:$T$91,MATCH('Bishopstone Overview'!$A101,Stock!$A$3:$A$91,0),MATCH('Bishopstone Overview'!B$68,Stock!$A$3:$T$3,0)),0)</f>
        <v>0</v>
      </c>
      <c r="C101" s="10">
        <f>IFERROR(INDEX(Stock!$A$3:$T$91,MATCH('Bishopstone Overview'!$A101,Stock!$A$3:$A$91,0),MATCH('Bishopstone Overview'!C$68,Stock!$A$3:$T$3,0)),0)</f>
        <v>0</v>
      </c>
      <c r="D101" s="10">
        <f t="shared" si="1"/>
        <v>0</v>
      </c>
      <c r="F101" s="51">
        <f>IFERROR(INDEX(Stock!$A$3:$T$91,MATCH('Bishopstone Overview'!$A101,Stock!$A$3:$A$91,0),MATCH('Bishopstone Overview'!F$68,Stock!$A$3:$T$3,0)),0)</f>
        <v>0</v>
      </c>
      <c r="G101" s="51">
        <f>IFERROR(INDEX(Stock!$A$3:$T$91,MATCH('Bishopstone Overview'!$A101,Stock!$A$3:$A$91,0),MATCH('Bishopstone Overview'!G$68,Stock!$A$3:$T$3,0)),0)</f>
        <v>2.37</v>
      </c>
      <c r="H101" s="2"/>
    </row>
    <row r="102" spans="1:8" x14ac:dyDescent="0.2">
      <c r="A102" s="10" t="s">
        <v>122</v>
      </c>
      <c r="B102" s="10">
        <f>IFERROR(INDEX(Stock!$A$3:$T$91,MATCH('Bishopstone Overview'!$A102,Stock!$A$3:$A$91,0),MATCH('Bishopstone Overview'!B$68,Stock!$A$3:$T$3,0)),0)</f>
        <v>0</v>
      </c>
      <c r="C102" s="10">
        <f>IFERROR(INDEX(Stock!$A$3:$T$91,MATCH('Bishopstone Overview'!$A102,Stock!$A$3:$A$91,0),MATCH('Bishopstone Overview'!C$68,Stock!$A$3:$T$3,0)),0)</f>
        <v>0</v>
      </c>
      <c r="D102" s="10">
        <f t="shared" si="1"/>
        <v>0</v>
      </c>
      <c r="F102" s="51">
        <f>IFERROR(INDEX(Stock!$A$3:$T$91,MATCH('Bishopstone Overview'!$A102,Stock!$A$3:$A$91,0),MATCH('Bishopstone Overview'!F$68,Stock!$A$3:$T$3,0)),0)</f>
        <v>0.53333333333333333</v>
      </c>
      <c r="G102" s="51">
        <f>IFERROR(INDEX(Stock!$A$3:$T$91,MATCH('Bishopstone Overview'!$A102,Stock!$A$3:$A$91,0),MATCH('Bishopstone Overview'!G$68,Stock!$A$3:$T$3,0)),0)</f>
        <v>0.53333333333333333</v>
      </c>
      <c r="H102" s="2"/>
    </row>
    <row r="103" spans="1:8" x14ac:dyDescent="0.2">
      <c r="A103" s="10" t="s">
        <v>156</v>
      </c>
      <c r="B103" s="10">
        <f>IFERROR(INDEX(Stock!$A$3:$T$91,MATCH('Bishopstone Overview'!$A103,Stock!$A$3:$A$91,0),MATCH('Bishopstone Overview'!B$68,Stock!$A$3:$T$3,0)),0)</f>
        <v>0</v>
      </c>
      <c r="C103" s="10">
        <f>IFERROR(INDEX(Stock!$A$3:$T$91,MATCH('Bishopstone Overview'!$A103,Stock!$A$3:$A$91,0),MATCH('Bishopstone Overview'!C$68,Stock!$A$3:$T$3,0)),0)</f>
        <v>0</v>
      </c>
      <c r="D103" s="10">
        <f t="shared" si="1"/>
        <v>0</v>
      </c>
      <c r="F103" s="10" t="str">
        <f>IFERROR(INDEX(Stock!$A$3:$T$91,MATCH('Bishopstone Overview'!$A103,Stock!$A$3:$A$91,0),MATCH('Bishopstone Overview'!F$68,Stock!$A$3:$T$3,0)),0)</f>
        <v/>
      </c>
      <c r="G103" s="10" t="str">
        <f>IFERROR(INDEX(Stock!$A$3:$T$91,MATCH('Bishopstone Overview'!$A103,Stock!$A$3:$A$91,0),MATCH('Bishopstone Overview'!G$68,Stock!$A$3:$T$3,0)),0)</f>
        <v/>
      </c>
      <c r="H103" s="2"/>
    </row>
    <row r="104" spans="1:8" x14ac:dyDescent="0.2">
      <c r="A104" s="48" t="s">
        <v>83</v>
      </c>
      <c r="B104" s="46"/>
      <c r="C104" s="46"/>
      <c r="D104" s="46"/>
      <c r="E104" s="46"/>
      <c r="F104" s="46"/>
      <c r="G104" s="52">
        <f>SUM(G99:G103)</f>
        <v>16.583333333333336</v>
      </c>
      <c r="H104" s="2"/>
    </row>
    <row r="105" spans="1:8" x14ac:dyDescent="0.2">
      <c r="A105" s="48" t="s">
        <v>84</v>
      </c>
      <c r="B105" s="46"/>
      <c r="C105" s="46"/>
      <c r="D105" s="46"/>
      <c r="E105" s="46"/>
      <c r="F105" s="46"/>
      <c r="G105" s="52">
        <f>SUM(F99:F103)</f>
        <v>0.53333333333333333</v>
      </c>
      <c r="H105" s="2"/>
    </row>
    <row r="106" spans="1:8" x14ac:dyDescent="0.2">
      <c r="A106" s="9"/>
      <c r="B106" s="10"/>
      <c r="C106" s="10"/>
      <c r="D106" s="10"/>
      <c r="E106" s="10"/>
      <c r="F106" s="10"/>
      <c r="G106" s="51"/>
      <c r="H106" s="2"/>
    </row>
    <row r="107" spans="1:8" ht="34" x14ac:dyDescent="0.2">
      <c r="A107" s="45" t="s">
        <v>123</v>
      </c>
      <c r="B107" s="67" t="s">
        <v>145</v>
      </c>
      <c r="C107" s="67" t="s">
        <v>151</v>
      </c>
      <c r="D107" s="68" t="s">
        <v>93</v>
      </c>
      <c r="E107" s="69"/>
      <c r="F107" s="70" t="s">
        <v>154</v>
      </c>
      <c r="G107" s="70" t="s">
        <v>169</v>
      </c>
      <c r="H107" s="2"/>
    </row>
    <row r="108" spans="1:8" x14ac:dyDescent="0.2">
      <c r="A108" s="10" t="s">
        <v>124</v>
      </c>
      <c r="B108" s="10">
        <f>IFERROR(INDEX(Stock!$A$3:$T$91,MATCH('Bishopstone Overview'!$A108,Stock!$A$3:$A$91,0),MATCH('Bishopstone Overview'!B$68,Stock!$A$3:$T$3,0)),0)</f>
        <v>0</v>
      </c>
      <c r="C108" s="10">
        <f>IFERROR(INDEX(Stock!$A$3:$T$91,MATCH('Bishopstone Overview'!$A108,Stock!$A$3:$A$91,0),MATCH('Bishopstone Overview'!C$68,Stock!$A$3:$T$3,0)),0)</f>
        <v>0</v>
      </c>
      <c r="D108" s="10">
        <f t="shared" ref="D108:D127" si="2">C108-B108</f>
        <v>0</v>
      </c>
      <c r="E108" s="10"/>
      <c r="F108" s="10" t="str">
        <f>IFERROR(INDEX(Stock!$A$3:$T$91,MATCH('Bishopstone Overview'!$A108,Stock!$A$3:$A$91,0),MATCH('Bishopstone Overview'!F$68,Stock!$A$3:$T$3,0)),0)</f>
        <v/>
      </c>
      <c r="G108" s="10" t="str">
        <f>IFERROR(INDEX(Stock!$A$3:$T$91,MATCH('Bishopstone Overview'!$A108,Stock!$A$3:$A$91,0),MATCH('Bishopstone Overview'!G$68,Stock!$A$3:$T$3,0)),0)</f>
        <v/>
      </c>
      <c r="H108" s="2"/>
    </row>
    <row r="109" spans="1:8" x14ac:dyDescent="0.2">
      <c r="A109" s="10" t="s">
        <v>198</v>
      </c>
      <c r="B109" s="10">
        <f>IFERROR(INDEX(Stock!$A$3:$T$91,MATCH('Bishopstone Overview'!$A109,Stock!$A$3:$A$91,0),MATCH('Bishopstone Overview'!B$68,Stock!$A$3:$T$3,0)),0)</f>
        <v>0</v>
      </c>
      <c r="C109" s="10">
        <f>IFERROR(INDEX(Stock!$A$3:$T$91,MATCH('Bishopstone Overview'!$A109,Stock!$A$3:$A$91,0),MATCH('Bishopstone Overview'!C$68,Stock!$A$3:$T$3,0)),0)</f>
        <v>0</v>
      </c>
      <c r="D109" s="10">
        <f t="shared" si="2"/>
        <v>0</v>
      </c>
      <c r="E109" s="10"/>
      <c r="F109" s="51">
        <f>IFERROR(INDEX(Stock!$A$3:$T$91,MATCH('Bishopstone Overview'!$A109,Stock!$A$3:$A$91,0),MATCH('Bishopstone Overview'!F$68,Stock!$A$3:$T$3,0)),0)</f>
        <v>9.1666666666666674E-2</v>
      </c>
      <c r="G109" s="51">
        <f>IFERROR(INDEX(Stock!$A$3:$T$91,MATCH('Bishopstone Overview'!$A109,Stock!$A$3:$A$91,0),MATCH('Bishopstone Overview'!G$68,Stock!$A$3:$T$3,0)),0)</f>
        <v>9.1666666666666674E-2</v>
      </c>
      <c r="H109" s="2"/>
    </row>
    <row r="110" spans="1:8" x14ac:dyDescent="0.2">
      <c r="A110" s="10" t="s">
        <v>323</v>
      </c>
      <c r="B110" s="10">
        <f>IFERROR(INDEX(Stock!$A$3:$T$91,MATCH('Bishopstone Overview'!$A110,Stock!$A$3:$A$91,0),MATCH('Bishopstone Overview'!B$68,Stock!$A$3:$T$3,0)),0)</f>
        <v>0</v>
      </c>
      <c r="C110" s="10">
        <f>IFERROR(INDEX(Stock!$A$3:$T$91,MATCH('Bishopstone Overview'!$A110,Stock!$A$3:$A$91,0),MATCH('Bishopstone Overview'!C$68,Stock!$A$3:$T$3,0)),0)</f>
        <v>0</v>
      </c>
      <c r="D110" s="10">
        <f t="shared" si="2"/>
        <v>0</v>
      </c>
      <c r="E110" s="10"/>
      <c r="F110" s="51">
        <f>IFERROR(INDEX(Stock!$A$3:$T$91,MATCH('Bishopstone Overview'!$A110,Stock!$A$3:$A$91,0),MATCH('Bishopstone Overview'!F$68,Stock!$A$3:$T$3,0)),0)</f>
        <v>0.10416666666666667</v>
      </c>
      <c r="G110" s="51">
        <f>IFERROR(INDEX(Stock!$A$3:$T$91,MATCH('Bishopstone Overview'!$A110,Stock!$A$3:$A$91,0),MATCH('Bishopstone Overview'!G$68,Stock!$A$3:$T$3,0)),0)</f>
        <v>0.10416666666666667</v>
      </c>
      <c r="H110" s="2"/>
    </row>
    <row r="111" spans="1:8" x14ac:dyDescent="0.2">
      <c r="A111" s="10" t="s">
        <v>200</v>
      </c>
      <c r="B111" s="10">
        <f>IFERROR(INDEX(Stock!$A$3:$T$91,MATCH('Bishopstone Overview'!$A111,Stock!$A$3:$A$91,0),MATCH('Bishopstone Overview'!B$68,Stock!$A$3:$T$3,0)),0)</f>
        <v>0</v>
      </c>
      <c r="C111" s="10">
        <f>IFERROR(INDEX(Stock!$A$3:$T$91,MATCH('Bishopstone Overview'!$A111,Stock!$A$3:$A$91,0),MATCH('Bishopstone Overview'!C$68,Stock!$A$3:$T$3,0)),0)</f>
        <v>0</v>
      </c>
      <c r="D111" s="10">
        <f t="shared" si="2"/>
        <v>0</v>
      </c>
      <c r="E111" s="10"/>
      <c r="F111" s="51" t="str">
        <f>IFERROR(INDEX(Stock!$A$3:$T$91,MATCH('Bishopstone Overview'!$A111,Stock!$A$3:$A$91,0),MATCH('Bishopstone Overview'!F$68,Stock!$A$3:$T$3,0)),0)</f>
        <v/>
      </c>
      <c r="G111" s="51" t="str">
        <f>IFERROR(INDEX(Stock!$A$3:$T$91,MATCH('Bishopstone Overview'!$A111,Stock!$A$3:$A$91,0),MATCH('Bishopstone Overview'!G$68,Stock!$A$3:$T$3,0)),0)</f>
        <v/>
      </c>
      <c r="H111" s="2"/>
    </row>
    <row r="112" spans="1:8" x14ac:dyDescent="0.2">
      <c r="A112" s="10" t="s">
        <v>201</v>
      </c>
      <c r="B112" s="10">
        <f>IFERROR(INDEX(Stock!$A$3:$T$91,MATCH('Bishopstone Overview'!$A112,Stock!$A$3:$A$91,0),MATCH('Bishopstone Overview'!B$68,Stock!$A$3:$T$3,0)),0)</f>
        <v>0</v>
      </c>
      <c r="C112" s="10">
        <f>IFERROR(INDEX(Stock!$A$3:$T$91,MATCH('Bishopstone Overview'!$A112,Stock!$A$3:$A$91,0),MATCH('Bishopstone Overview'!C$68,Stock!$A$3:$T$3,0)),0)</f>
        <v>0</v>
      </c>
      <c r="D112" s="10">
        <f t="shared" si="2"/>
        <v>0</v>
      </c>
      <c r="E112" s="10"/>
      <c r="F112" s="51" t="str">
        <f>IFERROR(INDEX(Stock!$A$3:$T$91,MATCH('Bishopstone Overview'!$A112,Stock!$A$3:$A$91,0),MATCH('Bishopstone Overview'!F$68,Stock!$A$3:$T$3,0)),0)</f>
        <v/>
      </c>
      <c r="G112" s="51" t="str">
        <f>IFERROR(INDEX(Stock!$A$3:$T$91,MATCH('Bishopstone Overview'!$A112,Stock!$A$3:$A$91,0),MATCH('Bishopstone Overview'!G$68,Stock!$A$3:$T$3,0)),0)</f>
        <v/>
      </c>
      <c r="H112" s="2"/>
    </row>
    <row r="113" spans="1:8" x14ac:dyDescent="0.2">
      <c r="A113" s="10" t="s">
        <v>202</v>
      </c>
      <c r="B113" s="10">
        <f>IFERROR(INDEX(Stock!$A$3:$T$91,MATCH('Bishopstone Overview'!$A113,Stock!$A$3:$A$91,0),MATCH('Bishopstone Overview'!B$68,Stock!$A$3:$T$3,0)),0)</f>
        <v>0</v>
      </c>
      <c r="C113" s="10">
        <f>IFERROR(INDEX(Stock!$A$3:$T$91,MATCH('Bishopstone Overview'!$A113,Stock!$A$3:$A$91,0),MATCH('Bishopstone Overview'!C$68,Stock!$A$3:$T$3,0)),0)</f>
        <v>0</v>
      </c>
      <c r="D113" s="10">
        <f t="shared" si="2"/>
        <v>0</v>
      </c>
      <c r="E113" s="10"/>
      <c r="F113" s="51" t="str">
        <f>IFERROR(INDEX(Stock!$A$3:$T$91,MATCH('Bishopstone Overview'!$A113,Stock!$A$3:$A$91,0),MATCH('Bishopstone Overview'!F$68,Stock!$A$3:$T$3,0)),0)</f>
        <v/>
      </c>
      <c r="G113" s="51" t="str">
        <f>IFERROR(INDEX(Stock!$A$3:$T$91,MATCH('Bishopstone Overview'!$A113,Stock!$A$3:$A$91,0),MATCH('Bishopstone Overview'!G$68,Stock!$A$3:$T$3,0)),0)</f>
        <v/>
      </c>
      <c r="H113" s="2"/>
    </row>
    <row r="114" spans="1:8" x14ac:dyDescent="0.2">
      <c r="A114" s="59" t="s">
        <v>203</v>
      </c>
      <c r="B114" s="10">
        <f>IFERROR(INDEX(Stock!$A$3:$T$91,MATCH('Bishopstone Overview'!$A114,Stock!$A$3:$A$91,0),MATCH('Bishopstone Overview'!B$68,Stock!$A$3:$T$3,0)),0)</f>
        <v>0</v>
      </c>
      <c r="C114" s="10">
        <f>IFERROR(INDEX(Stock!$A$3:$T$91,MATCH('Bishopstone Overview'!$A114,Stock!$A$3:$A$91,0),MATCH('Bishopstone Overview'!C$68,Stock!$A$3:$T$3,0)),0)</f>
        <v>0</v>
      </c>
      <c r="D114" s="10">
        <f t="shared" si="2"/>
        <v>0</v>
      </c>
      <c r="E114" s="10"/>
      <c r="F114" s="51" t="str">
        <f>IFERROR(INDEX(Stock!$A$3:$T$91,MATCH('Bishopstone Overview'!$A114,Stock!$A$3:$A$91,0),MATCH('Bishopstone Overview'!F$68,Stock!$A$3:$T$3,0)),0)</f>
        <v/>
      </c>
      <c r="G114" s="51" t="str">
        <f>IFERROR(INDEX(Stock!$A$3:$T$91,MATCH('Bishopstone Overview'!$A114,Stock!$A$3:$A$91,0),MATCH('Bishopstone Overview'!G$68,Stock!$A$3:$T$3,0)),0)</f>
        <v/>
      </c>
      <c r="H114" s="2"/>
    </row>
    <row r="115" spans="1:8" x14ac:dyDescent="0.2">
      <c r="A115" s="60" t="s">
        <v>204</v>
      </c>
      <c r="B115" s="10">
        <f>IFERROR(INDEX(Stock!$A$3:$T$91,MATCH('Bishopstone Overview'!$A115,Stock!$A$3:$A$91,0),MATCH('Bishopstone Overview'!B$68,Stock!$A$3:$T$3,0)),0)</f>
        <v>0</v>
      </c>
      <c r="C115" s="10">
        <f>IFERROR(INDEX(Stock!$A$3:$T$91,MATCH('Bishopstone Overview'!$A115,Stock!$A$3:$A$91,0),MATCH('Bishopstone Overview'!C$68,Stock!$A$3:$T$3,0)),0)</f>
        <v>0</v>
      </c>
      <c r="D115" s="10">
        <f t="shared" si="2"/>
        <v>0</v>
      </c>
      <c r="E115" s="10"/>
      <c r="F115" s="51" t="str">
        <f>IFERROR(INDEX(Stock!$A$3:$T$91,MATCH('Bishopstone Overview'!$A115,Stock!$A$3:$A$91,0),MATCH('Bishopstone Overview'!F$68,Stock!$A$3:$T$3,0)),0)</f>
        <v/>
      </c>
      <c r="G115" s="51" t="str">
        <f>IFERROR(INDEX(Stock!$A$3:$T$91,MATCH('Bishopstone Overview'!$A115,Stock!$A$3:$A$91,0),MATCH('Bishopstone Overview'!G$68,Stock!$A$3:$T$3,0)),0)</f>
        <v/>
      </c>
      <c r="H115" s="2"/>
    </row>
    <row r="116" spans="1:8" x14ac:dyDescent="0.2">
      <c r="A116" s="60" t="s">
        <v>205</v>
      </c>
      <c r="B116" s="10">
        <f>IFERROR(INDEX(Stock!$A$3:$T$91,MATCH('Bishopstone Overview'!$A116,Stock!$A$3:$A$91,0),MATCH('Bishopstone Overview'!B$68,Stock!$A$3:$T$3,0)),0)</f>
        <v>0</v>
      </c>
      <c r="C116" s="10">
        <f>IFERROR(INDEX(Stock!$A$3:$T$91,MATCH('Bishopstone Overview'!$A116,Stock!$A$3:$A$91,0),MATCH('Bishopstone Overview'!C$68,Stock!$A$3:$T$3,0)),0)</f>
        <v>0</v>
      </c>
      <c r="D116" s="10">
        <f t="shared" si="2"/>
        <v>0</v>
      </c>
      <c r="E116" s="10"/>
      <c r="F116" s="51" t="str">
        <f>IFERROR(INDEX(Stock!$A$3:$T$91,MATCH('Bishopstone Overview'!$A116,Stock!$A$3:$A$91,0),MATCH('Bishopstone Overview'!F$68,Stock!$A$3:$T$3,0)),0)</f>
        <v/>
      </c>
      <c r="G116" s="51" t="str">
        <f>IFERROR(INDEX(Stock!$A$3:$T$91,MATCH('Bishopstone Overview'!$A116,Stock!$A$3:$A$91,0),MATCH('Bishopstone Overview'!G$68,Stock!$A$3:$T$3,0)),0)</f>
        <v/>
      </c>
      <c r="H116" s="2"/>
    </row>
    <row r="117" spans="1:8" x14ac:dyDescent="0.2">
      <c r="A117" s="60" t="s">
        <v>206</v>
      </c>
      <c r="B117" s="10">
        <f>IFERROR(INDEX(Stock!$A$3:$T$91,MATCH('Bishopstone Overview'!$A117,Stock!$A$3:$A$91,0),MATCH('Bishopstone Overview'!B$68,Stock!$A$3:$T$3,0)),0)</f>
        <v>0</v>
      </c>
      <c r="C117" s="10">
        <f>IFERROR(INDEX(Stock!$A$3:$T$91,MATCH('Bishopstone Overview'!$A117,Stock!$A$3:$A$91,0),MATCH('Bishopstone Overview'!C$68,Stock!$A$3:$T$3,0)),0)</f>
        <v>0</v>
      </c>
      <c r="D117" s="10">
        <f t="shared" si="2"/>
        <v>0</v>
      </c>
      <c r="E117" s="10"/>
      <c r="F117" s="51" t="str">
        <f>IFERROR(INDEX(Stock!$A$3:$T$91,MATCH('Bishopstone Overview'!$A117,Stock!$A$3:$A$91,0),MATCH('Bishopstone Overview'!F$68,Stock!$A$3:$T$3,0)),0)</f>
        <v/>
      </c>
      <c r="G117" s="51" t="str">
        <f>IFERROR(INDEX(Stock!$A$3:$T$91,MATCH('Bishopstone Overview'!$A117,Stock!$A$3:$A$91,0),MATCH('Bishopstone Overview'!G$68,Stock!$A$3:$T$3,0)),0)</f>
        <v/>
      </c>
      <c r="H117" s="2"/>
    </row>
    <row r="118" spans="1:8" x14ac:dyDescent="0.2">
      <c r="A118" s="60" t="s">
        <v>207</v>
      </c>
      <c r="B118" s="10">
        <f>IFERROR(INDEX(Stock!$A$3:$T$91,MATCH('Bishopstone Overview'!$A118,Stock!$A$3:$A$91,0),MATCH('Bishopstone Overview'!B$68,Stock!$A$3:$T$3,0)),0)</f>
        <v>0</v>
      </c>
      <c r="C118" s="10">
        <f>IFERROR(INDEX(Stock!$A$3:$T$91,MATCH('Bishopstone Overview'!$A118,Stock!$A$3:$A$91,0),MATCH('Bishopstone Overview'!C$68,Stock!$A$3:$T$3,0)),0)</f>
        <v>0</v>
      </c>
      <c r="D118" s="10">
        <f t="shared" si="2"/>
        <v>0</v>
      </c>
      <c r="E118" s="10"/>
      <c r="F118" s="51" t="str">
        <f>IFERROR(INDEX(Stock!$A$3:$T$91,MATCH('Bishopstone Overview'!$A118,Stock!$A$3:$A$91,0),MATCH('Bishopstone Overview'!F$68,Stock!$A$3:$T$3,0)),0)</f>
        <v/>
      </c>
      <c r="G118" s="51" t="str">
        <f>IFERROR(INDEX(Stock!$A$3:$T$91,MATCH('Bishopstone Overview'!$A118,Stock!$A$3:$A$91,0),MATCH('Bishopstone Overview'!G$68,Stock!$A$3:$T$3,0)),0)</f>
        <v/>
      </c>
      <c r="H118" s="2"/>
    </row>
    <row r="119" spans="1:8" x14ac:dyDescent="0.2">
      <c r="A119" s="61" t="s">
        <v>167</v>
      </c>
      <c r="B119" s="10">
        <f>IFERROR(INDEX(Stock!$A$3:$T$91,MATCH('Bishopstone Overview'!$A119,Stock!$A$3:$A$91,0),MATCH('Bishopstone Overview'!B$68,Stock!$A$3:$T$3,0)),0)</f>
        <v>0</v>
      </c>
      <c r="C119" s="10">
        <f>IFERROR(INDEX(Stock!$A$3:$T$91,MATCH('Bishopstone Overview'!$A119,Stock!$A$3:$A$91,0),MATCH('Bishopstone Overview'!C$68,Stock!$A$3:$T$3,0)),0)</f>
        <v>0</v>
      </c>
      <c r="D119" s="10">
        <f t="shared" si="2"/>
        <v>0</v>
      </c>
      <c r="E119" s="10"/>
      <c r="F119" s="51">
        <f>IFERROR(INDEX(Stock!$A$3:$T$91,MATCH('Bishopstone Overview'!$A119,Stock!$A$3:$A$91,0),MATCH('Bishopstone Overview'!F$68,Stock!$A$3:$T$3,0)),0)</f>
        <v>0.34583333333333333</v>
      </c>
      <c r="G119" s="51">
        <f>IFERROR(INDEX(Stock!$A$3:$T$91,MATCH('Bishopstone Overview'!$A119,Stock!$A$3:$A$91,0),MATCH('Bishopstone Overview'!G$68,Stock!$A$3:$T$3,0)),0)</f>
        <v>0.34583333333333333</v>
      </c>
      <c r="H119" s="2"/>
    </row>
    <row r="120" spans="1:8" x14ac:dyDescent="0.2">
      <c r="A120" s="60" t="s">
        <v>208</v>
      </c>
      <c r="B120" s="10">
        <f>IFERROR(INDEX(Stock!$A$3:$T$91,MATCH('Bishopstone Overview'!$A120,Stock!$A$3:$A$91,0),MATCH('Bishopstone Overview'!B$68,Stock!$A$3:$T$3,0)),0)</f>
        <v>0</v>
      </c>
      <c r="C120" s="10">
        <f>IFERROR(INDEX(Stock!$A$3:$T$91,MATCH('Bishopstone Overview'!$A120,Stock!$A$3:$A$91,0),MATCH('Bishopstone Overview'!C$68,Stock!$A$3:$T$3,0)),0)</f>
        <v>0</v>
      </c>
      <c r="D120" s="10">
        <f t="shared" si="2"/>
        <v>0</v>
      </c>
      <c r="E120" s="10"/>
      <c r="F120" s="51" t="str">
        <f>IFERROR(INDEX(Stock!$A$3:$T$91,MATCH('Bishopstone Overview'!$A120,Stock!$A$3:$A$91,0),MATCH('Bishopstone Overview'!F$68,Stock!$A$3:$T$3,0)),0)</f>
        <v/>
      </c>
      <c r="G120" s="51" t="str">
        <f>IFERROR(INDEX(Stock!$A$3:$T$91,MATCH('Bishopstone Overview'!$A120,Stock!$A$3:$A$91,0),MATCH('Bishopstone Overview'!G$68,Stock!$A$3:$T$3,0)),0)</f>
        <v/>
      </c>
      <c r="H120" s="2"/>
    </row>
    <row r="121" spans="1:8" x14ac:dyDescent="0.2">
      <c r="A121" s="60" t="s">
        <v>209</v>
      </c>
      <c r="B121" s="10">
        <f>IFERROR(INDEX(Stock!$A$3:$T$91,MATCH('Bishopstone Overview'!$A121,Stock!$A$3:$A$91,0),MATCH('Bishopstone Overview'!B$68,Stock!$A$3:$T$3,0)),0)</f>
        <v>0</v>
      </c>
      <c r="C121" s="10">
        <f>IFERROR(INDEX(Stock!$A$3:$T$91,MATCH('Bishopstone Overview'!$A121,Stock!$A$3:$A$91,0),MATCH('Bishopstone Overview'!C$68,Stock!$A$3:$T$3,0)),0)</f>
        <v>0</v>
      </c>
      <c r="D121" s="10">
        <f t="shared" si="2"/>
        <v>0</v>
      </c>
      <c r="E121" s="10"/>
      <c r="F121" s="51" t="str">
        <f>IFERROR(INDEX(Stock!$A$3:$T$91,MATCH('Bishopstone Overview'!$A121,Stock!$A$3:$A$91,0),MATCH('Bishopstone Overview'!F$68,Stock!$A$3:$T$3,0)),0)</f>
        <v/>
      </c>
      <c r="G121" s="51" t="str">
        <f>IFERROR(INDEX(Stock!$A$3:$T$91,MATCH('Bishopstone Overview'!$A121,Stock!$A$3:$A$91,0),MATCH('Bishopstone Overview'!G$68,Stock!$A$3:$T$3,0)),0)</f>
        <v/>
      </c>
      <c r="H121" s="2"/>
    </row>
    <row r="122" spans="1:8" x14ac:dyDescent="0.2">
      <c r="A122" s="60" t="s">
        <v>210</v>
      </c>
      <c r="B122" s="10">
        <f>IFERROR(INDEX(Stock!$A$3:$T$91,MATCH('Bishopstone Overview'!$A122,Stock!$A$3:$A$91,0),MATCH('Bishopstone Overview'!B$68,Stock!$A$3:$T$3,0)),0)</f>
        <v>0</v>
      </c>
      <c r="C122" s="10">
        <f>IFERROR(INDEX(Stock!$A$3:$T$91,MATCH('Bishopstone Overview'!$A122,Stock!$A$3:$A$91,0),MATCH('Bishopstone Overview'!C$68,Stock!$A$3:$T$3,0)),0)</f>
        <v>0</v>
      </c>
      <c r="D122" s="10">
        <f t="shared" si="2"/>
        <v>0</v>
      </c>
      <c r="E122" s="10"/>
      <c r="F122" s="51" t="str">
        <f>IFERROR(INDEX(Stock!$A$3:$T$91,MATCH('Bishopstone Overview'!$A122,Stock!$A$3:$A$91,0),MATCH('Bishopstone Overview'!F$68,Stock!$A$3:$T$3,0)),0)</f>
        <v/>
      </c>
      <c r="G122" s="51" t="str">
        <f>IFERROR(INDEX(Stock!$A$3:$T$91,MATCH('Bishopstone Overview'!$A122,Stock!$A$3:$A$91,0),MATCH('Bishopstone Overview'!G$68,Stock!$A$3:$T$3,0)),0)</f>
        <v/>
      </c>
      <c r="H122" s="2"/>
    </row>
    <row r="123" spans="1:8" x14ac:dyDescent="0.2">
      <c r="A123" s="60" t="s">
        <v>211</v>
      </c>
      <c r="B123" s="10">
        <f>IFERROR(INDEX(Stock!$A$3:$T$91,MATCH('Bishopstone Overview'!$A123,Stock!$A$3:$A$91,0),MATCH('Bishopstone Overview'!B$68,Stock!$A$3:$T$3,0)),0)</f>
        <v>0</v>
      </c>
      <c r="C123" s="10">
        <f>IFERROR(INDEX(Stock!$A$3:$T$91,MATCH('Bishopstone Overview'!$A123,Stock!$A$3:$A$91,0),MATCH('Bishopstone Overview'!C$68,Stock!$A$3:$T$3,0)),0)</f>
        <v>0</v>
      </c>
      <c r="D123" s="10">
        <f t="shared" si="2"/>
        <v>0</v>
      </c>
      <c r="E123" s="10"/>
      <c r="F123" s="51" t="str">
        <f>IFERROR(INDEX(Stock!$A$3:$T$91,MATCH('Bishopstone Overview'!$A123,Stock!$A$3:$A$91,0),MATCH('Bishopstone Overview'!F$68,Stock!$A$3:$T$3,0)),0)</f>
        <v/>
      </c>
      <c r="G123" s="51" t="str">
        <f>IFERROR(INDEX(Stock!$A$3:$T$91,MATCH('Bishopstone Overview'!$A123,Stock!$A$3:$A$91,0),MATCH('Bishopstone Overview'!G$68,Stock!$A$3:$T$3,0)),0)</f>
        <v/>
      </c>
      <c r="H123" s="2"/>
    </row>
    <row r="124" spans="1:8" x14ac:dyDescent="0.2">
      <c r="A124" s="61" t="s">
        <v>125</v>
      </c>
      <c r="B124" s="10">
        <f>IFERROR(INDEX(Stock!$A$3:$T$91,MATCH('Bishopstone Overview'!$A124,Stock!$A$3:$A$91,0),MATCH('Bishopstone Overview'!B$68,Stock!$A$3:$T$3,0)),0)</f>
        <v>0</v>
      </c>
      <c r="C124" s="10">
        <f>IFERROR(INDEX(Stock!$A$3:$T$91,MATCH('Bishopstone Overview'!$A124,Stock!$A$3:$A$91,0),MATCH('Bishopstone Overview'!C$68,Stock!$A$3:$T$3,0)),0)</f>
        <v>0</v>
      </c>
      <c r="D124" s="10">
        <f t="shared" si="2"/>
        <v>0</v>
      </c>
      <c r="E124" s="10"/>
      <c r="F124" s="51" t="str">
        <f>IFERROR(INDEX(Stock!$A$3:$T$91,MATCH('Bishopstone Overview'!$A124,Stock!$A$3:$A$91,0),MATCH('Bishopstone Overview'!F$68,Stock!$A$3:$T$3,0)),0)</f>
        <v/>
      </c>
      <c r="G124" s="51" t="str">
        <f>IFERROR(INDEX(Stock!$A$3:$T$91,MATCH('Bishopstone Overview'!$A124,Stock!$A$3:$A$91,0),MATCH('Bishopstone Overview'!G$68,Stock!$A$3:$T$3,0)),0)</f>
        <v/>
      </c>
      <c r="H124" s="2"/>
    </row>
    <row r="125" spans="1:8" x14ac:dyDescent="0.2">
      <c r="A125" s="10" t="s">
        <v>168</v>
      </c>
      <c r="B125" s="10">
        <f>IFERROR(INDEX(Stock!$A$3:$T$91,MATCH('Bishopstone Overview'!$A125,Stock!$A$3:$A$91,0),MATCH('Bishopstone Overview'!B$68,Stock!$A$3:$T$3,0)),0)</f>
        <v>0</v>
      </c>
      <c r="C125" s="10">
        <f>IFERROR(INDEX(Stock!$A$3:$T$91,MATCH('Bishopstone Overview'!$A125,Stock!$A$3:$A$91,0),MATCH('Bishopstone Overview'!C$68,Stock!$A$3:$T$3,0)),0)</f>
        <v>0</v>
      </c>
      <c r="D125" s="10">
        <f t="shared" si="2"/>
        <v>0</v>
      </c>
      <c r="E125" s="10"/>
      <c r="F125" s="51">
        <f>IFERROR(INDEX(Stock!$A$3:$T$91,MATCH('Bishopstone Overview'!$A125,Stock!$A$3:$A$91,0),MATCH('Bishopstone Overview'!F$68,Stock!$A$3:$T$3,0)),0)</f>
        <v>4.1666666666666664E-2</v>
      </c>
      <c r="G125" s="51">
        <f>IFERROR(INDEX(Stock!$A$3:$T$91,MATCH('Bishopstone Overview'!$A125,Stock!$A$3:$A$91,0),MATCH('Bishopstone Overview'!G$68,Stock!$A$3:$T$3,0)),0)</f>
        <v>4.4117647058823525E-2</v>
      </c>
      <c r="H125" s="2"/>
    </row>
    <row r="126" spans="1:8" x14ac:dyDescent="0.2">
      <c r="A126" s="10" t="s">
        <v>126</v>
      </c>
      <c r="B126" s="10">
        <f>IFERROR(INDEX(Stock!$A$3:$T$91,MATCH('Bishopstone Overview'!$A126,Stock!$A$3:$A$91,0),MATCH('Bishopstone Overview'!B$68,Stock!$A$3:$T$3,0)),0)</f>
        <v>0</v>
      </c>
      <c r="C126" s="10">
        <f>IFERROR(INDEX(Stock!$A$3:$T$91,MATCH('Bishopstone Overview'!$A126,Stock!$A$3:$A$91,0),MATCH('Bishopstone Overview'!C$68,Stock!$A$3:$T$3,0)),0)</f>
        <v>0</v>
      </c>
      <c r="D126" s="10">
        <f t="shared" si="2"/>
        <v>0</v>
      </c>
      <c r="E126" s="10"/>
      <c r="F126" s="10" t="str">
        <f>IFERROR(INDEX(Stock!$A$3:$T$91,MATCH('Bishopstone Overview'!$A126,Stock!$A$3:$A$91,0),MATCH('Bishopstone Overview'!F$68,Stock!$A$3:$T$3,0)),0)</f>
        <v/>
      </c>
      <c r="G126" s="10" t="str">
        <f>IFERROR(INDEX(Stock!$A$3:$T$91,MATCH('Bishopstone Overview'!$A126,Stock!$A$3:$A$91,0),MATCH('Bishopstone Overview'!G$68,Stock!$A$3:$T$3,0)),0)</f>
        <v/>
      </c>
      <c r="H126" s="2"/>
    </row>
    <row r="127" spans="1:8" x14ac:dyDescent="0.2">
      <c r="A127" s="10" t="s">
        <v>127</v>
      </c>
      <c r="B127" s="10">
        <f>IFERROR(INDEX(Stock!$A$3:$T$91,MATCH('Bishopstone Overview'!$A127,Stock!$A$3:$A$91,0),MATCH('Bishopstone Overview'!B$68,Stock!$A$3:$T$3,0)),0)</f>
        <v>0</v>
      </c>
      <c r="C127" s="10">
        <f>IFERROR(INDEX(Stock!$A$3:$T$91,MATCH('Bishopstone Overview'!$A127,Stock!$A$3:$A$91,0),MATCH('Bishopstone Overview'!C$68,Stock!$A$3:$T$3,0)),0)</f>
        <v>0</v>
      </c>
      <c r="D127" s="10">
        <f t="shared" si="2"/>
        <v>0</v>
      </c>
      <c r="E127" s="10"/>
      <c r="F127" s="10" t="str">
        <f>IFERROR(INDEX(Stock!$A$3:$T$91,MATCH('Bishopstone Overview'!$A127,Stock!$A$3:$A$91,0),MATCH('Bishopstone Overview'!F$68,Stock!$A$3:$T$3,0)),0)</f>
        <v/>
      </c>
      <c r="G127" s="10" t="str">
        <f>IFERROR(INDEX(Stock!$A$3:$T$91,MATCH('Bishopstone Overview'!$A127,Stock!$A$3:$A$91,0),MATCH('Bishopstone Overview'!G$68,Stock!$A$3:$T$3,0)),0)</f>
        <v/>
      </c>
      <c r="H127" s="2"/>
    </row>
    <row r="128" spans="1:8" x14ac:dyDescent="0.2">
      <c r="A128" s="48" t="s">
        <v>83</v>
      </c>
      <c r="B128" s="46"/>
      <c r="C128" s="46"/>
      <c r="D128" s="46"/>
      <c r="E128" s="46"/>
      <c r="F128" s="46"/>
      <c r="G128" s="52">
        <f>SUM(G108:G127)</f>
        <v>0.58578431372549022</v>
      </c>
      <c r="H128" s="2"/>
    </row>
    <row r="129" spans="1:8" x14ac:dyDescent="0.2">
      <c r="A129" s="48" t="s">
        <v>84</v>
      </c>
      <c r="B129" s="46"/>
      <c r="C129" s="46"/>
      <c r="D129" s="46"/>
      <c r="E129" s="46"/>
      <c r="F129" s="46"/>
      <c r="G129" s="52">
        <f>SUM(F108:F127)</f>
        <v>0.58333333333333337</v>
      </c>
      <c r="H129" s="2"/>
    </row>
    <row r="130" spans="1:8" x14ac:dyDescent="0.2">
      <c r="A130" s="10"/>
      <c r="B130" s="10"/>
      <c r="C130" s="10"/>
      <c r="D130" s="10"/>
      <c r="E130" s="10"/>
      <c r="F130" s="10"/>
      <c r="G130" s="51"/>
      <c r="H130" s="2"/>
    </row>
    <row r="131" spans="1:8" ht="34" x14ac:dyDescent="0.2">
      <c r="A131" s="45" t="s">
        <v>128</v>
      </c>
      <c r="B131" s="67" t="s">
        <v>145</v>
      </c>
      <c r="C131" s="67" t="s">
        <v>151</v>
      </c>
      <c r="D131" s="68" t="s">
        <v>93</v>
      </c>
      <c r="E131" s="69"/>
      <c r="F131" s="70" t="s">
        <v>154</v>
      </c>
      <c r="G131" s="70" t="s">
        <v>169</v>
      </c>
      <c r="H131" s="2"/>
    </row>
    <row r="132" spans="1:8" ht="17" x14ac:dyDescent="0.2">
      <c r="A132" s="53" t="s">
        <v>129</v>
      </c>
      <c r="B132" s="10">
        <f>IFERROR(INDEX(Stock!$A$3:$T$91,MATCH('Bishopstone Overview'!$A132,Stock!$A$3:$A$91,0),MATCH('Bishopstone Overview'!B$68,Stock!$A$3:$T$3,0)),0)</f>
        <v>0</v>
      </c>
      <c r="C132" s="10">
        <f>IFERROR(INDEX(Stock!$A$3:$T$91,MATCH('Bishopstone Overview'!$A132,Stock!$A$3:$A$91,0),MATCH('Bishopstone Overview'!C$68,Stock!$A$3:$T$3,0)),0)</f>
        <v>0</v>
      </c>
      <c r="D132" s="10">
        <f t="shared" ref="D132:D135" si="3">C132-B132</f>
        <v>0</v>
      </c>
      <c r="E132" s="10"/>
      <c r="F132" s="51">
        <f>IFERROR(INDEX(Stock!$A$3:$T$91,MATCH('Bishopstone Overview'!$A132,Stock!$A$3:$A$91,0),MATCH('Bishopstone Overview'!F$68,Stock!$A$3:$T$3,0)),0)</f>
        <v>0.26666666666666666</v>
      </c>
      <c r="G132" s="51">
        <f>IFERROR(INDEX(Stock!$A$3:$T$91,MATCH('Bishopstone Overview'!$A132,Stock!$A$3:$A$91,0),MATCH('Bishopstone Overview'!G$68,Stock!$A$3:$T$3,0)),0)</f>
        <v>0.36666666666666664</v>
      </c>
      <c r="H132" s="2"/>
    </row>
    <row r="133" spans="1:8" x14ac:dyDescent="0.2">
      <c r="A133" s="10" t="s">
        <v>130</v>
      </c>
      <c r="B133" s="10">
        <f>IFERROR(INDEX(Stock!$A$3:$T$91,MATCH('Bishopstone Overview'!$A133,Stock!$A$3:$A$91,0),MATCH('Bishopstone Overview'!B$68,Stock!$A$3:$T$3,0)),0)</f>
        <v>0</v>
      </c>
      <c r="C133" s="10">
        <f>IFERROR(INDEX(Stock!$A$3:$T$91,MATCH('Bishopstone Overview'!$A133,Stock!$A$3:$A$91,0),MATCH('Bishopstone Overview'!C$68,Stock!$A$3:$T$3,0)),0)</f>
        <v>0</v>
      </c>
      <c r="D133" s="10">
        <f t="shared" si="3"/>
        <v>0</v>
      </c>
      <c r="E133" s="10"/>
      <c r="F133" s="10" t="str">
        <f>IFERROR(INDEX(Stock!$A$3:$T$91,MATCH('Bishopstone Overview'!$A133,Stock!$A$3:$A$91,0),MATCH('Bishopstone Overview'!F$68,Stock!$A$3:$T$3,0)),0)</f>
        <v/>
      </c>
      <c r="G133" s="10" t="str">
        <f>IFERROR(INDEX(Stock!$A$3:$T$91,MATCH('Bishopstone Overview'!$A133,Stock!$A$3:$A$91,0),MATCH('Bishopstone Overview'!G$68,Stock!$A$3:$T$3,0)),0)</f>
        <v/>
      </c>
      <c r="H133" s="2"/>
    </row>
    <row r="134" spans="1:8" x14ac:dyDescent="0.2">
      <c r="A134" s="10" t="s">
        <v>131</v>
      </c>
      <c r="B134" s="10">
        <f>IFERROR(INDEX(Stock!$A$3:$T$91,MATCH('Bishopstone Overview'!$A134,Stock!$A$3:$A$91,0),MATCH('Bishopstone Overview'!B$68,Stock!$A$3:$T$3,0)),0)</f>
        <v>0</v>
      </c>
      <c r="C134" s="10">
        <f>IFERROR(INDEX(Stock!$A$3:$T$91,MATCH('Bishopstone Overview'!$A134,Stock!$A$3:$A$91,0),MATCH('Bishopstone Overview'!C$68,Stock!$A$3:$T$3,0)),0)</f>
        <v>0</v>
      </c>
      <c r="D134" s="10">
        <f t="shared" si="3"/>
        <v>0</v>
      </c>
      <c r="E134" s="10"/>
      <c r="F134" s="10" t="str">
        <f>IFERROR(INDEX(Stock!$A$3:$T$91,MATCH('Bishopstone Overview'!$A134,Stock!$A$3:$A$91,0),MATCH('Bishopstone Overview'!F$68,Stock!$A$3:$T$3,0)),0)</f>
        <v/>
      </c>
      <c r="G134" s="10" t="str">
        <f>IFERROR(INDEX(Stock!$A$3:$T$91,MATCH('Bishopstone Overview'!$A134,Stock!$A$3:$A$91,0),MATCH('Bishopstone Overview'!G$68,Stock!$A$3:$T$3,0)),0)</f>
        <v/>
      </c>
      <c r="H134" s="2"/>
    </row>
    <row r="135" spans="1:8" x14ac:dyDescent="0.2">
      <c r="A135" s="10" t="s">
        <v>132</v>
      </c>
      <c r="B135" s="10">
        <f>IFERROR(INDEX(Stock!$A$3:$T$91,MATCH('Bishopstone Overview'!$A135,Stock!$A$3:$A$91,0),MATCH('Bishopstone Overview'!B$68,Stock!$A$3:$T$3,0)),0)</f>
        <v>0</v>
      </c>
      <c r="C135" s="10">
        <f>IFERROR(INDEX(Stock!$A$3:$T$91,MATCH('Bishopstone Overview'!$A135,Stock!$A$3:$A$91,0),MATCH('Bishopstone Overview'!C$68,Stock!$A$3:$T$3,0)),0)</f>
        <v>0</v>
      </c>
      <c r="D135" s="10">
        <f t="shared" si="3"/>
        <v>0</v>
      </c>
      <c r="E135" s="10"/>
      <c r="F135" s="10" t="str">
        <f>IFERROR(INDEX(Stock!$A$3:$T$91,MATCH('Bishopstone Overview'!$A135,Stock!$A$3:$A$91,0),MATCH('Bishopstone Overview'!F$68,Stock!$A$3:$T$3,0)),0)</f>
        <v/>
      </c>
      <c r="G135" s="10" t="str">
        <f>IFERROR(INDEX(Stock!$A$3:$T$91,MATCH('Bishopstone Overview'!$A135,Stock!$A$3:$A$91,0),MATCH('Bishopstone Overview'!G$68,Stock!$A$3:$T$3,0)),0)</f>
        <v/>
      </c>
      <c r="H135" s="2"/>
    </row>
    <row r="136" spans="1:8" x14ac:dyDescent="0.2">
      <c r="A136" s="48" t="s">
        <v>83</v>
      </c>
      <c r="B136" s="46"/>
      <c r="C136" s="46"/>
      <c r="D136" s="46"/>
      <c r="E136" s="46"/>
      <c r="F136" s="46"/>
      <c r="G136" s="52">
        <f>SUM(G132:G135)</f>
        <v>0.36666666666666664</v>
      </c>
      <c r="H136" s="2"/>
    </row>
    <row r="137" spans="1:8" x14ac:dyDescent="0.2">
      <c r="A137" s="48" t="s">
        <v>84</v>
      </c>
      <c r="B137" s="46"/>
      <c r="C137" s="46"/>
      <c r="D137" s="46"/>
      <c r="E137" s="46"/>
      <c r="F137" s="46"/>
      <c r="G137" s="52">
        <f>SUM(F132:F134)</f>
        <v>0.26666666666666666</v>
      </c>
      <c r="H137" s="2"/>
    </row>
    <row r="138" spans="1:8" x14ac:dyDescent="0.2">
      <c r="A138" s="10"/>
      <c r="B138" s="10"/>
      <c r="C138" s="10"/>
      <c r="D138" s="10"/>
      <c r="E138" s="10"/>
      <c r="F138" s="10"/>
      <c r="G138" s="51"/>
      <c r="H138" s="2"/>
    </row>
    <row r="139" spans="1:8" ht="34" x14ac:dyDescent="0.2">
      <c r="A139" s="45" t="s">
        <v>133</v>
      </c>
      <c r="B139" s="67" t="s">
        <v>145</v>
      </c>
      <c r="C139" s="67" t="s">
        <v>151</v>
      </c>
      <c r="D139" s="68" t="s">
        <v>93</v>
      </c>
      <c r="E139" s="69"/>
      <c r="F139" s="70" t="s">
        <v>154</v>
      </c>
      <c r="G139" s="70" t="s">
        <v>169</v>
      </c>
      <c r="H139" s="2"/>
    </row>
    <row r="140" spans="1:8" x14ac:dyDescent="0.2">
      <c r="A140" s="10" t="s">
        <v>134</v>
      </c>
      <c r="B140" s="10">
        <f>IFERROR(INDEX(Stock!$A$3:$T$91,MATCH('Bishopstone Overview'!$A140,Stock!$A$3:$A$91,0),MATCH('Bishopstone Overview'!B$68,Stock!$A$3:$T$3,0)),0)</f>
        <v>0</v>
      </c>
      <c r="C140" s="10">
        <f>IFERROR(INDEX(Stock!$A$3:$T$91,MATCH('Bishopstone Overview'!$A140,Stock!$A$3:$A$91,0),MATCH('Bishopstone Overview'!C$68,Stock!$A$3:$T$3,0)),0)</f>
        <v>0</v>
      </c>
      <c r="D140" s="10">
        <f t="shared" ref="D140:D141" si="4">C140-B140</f>
        <v>0</v>
      </c>
      <c r="E140" s="10"/>
      <c r="F140" s="10" t="str">
        <f>IFERROR(INDEX(Stock!$A$3:$T$91,MATCH('Bishopstone Overview'!$A140,Stock!$A$3:$A$91,0),MATCH('Bishopstone Overview'!F$68,Stock!$A$3:$T$3,0)),0)</f>
        <v/>
      </c>
      <c r="G140" s="10" t="str">
        <f>IFERROR(INDEX(Stock!$A$3:$T$91,MATCH('Bishopstone Overview'!$A140,Stock!$A$3:$A$91,0),MATCH('Bishopstone Overview'!G$68,Stock!$A$3:$T$3,0)),0)</f>
        <v/>
      </c>
      <c r="H140" s="2"/>
    </row>
    <row r="141" spans="1:8" x14ac:dyDescent="0.2">
      <c r="A141" s="10" t="s">
        <v>135</v>
      </c>
      <c r="B141" s="10">
        <f>IFERROR(INDEX(Stock!$A$3:$T$91,MATCH('Bishopstone Overview'!$A141,Stock!$A$3:$A$91,0),MATCH('Bishopstone Overview'!B$68,Stock!$A$3:$T$3,0)),0)</f>
        <v>0</v>
      </c>
      <c r="C141" s="10">
        <f>IFERROR(INDEX(Stock!$A$3:$T$91,MATCH('Bishopstone Overview'!$A141,Stock!$A$3:$A$91,0),MATCH('Bishopstone Overview'!C$68,Stock!$A$3:$T$3,0)),0)</f>
        <v>0</v>
      </c>
      <c r="D141" s="10">
        <f t="shared" si="4"/>
        <v>0</v>
      </c>
      <c r="E141" s="10"/>
      <c r="F141" s="10" t="str">
        <f>IFERROR(INDEX(Stock!$A$3:$T$91,MATCH('Bishopstone Overview'!$A141,Stock!$A$3:$A$91,0),MATCH('Bishopstone Overview'!F$68,Stock!$A$3:$T$3,0)),0)</f>
        <v/>
      </c>
      <c r="G141" s="10" t="str">
        <f>IFERROR(INDEX(Stock!$A$3:$T$91,MATCH('Bishopstone Overview'!$A141,Stock!$A$3:$A$91,0),MATCH('Bishopstone Overview'!G$68,Stock!$A$3:$T$3,0)),0)</f>
        <v/>
      </c>
      <c r="H141" s="2"/>
    </row>
    <row r="142" spans="1:8" x14ac:dyDescent="0.2">
      <c r="A142" s="10" t="s">
        <v>136</v>
      </c>
      <c r="B142" s="10">
        <f>SUM(B140:B141)</f>
        <v>0</v>
      </c>
      <c r="C142" s="10">
        <f t="shared" ref="C142:D142" si="5">SUM(C140:C141)</f>
        <v>0</v>
      </c>
      <c r="D142" s="10">
        <f t="shared" si="5"/>
        <v>0</v>
      </c>
      <c r="E142" s="10"/>
      <c r="F142" s="10">
        <f>IFERROR(INDEX(Stock!$A$3:$T$91,MATCH('Bishopstone Overview'!$A142,Stock!$A$3:$A$91,0),MATCH('Bishopstone Overview'!F$68,Stock!$A$3:$T$3,0)),0)</f>
        <v>0</v>
      </c>
      <c r="G142" s="10">
        <f>IFERROR(INDEX(Stock!$A$3:$T$91,MATCH('Bishopstone Overview'!$A142,Stock!$A$3:$A$91,0),MATCH('Bishopstone Overview'!G$68,Stock!$A$3:$T$3,0)),0)</f>
        <v>0</v>
      </c>
      <c r="H142" s="2"/>
    </row>
    <row r="143" spans="1:8" x14ac:dyDescent="0.2">
      <c r="A143" s="48" t="s">
        <v>137</v>
      </c>
      <c r="B143" s="46"/>
      <c r="C143" s="46"/>
      <c r="D143" s="46"/>
      <c r="E143" s="46"/>
      <c r="F143" s="46"/>
      <c r="G143" s="52"/>
      <c r="H143" s="2"/>
    </row>
    <row r="144" spans="1:8" x14ac:dyDescent="0.2">
      <c r="A144" s="48" t="s">
        <v>84</v>
      </c>
      <c r="B144" s="46"/>
      <c r="C144" s="46"/>
      <c r="D144" s="46"/>
      <c r="E144" s="46"/>
      <c r="F144" s="46"/>
      <c r="G144" s="52"/>
      <c r="H144" s="2"/>
    </row>
    <row r="145" spans="1:8" x14ac:dyDescent="0.2">
      <c r="A145" s="10"/>
      <c r="B145" s="10"/>
      <c r="C145" s="10"/>
      <c r="D145" s="10"/>
      <c r="E145" s="10"/>
      <c r="F145" s="10"/>
      <c r="G145" s="51"/>
      <c r="H145" s="2"/>
    </row>
    <row r="146" spans="1:8" ht="34" x14ac:dyDescent="0.2">
      <c r="A146" s="45" t="s">
        <v>138</v>
      </c>
      <c r="B146" s="67" t="s">
        <v>145</v>
      </c>
      <c r="C146" s="67" t="s">
        <v>151</v>
      </c>
      <c r="D146" s="68" t="s">
        <v>93</v>
      </c>
      <c r="E146" s="69"/>
      <c r="F146" s="70" t="s">
        <v>154</v>
      </c>
      <c r="G146" s="70" t="s">
        <v>169</v>
      </c>
      <c r="H146" s="2"/>
    </row>
    <row r="147" spans="1:8" x14ac:dyDescent="0.2">
      <c r="A147" s="10" t="s">
        <v>139</v>
      </c>
      <c r="B147" s="10">
        <f>IFERROR(INDEX(Stock!$A$3:$T$91,MATCH('Bishopstone Overview'!$A147,Stock!$A$3:$A$91,0),MATCH('Bishopstone Overview'!B$68,Stock!$A$3:$T$3,0)),0)</f>
        <v>0</v>
      </c>
      <c r="C147" s="10">
        <f>IFERROR(INDEX(Stock!$A$3:$T$91,MATCH('Bishopstone Overview'!$A147,Stock!$A$3:$A$91,0),MATCH('Bishopstone Overview'!C$68,Stock!$A$3:$T$3,0)),0)</f>
        <v>0</v>
      </c>
      <c r="D147" s="10">
        <f t="shared" ref="D147:D149" si="6">C147-B147</f>
        <v>0</v>
      </c>
      <c r="E147" s="10"/>
      <c r="F147" s="51">
        <f>IFERROR(INDEX(Stock!$A$3:$T$91,MATCH('Bishopstone Overview'!$A147,Stock!$A$3:$A$91,0),MATCH('Bishopstone Overview'!F$68,Stock!$A$3:$T$3,0)),0)</f>
        <v>0.45</v>
      </c>
      <c r="G147" s="51">
        <f>IFERROR(INDEX(Stock!$A$3:$T$91,MATCH('Bishopstone Overview'!$A147,Stock!$A$3:$A$91,0),MATCH('Bishopstone Overview'!G$68,Stock!$A$3:$T$3,0)),0)</f>
        <v>0.45</v>
      </c>
      <c r="H147" s="2"/>
    </row>
    <row r="148" spans="1:8" x14ac:dyDescent="0.2">
      <c r="A148" s="10" t="s">
        <v>140</v>
      </c>
      <c r="B148" s="10">
        <f>IFERROR(INDEX(Stock!$A$3:$T$91,MATCH('Bishopstone Overview'!$A148,Stock!$A$3:$A$91,0),MATCH('Bishopstone Overview'!B$68,Stock!$A$3:$T$3,0)),0)</f>
        <v>0</v>
      </c>
      <c r="C148" s="10">
        <f>IFERROR(INDEX(Stock!$A$3:$T$91,MATCH('Bishopstone Overview'!$A148,Stock!$A$3:$A$91,0),MATCH('Bishopstone Overview'!C$68,Stock!$A$3:$T$3,0)),0)</f>
        <v>0</v>
      </c>
      <c r="D148" s="10">
        <f t="shared" si="6"/>
        <v>0</v>
      </c>
      <c r="E148" s="10"/>
      <c r="F148" s="51">
        <f>IFERROR(INDEX(Stock!$A$3:$T$91,MATCH('Bishopstone Overview'!$A148,Stock!$A$3:$A$91,0),MATCH('Bishopstone Overview'!F$68,Stock!$A$3:$T$3,0)),0)</f>
        <v>0.22500000000000001</v>
      </c>
      <c r="G148" s="51" t="str">
        <f>IFERROR(INDEX(Stock!$A$3:$T$91,MATCH('Bishopstone Overview'!$A148,Stock!$A$3:$A$91,0),MATCH('Bishopstone Overview'!G$68,Stock!$A$3:$T$3,0)),0)</f>
        <v/>
      </c>
      <c r="H148" s="2"/>
    </row>
    <row r="149" spans="1:8" x14ac:dyDescent="0.2">
      <c r="A149" s="10" t="s">
        <v>141</v>
      </c>
      <c r="B149" s="10">
        <f>IFERROR(INDEX(Stock!$A$3:$T$91,MATCH('Bishopstone Overview'!$A149,Stock!$A$3:$A$91,0),MATCH('Bishopstone Overview'!B$68,Stock!$A$3:$T$3,0)),0)</f>
        <v>0</v>
      </c>
      <c r="C149" s="10">
        <f>IFERROR(INDEX(Stock!$A$3:$T$91,MATCH('Bishopstone Overview'!$A149,Stock!$A$3:$A$91,0),MATCH('Bishopstone Overview'!C$68,Stock!$A$3:$T$3,0)),0)</f>
        <v>0</v>
      </c>
      <c r="D149" s="10">
        <f t="shared" si="6"/>
        <v>0</v>
      </c>
      <c r="E149" s="10"/>
      <c r="F149" s="51">
        <f>IFERROR(INDEX(Stock!$A$3:$T$91,MATCH('Bishopstone Overview'!$A149,Stock!$A$3:$A$91,0),MATCH('Bishopstone Overview'!F$68,Stock!$A$3:$T$3,0)),0)</f>
        <v>3.6</v>
      </c>
      <c r="G149" s="51">
        <f>IFERROR(INDEX(Stock!$A$3:$T$91,MATCH('Bishopstone Overview'!$A149,Stock!$A$3:$A$91,0),MATCH('Bishopstone Overview'!G$68,Stock!$A$3:$T$3,0)),0)</f>
        <v>4.0528301886792457</v>
      </c>
      <c r="H149" s="2"/>
    </row>
    <row r="150" spans="1:8" x14ac:dyDescent="0.2">
      <c r="A150" s="48" t="s">
        <v>83</v>
      </c>
      <c r="B150" s="46"/>
      <c r="C150" s="46"/>
      <c r="D150" s="46"/>
      <c r="E150" s="46"/>
      <c r="F150" s="46"/>
      <c r="G150" s="52">
        <f>SUM(G147:G149)</f>
        <v>4.5028301886792459</v>
      </c>
      <c r="H150" s="2"/>
    </row>
    <row r="151" spans="1:8" x14ac:dyDescent="0.2">
      <c r="A151" s="48" t="s">
        <v>84</v>
      </c>
      <c r="B151" s="46"/>
      <c r="C151" s="46"/>
      <c r="D151" s="46"/>
      <c r="E151" s="46"/>
      <c r="F151" s="46"/>
      <c r="G151" s="52">
        <f>SUM(F147:F149)</f>
        <v>4.2750000000000004</v>
      </c>
      <c r="H151" s="2"/>
    </row>
    <row r="152" spans="1:8" x14ac:dyDescent="0.2">
      <c r="A152" s="10"/>
      <c r="B152" s="10"/>
      <c r="C152" s="10"/>
      <c r="D152" s="10"/>
      <c r="E152" s="10"/>
      <c r="F152" s="10"/>
      <c r="G152" s="51"/>
      <c r="H152" s="2"/>
    </row>
    <row r="153" spans="1:8" ht="17" thickBot="1" x14ac:dyDescent="0.25">
      <c r="A153" s="10"/>
      <c r="B153" s="10"/>
      <c r="C153" s="10"/>
      <c r="D153" s="10"/>
      <c r="E153" s="10"/>
      <c r="F153" s="10"/>
      <c r="G153" s="51"/>
      <c r="H153" s="2"/>
    </row>
    <row r="154" spans="1:8" ht="17" thickBot="1" x14ac:dyDescent="0.25">
      <c r="A154" s="72"/>
      <c r="B154" s="73" t="s">
        <v>3</v>
      </c>
      <c r="C154" s="74"/>
      <c r="D154" s="75"/>
      <c r="E154" s="76"/>
      <c r="F154" s="10"/>
      <c r="G154" s="51"/>
      <c r="H154" s="2"/>
    </row>
    <row r="155" spans="1:8" x14ac:dyDescent="0.2">
      <c r="A155" s="77" t="s">
        <v>336</v>
      </c>
      <c r="B155" s="78">
        <f>G150+G137+G128+G104+G96+F54</f>
        <v>62.562571773440467</v>
      </c>
      <c r="C155" s="2"/>
      <c r="D155" s="79"/>
      <c r="E155" s="80"/>
      <c r="F155" s="10"/>
      <c r="G155" s="89"/>
      <c r="H155" s="2"/>
    </row>
    <row r="156" spans="1:8" x14ac:dyDescent="0.2">
      <c r="A156" s="81" t="s">
        <v>330</v>
      </c>
      <c r="B156" s="78">
        <f>G151+G137+G129+G105+G96+F55</f>
        <v>45.711458333333333</v>
      </c>
      <c r="C156" s="2"/>
      <c r="D156" s="79"/>
      <c r="E156" s="80"/>
      <c r="F156" s="10"/>
      <c r="G156" s="89"/>
      <c r="H156" s="2"/>
    </row>
    <row r="157" spans="1:8" x14ac:dyDescent="0.2">
      <c r="A157" s="81" t="s">
        <v>331</v>
      </c>
      <c r="B157" s="78">
        <f>G11+G12</f>
        <v>50.828125</v>
      </c>
      <c r="C157" s="2"/>
      <c r="D157" s="79"/>
      <c r="E157" s="80"/>
      <c r="F157" s="10"/>
      <c r="G157" s="89"/>
      <c r="H157" s="2"/>
    </row>
    <row r="158" spans="1:8" x14ac:dyDescent="0.2">
      <c r="A158" s="81" t="s">
        <v>324</v>
      </c>
      <c r="B158" s="78">
        <f>B155+G9+G10+G13+G14</f>
        <v>78.44173844010713</v>
      </c>
      <c r="C158" s="2"/>
      <c r="D158" s="79"/>
      <c r="E158" s="80"/>
      <c r="F158" s="10"/>
      <c r="G158" s="51"/>
      <c r="H158" s="2"/>
    </row>
    <row r="159" spans="1:8" x14ac:dyDescent="0.2">
      <c r="A159" s="82"/>
      <c r="B159" s="79"/>
      <c r="C159" s="2"/>
      <c r="D159" s="79"/>
      <c r="E159" s="80"/>
      <c r="F159" s="10"/>
      <c r="G159" s="90"/>
      <c r="H159" s="2"/>
    </row>
    <row r="160" spans="1:8" x14ac:dyDescent="0.2">
      <c r="A160" s="83" t="s">
        <v>142</v>
      </c>
      <c r="B160" s="84">
        <f>G33/B155</f>
        <v>4.3489793597142404E-2</v>
      </c>
      <c r="C160" s="18"/>
      <c r="D160" s="79"/>
      <c r="E160" s="80"/>
      <c r="F160" s="10"/>
      <c r="G160" s="89"/>
      <c r="H160" s="2"/>
    </row>
    <row r="161" spans="1:8" x14ac:dyDescent="0.2">
      <c r="A161" s="81" t="s">
        <v>143</v>
      </c>
      <c r="B161" s="84">
        <f>G33/B158</f>
        <v>3.4686040715565983E-2</v>
      </c>
      <c r="C161" s="2"/>
      <c r="D161" s="79"/>
      <c r="E161" s="80"/>
      <c r="F161" s="10"/>
      <c r="G161" s="51"/>
      <c r="H161" s="2"/>
    </row>
    <row r="162" spans="1:8" x14ac:dyDescent="0.2">
      <c r="A162" s="82"/>
      <c r="B162" s="84"/>
      <c r="C162" s="2"/>
      <c r="D162" s="79"/>
      <c r="E162" s="80"/>
      <c r="F162" s="10"/>
      <c r="G162" s="89"/>
      <c r="H162" s="2"/>
    </row>
    <row r="163" spans="1:8" ht="17" thickBot="1" x14ac:dyDescent="0.25">
      <c r="A163" s="85" t="s">
        <v>144</v>
      </c>
      <c r="B163" s="91">
        <v>2.1080000000000002E-2</v>
      </c>
      <c r="C163" s="87"/>
      <c r="D163" s="86"/>
      <c r="E163" s="88"/>
    </row>
  </sheetData>
  <mergeCells count="1">
    <mergeCell ref="B45:C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B4F2A-D2BD-6446-A288-C72FADFABF96}">
  <dimension ref="A1:H101"/>
  <sheetViews>
    <sheetView workbookViewId="0">
      <pane xSplit="1" ySplit="2" topLeftCell="B77" activePane="bottomRight" state="frozen"/>
      <selection pane="topRight" activeCell="B1" sqref="B1"/>
      <selection pane="bottomLeft" activeCell="A3" sqref="A3"/>
      <selection pane="bottomRight" activeCell="K23" sqref="K23"/>
    </sheetView>
  </sheetViews>
  <sheetFormatPr baseColWidth="10" defaultColWidth="11" defaultRowHeight="16" x14ac:dyDescent="0.2"/>
  <cols>
    <col min="1" max="1" width="41.5" bestFit="1" customWidth="1"/>
    <col min="7" max="7" width="10.83203125" style="2"/>
  </cols>
  <sheetData>
    <row r="1" spans="1:8" x14ac:dyDescent="0.2">
      <c r="A1" s="5" t="s">
        <v>326</v>
      </c>
      <c r="F1" s="1"/>
      <c r="H1" s="2"/>
    </row>
    <row r="2" spans="1:8" x14ac:dyDescent="0.2">
      <c r="B2" s="3" t="s">
        <v>0</v>
      </c>
      <c r="C2" s="4" t="s">
        <v>1</v>
      </c>
      <c r="D2" s="4" t="s">
        <v>2</v>
      </c>
      <c r="E2" s="5"/>
      <c r="F2" s="6" t="s">
        <v>3</v>
      </c>
      <c r="G2" s="7" t="s">
        <v>5</v>
      </c>
      <c r="H2" s="5" t="s">
        <v>4</v>
      </c>
    </row>
    <row r="3" spans="1:8" x14ac:dyDescent="0.2">
      <c r="F3" s="1"/>
      <c r="H3" s="2"/>
    </row>
    <row r="4" spans="1:8" x14ac:dyDescent="0.2">
      <c r="A4" s="5" t="s">
        <v>6</v>
      </c>
      <c r="F4" s="1"/>
      <c r="H4" s="2"/>
    </row>
    <row r="5" spans="1:8" x14ac:dyDescent="0.2">
      <c r="A5" t="s">
        <v>7</v>
      </c>
      <c r="B5">
        <v>10</v>
      </c>
      <c r="C5">
        <v>18</v>
      </c>
      <c r="D5">
        <v>8.25</v>
      </c>
      <c r="F5" s="8">
        <f t="shared" ref="F5:F6" si="0">B5+C5/20+D5/240</f>
        <v>10.934375000000001</v>
      </c>
      <c r="H5" s="2"/>
    </row>
    <row r="6" spans="1:8" x14ac:dyDescent="0.2">
      <c r="A6" t="s">
        <v>8</v>
      </c>
      <c r="B6">
        <v>10</v>
      </c>
      <c r="C6">
        <v>18</v>
      </c>
      <c r="D6">
        <v>8.25</v>
      </c>
      <c r="F6" s="8">
        <f t="shared" si="0"/>
        <v>10.934375000000001</v>
      </c>
      <c r="H6" s="2"/>
    </row>
    <row r="8" spans="1:8" x14ac:dyDescent="0.2">
      <c r="A8" s="5" t="s">
        <v>177</v>
      </c>
    </row>
    <row r="9" spans="1:8" x14ac:dyDescent="0.2">
      <c r="A9" t="s">
        <v>220</v>
      </c>
      <c r="B9">
        <v>3</v>
      </c>
      <c r="C9">
        <v>1</v>
      </c>
      <c r="D9">
        <v>8.5</v>
      </c>
      <c r="F9" s="8">
        <f t="shared" ref="F9:F14" si="1">B9+C9/20+D9/240</f>
        <v>3.0854166666666667</v>
      </c>
    </row>
    <row r="10" spans="1:8" x14ac:dyDescent="0.2">
      <c r="A10" t="s">
        <v>221</v>
      </c>
      <c r="B10">
        <v>3</v>
      </c>
      <c r="C10">
        <v>1</v>
      </c>
      <c r="D10">
        <v>8.5</v>
      </c>
      <c r="F10" s="8">
        <f t="shared" si="1"/>
        <v>3.0854166666666667</v>
      </c>
    </row>
    <row r="11" spans="1:8" x14ac:dyDescent="0.2">
      <c r="A11" t="s">
        <v>222</v>
      </c>
      <c r="B11">
        <v>3</v>
      </c>
      <c r="C11">
        <v>1</v>
      </c>
      <c r="D11">
        <v>8.5</v>
      </c>
      <c r="F11" s="8">
        <f t="shared" si="1"/>
        <v>3.0854166666666667</v>
      </c>
    </row>
    <row r="12" spans="1:8" x14ac:dyDescent="0.2">
      <c r="A12" t="s">
        <v>223</v>
      </c>
      <c r="B12">
        <v>3</v>
      </c>
      <c r="D12">
        <v>4.5</v>
      </c>
      <c r="F12" s="8">
        <f t="shared" si="1"/>
        <v>3.0187499999999998</v>
      </c>
    </row>
    <row r="13" spans="1:8" x14ac:dyDescent="0.2">
      <c r="A13" s="5" t="s">
        <v>9</v>
      </c>
      <c r="B13">
        <v>12</v>
      </c>
      <c r="C13">
        <v>5</v>
      </c>
      <c r="D13">
        <v>6</v>
      </c>
      <c r="F13" s="8">
        <f t="shared" si="1"/>
        <v>12.275</v>
      </c>
    </row>
    <row r="14" spans="1:8" x14ac:dyDescent="0.2">
      <c r="A14" s="5" t="s">
        <v>10</v>
      </c>
      <c r="B14">
        <f>SUM(B9:B12)</f>
        <v>12</v>
      </c>
      <c r="C14">
        <f t="shared" ref="C14:D14" si="2">SUM(C9:C12)</f>
        <v>3</v>
      </c>
      <c r="D14">
        <f t="shared" si="2"/>
        <v>30</v>
      </c>
      <c r="F14" s="8">
        <f t="shared" si="1"/>
        <v>12.275</v>
      </c>
      <c r="G14" s="50">
        <f>F14-F13</f>
        <v>0</v>
      </c>
    </row>
    <row r="16" spans="1:8" x14ac:dyDescent="0.2">
      <c r="A16" s="5" t="s">
        <v>11</v>
      </c>
    </row>
    <row r="17" spans="1:7" x14ac:dyDescent="0.2">
      <c r="A17" t="s">
        <v>224</v>
      </c>
      <c r="C17">
        <v>4</v>
      </c>
      <c r="F17" s="8">
        <f t="shared" ref="F17:F22" si="3">B17+C17/20+D17/240</f>
        <v>0.2</v>
      </c>
    </row>
    <row r="18" spans="1:7" x14ac:dyDescent="0.2">
      <c r="A18" t="s">
        <v>225</v>
      </c>
      <c r="C18">
        <v>5</v>
      </c>
      <c r="F18" s="8">
        <f t="shared" si="3"/>
        <v>0.25</v>
      </c>
    </row>
    <row r="19" spans="1:7" x14ac:dyDescent="0.2">
      <c r="A19" t="s">
        <v>226</v>
      </c>
      <c r="C19">
        <v>1</v>
      </c>
      <c r="D19">
        <v>3</v>
      </c>
      <c r="F19" s="8">
        <f t="shared" si="3"/>
        <v>6.25E-2</v>
      </c>
    </row>
    <row r="20" spans="1:7" x14ac:dyDescent="0.2">
      <c r="A20" t="s">
        <v>227</v>
      </c>
      <c r="C20">
        <v>5</v>
      </c>
      <c r="F20" s="8">
        <f t="shared" si="3"/>
        <v>0.25</v>
      </c>
    </row>
    <row r="21" spans="1:7" x14ac:dyDescent="0.2">
      <c r="A21" s="5" t="s">
        <v>9</v>
      </c>
      <c r="C21">
        <v>15</v>
      </c>
      <c r="D21">
        <v>3</v>
      </c>
      <c r="F21" s="8">
        <f t="shared" si="3"/>
        <v>0.76249999999999996</v>
      </c>
    </row>
    <row r="22" spans="1:7" x14ac:dyDescent="0.2">
      <c r="A22" s="5" t="s">
        <v>10</v>
      </c>
      <c r="B22">
        <f>SUM(B17:B20)</f>
        <v>0</v>
      </c>
      <c r="C22">
        <f t="shared" ref="C22:D22" si="4">SUM(C17:C20)</f>
        <v>15</v>
      </c>
      <c r="D22">
        <f t="shared" si="4"/>
        <v>3</v>
      </c>
      <c r="F22" s="8">
        <f t="shared" si="3"/>
        <v>0.76249999999999996</v>
      </c>
      <c r="G22" s="50">
        <f>F22-F21</f>
        <v>0</v>
      </c>
    </row>
    <row r="24" spans="1:7" x14ac:dyDescent="0.2">
      <c r="A24" s="5" t="s">
        <v>12</v>
      </c>
    </row>
    <row r="25" spans="1:7" x14ac:dyDescent="0.2">
      <c r="A25" t="s">
        <v>228</v>
      </c>
      <c r="D25">
        <v>6</v>
      </c>
      <c r="F25" s="8">
        <f t="shared" ref="F25:F29" si="5">B25+C25/20+D25/240</f>
        <v>2.5000000000000001E-2</v>
      </c>
    </row>
    <row r="26" spans="1:7" x14ac:dyDescent="0.2">
      <c r="A26" s="5" t="s">
        <v>9</v>
      </c>
      <c r="D26">
        <v>6</v>
      </c>
      <c r="F26" s="8">
        <f t="shared" si="5"/>
        <v>2.5000000000000001E-2</v>
      </c>
    </row>
    <row r="27" spans="1:7" x14ac:dyDescent="0.2">
      <c r="A27" s="5" t="s">
        <v>10</v>
      </c>
      <c r="B27">
        <f>SUM(B25:B25)</f>
        <v>0</v>
      </c>
      <c r="C27">
        <f>SUM(C25:C25)</f>
        <v>0</v>
      </c>
      <c r="D27">
        <f>SUM(D25:D25)</f>
        <v>6</v>
      </c>
      <c r="F27" s="8">
        <f t="shared" si="5"/>
        <v>2.5000000000000001E-2</v>
      </c>
      <c r="G27" s="50">
        <f>F27-F26</f>
        <v>0</v>
      </c>
    </row>
    <row r="29" spans="1:7" x14ac:dyDescent="0.2">
      <c r="A29" s="5" t="s">
        <v>13</v>
      </c>
      <c r="B29">
        <v>11</v>
      </c>
      <c r="C29">
        <v>9</v>
      </c>
      <c r="D29">
        <v>9</v>
      </c>
      <c r="F29" s="8">
        <f t="shared" si="5"/>
        <v>11.487499999999999</v>
      </c>
    </row>
    <row r="30" spans="1:7" x14ac:dyDescent="0.2">
      <c r="F30" s="8"/>
    </row>
    <row r="31" spans="1:7" x14ac:dyDescent="0.2">
      <c r="A31" s="5" t="s">
        <v>14</v>
      </c>
    </row>
    <row r="32" spans="1:7" x14ac:dyDescent="0.2">
      <c r="A32" t="s">
        <v>229</v>
      </c>
      <c r="D32">
        <v>6</v>
      </c>
      <c r="F32" s="8">
        <f t="shared" ref="F32:F36" si="6">B32+C32/20+D32/240</f>
        <v>2.5000000000000001E-2</v>
      </c>
    </row>
    <row r="33" spans="1:7" x14ac:dyDescent="0.2">
      <c r="A33" t="s">
        <v>230</v>
      </c>
      <c r="D33">
        <v>6</v>
      </c>
      <c r="F33" s="8">
        <f t="shared" si="6"/>
        <v>2.5000000000000001E-2</v>
      </c>
    </row>
    <row r="34" spans="1:7" x14ac:dyDescent="0.2">
      <c r="A34" t="s">
        <v>231</v>
      </c>
      <c r="D34">
        <v>6</v>
      </c>
      <c r="F34" s="8">
        <f t="shared" si="6"/>
        <v>2.5000000000000001E-2</v>
      </c>
    </row>
    <row r="35" spans="1:7" x14ac:dyDescent="0.2">
      <c r="A35" s="5" t="s">
        <v>9</v>
      </c>
      <c r="C35">
        <v>1</v>
      </c>
      <c r="D35">
        <v>6</v>
      </c>
      <c r="F35" s="8">
        <f t="shared" si="6"/>
        <v>7.5000000000000011E-2</v>
      </c>
    </row>
    <row r="36" spans="1:7" x14ac:dyDescent="0.2">
      <c r="A36" s="5" t="s">
        <v>10</v>
      </c>
      <c r="B36">
        <f>SUM(B32:B34)</f>
        <v>0</v>
      </c>
      <c r="C36">
        <f>SUM(C32:C34)</f>
        <v>0</v>
      </c>
      <c r="D36">
        <f>SUM(D32:D34)</f>
        <v>18</v>
      </c>
      <c r="F36" s="8">
        <f t="shared" si="6"/>
        <v>7.4999999999999997E-2</v>
      </c>
      <c r="G36" s="50">
        <f>F36-F35</f>
        <v>0</v>
      </c>
    </row>
    <row r="37" spans="1:7" x14ac:dyDescent="0.2">
      <c r="A37" s="1"/>
    </row>
    <row r="38" spans="1:7" x14ac:dyDescent="0.2">
      <c r="A38" s="5" t="s">
        <v>15</v>
      </c>
    </row>
    <row r="39" spans="1:7" x14ac:dyDescent="0.2">
      <c r="A39" t="s">
        <v>232</v>
      </c>
      <c r="C39">
        <v>3</v>
      </c>
      <c r="D39">
        <v>11</v>
      </c>
      <c r="F39" s="8">
        <f t="shared" ref="F39:F65" si="7">B39+C39/20+D39/240</f>
        <v>0.19583333333333333</v>
      </c>
    </row>
    <row r="40" spans="1:7" x14ac:dyDescent="0.2">
      <c r="A40" t="s">
        <v>235</v>
      </c>
      <c r="C40">
        <v>10</v>
      </c>
      <c r="F40" s="8">
        <f t="shared" si="7"/>
        <v>0.5</v>
      </c>
    </row>
    <row r="41" spans="1:7" x14ac:dyDescent="0.2">
      <c r="A41" t="s">
        <v>233</v>
      </c>
      <c r="C41">
        <v>10</v>
      </c>
      <c r="D41">
        <v>4</v>
      </c>
      <c r="F41" s="8">
        <f t="shared" si="7"/>
        <v>0.51666666666666672</v>
      </c>
    </row>
    <row r="42" spans="1:7" x14ac:dyDescent="0.2">
      <c r="A42" t="s">
        <v>234</v>
      </c>
      <c r="D42">
        <v>8.5</v>
      </c>
      <c r="F42" s="8">
        <f t="shared" si="7"/>
        <v>3.5416666666666666E-2</v>
      </c>
    </row>
    <row r="43" spans="1:7" x14ac:dyDescent="0.2">
      <c r="A43" t="s">
        <v>236</v>
      </c>
      <c r="B43">
        <v>1</v>
      </c>
      <c r="C43">
        <v>4</v>
      </c>
      <c r="F43" s="8">
        <f t="shared" si="7"/>
        <v>1.2</v>
      </c>
    </row>
    <row r="44" spans="1:7" x14ac:dyDescent="0.2">
      <c r="A44" t="s">
        <v>237</v>
      </c>
      <c r="C44">
        <v>4</v>
      </c>
      <c r="D44">
        <v>8</v>
      </c>
      <c r="F44" s="8">
        <f t="shared" si="7"/>
        <v>0.23333333333333334</v>
      </c>
    </row>
    <row r="45" spans="1:7" x14ac:dyDescent="0.2">
      <c r="A45" t="s">
        <v>238</v>
      </c>
      <c r="C45">
        <v>5</v>
      </c>
      <c r="D45">
        <v>6</v>
      </c>
      <c r="F45" s="8">
        <f t="shared" si="7"/>
        <v>0.27500000000000002</v>
      </c>
    </row>
    <row r="46" spans="1:7" x14ac:dyDescent="0.2">
      <c r="A46" t="s">
        <v>255</v>
      </c>
      <c r="C46">
        <v>7</v>
      </c>
      <c r="D46">
        <v>9</v>
      </c>
      <c r="F46" s="8">
        <f t="shared" si="7"/>
        <v>0.38749999999999996</v>
      </c>
    </row>
    <row r="47" spans="1:7" x14ac:dyDescent="0.2">
      <c r="A47" t="s">
        <v>239</v>
      </c>
      <c r="B47">
        <v>2</v>
      </c>
      <c r="C47">
        <v>14</v>
      </c>
      <c r="D47">
        <v>1</v>
      </c>
      <c r="F47" s="8">
        <f t="shared" si="7"/>
        <v>2.7041666666666671</v>
      </c>
    </row>
    <row r="48" spans="1:7" x14ac:dyDescent="0.2">
      <c r="A48" t="s">
        <v>240</v>
      </c>
      <c r="C48">
        <v>3</v>
      </c>
      <c r="D48">
        <v>6</v>
      </c>
      <c r="F48" s="8">
        <f t="shared" si="7"/>
        <v>0.17499999999999999</v>
      </c>
    </row>
    <row r="49" spans="1:6" x14ac:dyDescent="0.2">
      <c r="A49" t="s">
        <v>241</v>
      </c>
      <c r="B49">
        <v>1</v>
      </c>
      <c r="C49">
        <v>2</v>
      </c>
      <c r="D49">
        <v>5</v>
      </c>
      <c r="F49" s="8">
        <f t="shared" si="7"/>
        <v>1.1208333333333333</v>
      </c>
    </row>
    <row r="50" spans="1:6" x14ac:dyDescent="0.2">
      <c r="A50" t="s">
        <v>242</v>
      </c>
      <c r="C50">
        <v>1</v>
      </c>
      <c r="D50">
        <v>10</v>
      </c>
      <c r="F50" s="8">
        <f t="shared" si="7"/>
        <v>9.1666666666666674E-2</v>
      </c>
    </row>
    <row r="51" spans="1:6" x14ac:dyDescent="0.2">
      <c r="A51" t="s">
        <v>243</v>
      </c>
      <c r="C51">
        <v>2</v>
      </c>
      <c r="D51">
        <v>1</v>
      </c>
      <c r="F51" s="8">
        <f t="shared" si="7"/>
        <v>0.10416666666666667</v>
      </c>
    </row>
    <row r="52" spans="1:6" x14ac:dyDescent="0.2">
      <c r="A52" t="s">
        <v>244</v>
      </c>
      <c r="C52">
        <v>5</v>
      </c>
      <c r="D52">
        <v>3</v>
      </c>
      <c r="F52" s="8">
        <f t="shared" si="7"/>
        <v>0.26250000000000001</v>
      </c>
    </row>
    <row r="53" spans="1:6" x14ac:dyDescent="0.2">
      <c r="A53" t="s">
        <v>245</v>
      </c>
      <c r="C53">
        <v>1</v>
      </c>
      <c r="D53">
        <v>8</v>
      </c>
      <c r="F53" s="8">
        <f t="shared" si="7"/>
        <v>8.3333333333333343E-2</v>
      </c>
    </row>
    <row r="54" spans="1:6" x14ac:dyDescent="0.2">
      <c r="A54" t="s">
        <v>246</v>
      </c>
      <c r="D54">
        <v>9</v>
      </c>
      <c r="F54" s="8">
        <f t="shared" si="7"/>
        <v>3.7499999999999999E-2</v>
      </c>
    </row>
    <row r="55" spans="1:6" x14ac:dyDescent="0.2">
      <c r="A55" t="s">
        <v>256</v>
      </c>
      <c r="D55">
        <v>1</v>
      </c>
      <c r="F55" s="8">
        <f t="shared" si="7"/>
        <v>4.1666666666666666E-3</v>
      </c>
    </row>
    <row r="56" spans="1:6" x14ac:dyDescent="0.2">
      <c r="A56" t="s">
        <v>247</v>
      </c>
      <c r="C56">
        <v>10</v>
      </c>
      <c r="D56">
        <v>8</v>
      </c>
      <c r="F56" s="8">
        <f t="shared" si="7"/>
        <v>0.53333333333333333</v>
      </c>
    </row>
    <row r="57" spans="1:6" x14ac:dyDescent="0.2">
      <c r="A57" t="s">
        <v>248</v>
      </c>
      <c r="C57">
        <v>4</v>
      </c>
      <c r="D57">
        <v>6</v>
      </c>
      <c r="F57" s="8">
        <f t="shared" si="7"/>
        <v>0.22500000000000001</v>
      </c>
    </row>
    <row r="58" spans="1:6" x14ac:dyDescent="0.2">
      <c r="A58" t="s">
        <v>249</v>
      </c>
      <c r="B58">
        <v>3</v>
      </c>
      <c r="C58">
        <v>12</v>
      </c>
      <c r="F58" s="8">
        <f t="shared" si="7"/>
        <v>3.6</v>
      </c>
    </row>
    <row r="59" spans="1:6" x14ac:dyDescent="0.2">
      <c r="A59" t="s">
        <v>250</v>
      </c>
      <c r="C59">
        <v>9</v>
      </c>
      <c r="F59" s="8">
        <f t="shared" si="7"/>
        <v>0.45</v>
      </c>
    </row>
    <row r="60" spans="1:6" x14ac:dyDescent="0.2">
      <c r="A60" t="s">
        <v>251</v>
      </c>
      <c r="C60">
        <v>5</v>
      </c>
      <c r="D60">
        <v>4</v>
      </c>
      <c r="F60" s="8">
        <f t="shared" si="7"/>
        <v>0.26666666666666666</v>
      </c>
    </row>
    <row r="61" spans="1:6" x14ac:dyDescent="0.2">
      <c r="A61" t="s">
        <v>252</v>
      </c>
      <c r="B61">
        <v>1</v>
      </c>
      <c r="F61" s="8">
        <f t="shared" si="7"/>
        <v>1</v>
      </c>
    </row>
    <row r="62" spans="1:6" x14ac:dyDescent="0.2">
      <c r="A62" t="s">
        <v>253</v>
      </c>
      <c r="C62">
        <v>5</v>
      </c>
      <c r="D62">
        <v>3</v>
      </c>
      <c r="F62" s="8">
        <f t="shared" si="7"/>
        <v>0.26250000000000001</v>
      </c>
    </row>
    <row r="63" spans="1:6" x14ac:dyDescent="0.2">
      <c r="A63" t="s">
        <v>254</v>
      </c>
      <c r="C63">
        <v>4</v>
      </c>
      <c r="D63">
        <v>5</v>
      </c>
      <c r="F63" s="8">
        <f t="shared" si="7"/>
        <v>0.22083333333333335</v>
      </c>
    </row>
    <row r="64" spans="1:6" x14ac:dyDescent="0.2">
      <c r="A64" s="5" t="s">
        <v>9</v>
      </c>
      <c r="B64">
        <v>14</v>
      </c>
      <c r="C64">
        <v>9</v>
      </c>
      <c r="D64">
        <v>8.5</v>
      </c>
      <c r="F64" s="8">
        <f t="shared" si="7"/>
        <v>14.485416666666666</v>
      </c>
    </row>
    <row r="65" spans="1:7" x14ac:dyDescent="0.2">
      <c r="A65" s="5" t="s">
        <v>10</v>
      </c>
      <c r="B65">
        <f>SUM(B39:B63)</f>
        <v>8</v>
      </c>
      <c r="C65">
        <f t="shared" ref="C65:D65" si="8">SUM(C39:C63)</f>
        <v>120</v>
      </c>
      <c r="D65">
        <f t="shared" si="8"/>
        <v>116.5</v>
      </c>
      <c r="F65" s="8">
        <f t="shared" si="7"/>
        <v>14.485416666666667</v>
      </c>
      <c r="G65" s="50">
        <f>F65-F64</f>
        <v>0</v>
      </c>
    </row>
    <row r="67" spans="1:7" x14ac:dyDescent="0.2">
      <c r="A67" s="5" t="s">
        <v>16</v>
      </c>
    </row>
    <row r="68" spans="1:7" x14ac:dyDescent="0.2">
      <c r="A68" t="s">
        <v>257</v>
      </c>
      <c r="B68">
        <v>12</v>
      </c>
      <c r="C68">
        <v>6</v>
      </c>
      <c r="D68">
        <v>4.5</v>
      </c>
      <c r="F68" s="8">
        <f t="shared" ref="F68:F77" si="9">B68+C68/20+D68/240</f>
        <v>12.318750000000001</v>
      </c>
    </row>
    <row r="69" spans="1:7" x14ac:dyDescent="0.2">
      <c r="A69" t="s">
        <v>258</v>
      </c>
      <c r="C69">
        <v>1</v>
      </c>
      <c r="D69">
        <v>6</v>
      </c>
      <c r="F69" s="8">
        <f t="shared" si="9"/>
        <v>7.5000000000000011E-2</v>
      </c>
    </row>
    <row r="70" spans="1:7" x14ac:dyDescent="0.2">
      <c r="A70" t="s">
        <v>260</v>
      </c>
      <c r="B70">
        <v>1</v>
      </c>
      <c r="C70">
        <v>1</v>
      </c>
      <c r="D70">
        <v>6.25</v>
      </c>
      <c r="F70" s="8">
        <f t="shared" si="9"/>
        <v>1.0760416666666668</v>
      </c>
    </row>
    <row r="71" spans="1:7" x14ac:dyDescent="0.2">
      <c r="A71" t="s">
        <v>259</v>
      </c>
      <c r="D71">
        <v>4.5</v>
      </c>
      <c r="F71" s="8">
        <f t="shared" si="9"/>
        <v>1.8749999999999999E-2</v>
      </c>
    </row>
    <row r="72" spans="1:7" x14ac:dyDescent="0.2">
      <c r="A72" t="s">
        <v>261</v>
      </c>
      <c r="B72">
        <v>15</v>
      </c>
      <c r="D72">
        <v>1</v>
      </c>
      <c r="F72" s="8">
        <f t="shared" si="9"/>
        <v>15.004166666666666</v>
      </c>
    </row>
    <row r="73" spans="1:7" x14ac:dyDescent="0.2">
      <c r="A73" t="s">
        <v>262</v>
      </c>
      <c r="B73">
        <v>4</v>
      </c>
      <c r="C73">
        <v>13</v>
      </c>
      <c r="D73">
        <v>4</v>
      </c>
      <c r="F73" s="8">
        <f t="shared" si="9"/>
        <v>4.666666666666667</v>
      </c>
    </row>
    <row r="74" spans="1:7" x14ac:dyDescent="0.2">
      <c r="A74" t="s">
        <v>264</v>
      </c>
      <c r="B74">
        <v>2</v>
      </c>
      <c r="C74">
        <v>5</v>
      </c>
      <c r="F74" s="8">
        <f t="shared" si="9"/>
        <v>2.25</v>
      </c>
    </row>
    <row r="75" spans="1:7" x14ac:dyDescent="0.2">
      <c r="A75" t="s">
        <v>263</v>
      </c>
      <c r="C75">
        <v>18</v>
      </c>
      <c r="D75">
        <v>8</v>
      </c>
      <c r="F75" s="8">
        <f t="shared" si="9"/>
        <v>0.93333333333333335</v>
      </c>
    </row>
    <row r="76" spans="1:7" x14ac:dyDescent="0.2">
      <c r="A76" s="5" t="s">
        <v>9</v>
      </c>
      <c r="B76">
        <v>36</v>
      </c>
      <c r="C76">
        <v>6</v>
      </c>
      <c r="D76">
        <v>10.25</v>
      </c>
      <c r="F76" s="8">
        <f t="shared" si="9"/>
        <v>36.342708333333327</v>
      </c>
    </row>
    <row r="77" spans="1:7" x14ac:dyDescent="0.2">
      <c r="A77" s="5" t="s">
        <v>10</v>
      </c>
      <c r="B77">
        <f>SUM(B68:B75)</f>
        <v>34</v>
      </c>
      <c r="C77">
        <f t="shared" ref="C77:D77" si="10">SUM(C68:C75)</f>
        <v>44</v>
      </c>
      <c r="D77">
        <f t="shared" si="10"/>
        <v>34.25</v>
      </c>
      <c r="F77" s="8">
        <f t="shared" si="9"/>
        <v>36.342708333333334</v>
      </c>
      <c r="G77" s="50">
        <f>F77-F76</f>
        <v>0</v>
      </c>
    </row>
    <row r="79" spans="1:7" x14ac:dyDescent="0.2">
      <c r="A79" s="5" t="s">
        <v>17</v>
      </c>
    </row>
    <row r="80" spans="1:7" x14ac:dyDescent="0.2">
      <c r="A80" t="s">
        <v>265</v>
      </c>
      <c r="C80">
        <v>3</v>
      </c>
      <c r="F80" s="8">
        <f t="shared" ref="F80:F89" si="11">B80+C80/20+D80/240</f>
        <v>0.15</v>
      </c>
    </row>
    <row r="81" spans="1:7" x14ac:dyDescent="0.2">
      <c r="A81" t="s">
        <v>266</v>
      </c>
      <c r="C81">
        <v>3</v>
      </c>
      <c r="F81" s="8">
        <f t="shared" si="11"/>
        <v>0.15</v>
      </c>
    </row>
    <row r="82" spans="1:7" x14ac:dyDescent="0.2">
      <c r="A82" t="s">
        <v>267</v>
      </c>
      <c r="C82">
        <v>2</v>
      </c>
      <c r="F82" s="8">
        <f t="shared" si="11"/>
        <v>0.1</v>
      </c>
    </row>
    <row r="83" spans="1:7" x14ac:dyDescent="0.2">
      <c r="A83" t="s">
        <v>268</v>
      </c>
      <c r="C83">
        <v>8</v>
      </c>
      <c r="F83" s="8">
        <f t="shared" si="11"/>
        <v>0.4</v>
      </c>
    </row>
    <row r="84" spans="1:7" x14ac:dyDescent="0.2">
      <c r="A84" t="s">
        <v>269</v>
      </c>
      <c r="C84">
        <v>6</v>
      </c>
      <c r="D84">
        <v>8</v>
      </c>
      <c r="F84" s="8">
        <f t="shared" si="11"/>
        <v>0.33333333333333331</v>
      </c>
    </row>
    <row r="85" spans="1:7" x14ac:dyDescent="0.2">
      <c r="A85" t="s">
        <v>270</v>
      </c>
      <c r="C85">
        <v>10</v>
      </c>
      <c r="F85" s="8">
        <f t="shared" si="11"/>
        <v>0.5</v>
      </c>
    </row>
    <row r="86" spans="1:7" x14ac:dyDescent="0.2">
      <c r="A86" t="s">
        <v>271</v>
      </c>
      <c r="C86">
        <v>6</v>
      </c>
      <c r="D86">
        <v>8</v>
      </c>
      <c r="F86" s="8">
        <f t="shared" si="11"/>
        <v>0.33333333333333331</v>
      </c>
    </row>
    <row r="87" spans="1:7" x14ac:dyDescent="0.2">
      <c r="A87" t="s">
        <v>272</v>
      </c>
      <c r="C87">
        <v>1</v>
      </c>
      <c r="F87" s="8">
        <f t="shared" si="11"/>
        <v>0.05</v>
      </c>
    </row>
    <row r="88" spans="1:7" x14ac:dyDescent="0.2">
      <c r="A88" s="5" t="s">
        <v>9</v>
      </c>
      <c r="B88">
        <v>2</v>
      </c>
      <c r="C88">
        <v>4</v>
      </c>
      <c r="F88" s="8">
        <f t="shared" si="11"/>
        <v>2.2000000000000002</v>
      </c>
    </row>
    <row r="89" spans="1:7" x14ac:dyDescent="0.2">
      <c r="A89" s="5" t="s">
        <v>10</v>
      </c>
      <c r="B89">
        <f>SUM(B80:B87)</f>
        <v>0</v>
      </c>
      <c r="C89">
        <f t="shared" ref="C89:D89" si="12">SUM(C80:C87)</f>
        <v>39</v>
      </c>
      <c r="D89">
        <f t="shared" si="12"/>
        <v>16</v>
      </c>
      <c r="F89" s="8">
        <f t="shared" si="11"/>
        <v>2.0166666666666666</v>
      </c>
      <c r="G89" s="50">
        <f>F89-F88</f>
        <v>-0.18333333333333357</v>
      </c>
    </row>
    <row r="91" spans="1:7" x14ac:dyDescent="0.2">
      <c r="A91" s="5" t="s">
        <v>18</v>
      </c>
    </row>
    <row r="92" spans="1:7" x14ac:dyDescent="0.2">
      <c r="A92" t="s">
        <v>273</v>
      </c>
      <c r="B92">
        <v>2</v>
      </c>
      <c r="C92">
        <v>3</v>
      </c>
      <c r="F92" s="8">
        <f t="shared" ref="F92:F95" si="13">B92+C92/20+D92/240</f>
        <v>2.15</v>
      </c>
    </row>
    <row r="93" spans="1:7" x14ac:dyDescent="0.2">
      <c r="A93" t="s">
        <v>274</v>
      </c>
      <c r="C93">
        <v>2</v>
      </c>
      <c r="F93" s="8">
        <f t="shared" si="13"/>
        <v>0.1</v>
      </c>
    </row>
    <row r="94" spans="1:7" x14ac:dyDescent="0.2">
      <c r="A94" t="s">
        <v>275</v>
      </c>
      <c r="C94">
        <v>1</v>
      </c>
      <c r="F94" s="8">
        <f t="shared" si="13"/>
        <v>0.05</v>
      </c>
    </row>
    <row r="95" spans="1:7" x14ac:dyDescent="0.2">
      <c r="A95" s="5" t="s">
        <v>9</v>
      </c>
      <c r="B95">
        <v>2</v>
      </c>
      <c r="C95">
        <v>6</v>
      </c>
      <c r="F95" s="8">
        <f t="shared" si="13"/>
        <v>2.2999999999999998</v>
      </c>
    </row>
    <row r="96" spans="1:7" x14ac:dyDescent="0.2">
      <c r="A96" s="5" t="s">
        <v>10</v>
      </c>
      <c r="B96">
        <f>SUM(B92:B94)</f>
        <v>2</v>
      </c>
      <c r="C96">
        <f t="shared" ref="C96:D96" si="14">SUM(C92:C94)</f>
        <v>6</v>
      </c>
      <c r="D96">
        <f t="shared" si="14"/>
        <v>0</v>
      </c>
      <c r="F96" s="8">
        <f t="shared" ref="F96:F101" si="15">B96+C96/20+D96/240</f>
        <v>2.2999999999999998</v>
      </c>
      <c r="G96" s="50">
        <f>F96-F95</f>
        <v>0</v>
      </c>
    </row>
    <row r="98" spans="1:7" x14ac:dyDescent="0.2">
      <c r="A98" s="9" t="s">
        <v>19</v>
      </c>
      <c r="B98">
        <f>SUM(B96,B89,B77,B65,B36,B27,B22,B14)</f>
        <v>56</v>
      </c>
      <c r="C98">
        <f>SUM(C96,C89,C77,C65,C36,C27,C22,C14)</f>
        <v>227</v>
      </c>
      <c r="D98">
        <f>SUM(D96,D89,D77,D65,D36,D27,D22,D14)</f>
        <v>223.75</v>
      </c>
      <c r="F98" s="8">
        <f t="shared" si="15"/>
        <v>68.282291666666666</v>
      </c>
    </row>
    <row r="99" spans="1:7" x14ac:dyDescent="0.2">
      <c r="A99" s="9" t="s">
        <v>20</v>
      </c>
      <c r="B99">
        <f>SUM(B96,B89,B77,B65,B36,B27,B22,B14,B5)</f>
        <v>66</v>
      </c>
      <c r="C99">
        <f>SUM(C96,C89,C77,C65,C36,C27,C22,C14,C5)</f>
        <v>245</v>
      </c>
      <c r="D99">
        <f>SUM(D96,D89,D77,D65,D36,D27,D22,D14,D5)</f>
        <v>232</v>
      </c>
      <c r="F99" s="8">
        <f t="shared" si="15"/>
        <v>79.216666666666669</v>
      </c>
    </row>
    <row r="100" spans="1:7" x14ac:dyDescent="0.2">
      <c r="A100" s="9" t="s">
        <v>217</v>
      </c>
      <c r="B100">
        <v>66</v>
      </c>
      <c r="C100">
        <v>14</v>
      </c>
      <c r="D100">
        <v>1.75</v>
      </c>
      <c r="F100" s="8">
        <f t="shared" si="15"/>
        <v>66.707291666666663</v>
      </c>
      <c r="G100" s="50">
        <f>F100-F98</f>
        <v>-1.5750000000000028</v>
      </c>
    </row>
    <row r="101" spans="1:7" x14ac:dyDescent="0.2">
      <c r="A101" s="9" t="s">
        <v>216</v>
      </c>
      <c r="F101" s="8">
        <f t="shared" si="15"/>
        <v>0</v>
      </c>
      <c r="G101" s="5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5817-ABDF-584A-A7B1-8E576446668F}">
  <dimension ref="A1:H85"/>
  <sheetViews>
    <sheetView zoomScale="108" workbookViewId="0">
      <pane xSplit="1" ySplit="2" topLeftCell="B20" activePane="bottomRight" state="frozen"/>
      <selection pane="topRight" activeCell="B1" sqref="B1"/>
      <selection pane="bottomLeft" activeCell="A3" sqref="A3"/>
      <selection pane="bottomRight" activeCell="D18" sqref="D18"/>
    </sheetView>
  </sheetViews>
  <sheetFormatPr baseColWidth="10" defaultColWidth="11" defaultRowHeight="16" x14ac:dyDescent="0.2"/>
  <cols>
    <col min="1" max="1" width="58.5" customWidth="1"/>
  </cols>
  <sheetData>
    <row r="1" spans="1:8" x14ac:dyDescent="0.2">
      <c r="A1" s="9" t="s">
        <v>325</v>
      </c>
      <c r="B1" s="10"/>
      <c r="C1" s="10"/>
      <c r="D1" s="10"/>
      <c r="E1" s="10"/>
      <c r="F1" s="11"/>
      <c r="G1" s="10"/>
      <c r="H1" s="2"/>
    </row>
    <row r="2" spans="1:8" x14ac:dyDescent="0.2">
      <c r="A2" s="10"/>
      <c r="B2" s="13" t="s">
        <v>0</v>
      </c>
      <c r="C2" s="15" t="s">
        <v>1</v>
      </c>
      <c r="D2" s="15" t="s">
        <v>2</v>
      </c>
      <c r="E2" s="9"/>
      <c r="F2" s="16" t="s">
        <v>3</v>
      </c>
      <c r="G2" s="7" t="s">
        <v>5</v>
      </c>
      <c r="H2" s="5" t="s">
        <v>4</v>
      </c>
    </row>
    <row r="3" spans="1:8" x14ac:dyDescent="0.2">
      <c r="A3" s="5" t="s">
        <v>21</v>
      </c>
    </row>
    <row r="4" spans="1:8" x14ac:dyDescent="0.2">
      <c r="A4" t="s">
        <v>276</v>
      </c>
      <c r="C4">
        <v>12</v>
      </c>
      <c r="D4">
        <v>6</v>
      </c>
      <c r="F4" s="1">
        <f t="shared" ref="F4:F11" si="0">B4+C4/20+D4/240</f>
        <v>0.625</v>
      </c>
    </row>
    <row r="5" spans="1:8" x14ac:dyDescent="0.2">
      <c r="A5" t="s">
        <v>277</v>
      </c>
      <c r="D5">
        <v>6</v>
      </c>
      <c r="F5" s="1">
        <f t="shared" si="0"/>
        <v>2.5000000000000001E-2</v>
      </c>
    </row>
    <row r="6" spans="1:8" x14ac:dyDescent="0.2">
      <c r="A6" t="s">
        <v>278</v>
      </c>
      <c r="D6">
        <v>2</v>
      </c>
      <c r="F6" s="1">
        <f t="shared" si="0"/>
        <v>8.3333333333333332E-3</v>
      </c>
    </row>
    <row r="7" spans="1:8" x14ac:dyDescent="0.2">
      <c r="A7" t="s">
        <v>279</v>
      </c>
      <c r="D7">
        <v>6</v>
      </c>
      <c r="F7" s="1">
        <f t="shared" si="0"/>
        <v>2.5000000000000001E-2</v>
      </c>
    </row>
    <row r="8" spans="1:8" x14ac:dyDescent="0.2">
      <c r="A8" t="s">
        <v>280</v>
      </c>
      <c r="C8">
        <v>5</v>
      </c>
      <c r="F8" s="1">
        <f t="shared" si="0"/>
        <v>0.25</v>
      </c>
    </row>
    <row r="9" spans="1:8" x14ac:dyDescent="0.2">
      <c r="A9" t="s">
        <v>281</v>
      </c>
      <c r="C9">
        <v>6</v>
      </c>
      <c r="F9" s="1">
        <f t="shared" si="0"/>
        <v>0.3</v>
      </c>
    </row>
    <row r="10" spans="1:8" x14ac:dyDescent="0.2">
      <c r="A10" t="s">
        <v>282</v>
      </c>
      <c r="C10">
        <v>1</v>
      </c>
      <c r="D10">
        <v>6</v>
      </c>
      <c r="F10" s="1">
        <f t="shared" si="0"/>
        <v>7.5000000000000011E-2</v>
      </c>
    </row>
    <row r="11" spans="1:8" x14ac:dyDescent="0.2">
      <c r="A11" t="s">
        <v>283</v>
      </c>
      <c r="C11">
        <v>9</v>
      </c>
      <c r="F11" s="1">
        <f t="shared" si="0"/>
        <v>0.45</v>
      </c>
    </row>
    <row r="12" spans="1:8" x14ac:dyDescent="0.2">
      <c r="A12" s="5" t="s">
        <v>9</v>
      </c>
      <c r="B12">
        <v>1</v>
      </c>
      <c r="C12">
        <v>15</v>
      </c>
      <c r="D12">
        <v>2</v>
      </c>
      <c r="F12" s="8">
        <f t="shared" ref="F12:F14" si="1">B12+C12/20+D12/240</f>
        <v>1.7583333333333333</v>
      </c>
    </row>
    <row r="13" spans="1:8" x14ac:dyDescent="0.2">
      <c r="A13" s="5" t="s">
        <v>10</v>
      </c>
      <c r="B13">
        <f>SUM(B4:B11)</f>
        <v>0</v>
      </c>
      <c r="C13">
        <f t="shared" ref="C13:D13" si="2">SUM(C4:C11)</f>
        <v>33</v>
      </c>
      <c r="D13">
        <f t="shared" si="2"/>
        <v>26</v>
      </c>
      <c r="F13" s="8">
        <f t="shared" si="1"/>
        <v>1.7583333333333333</v>
      </c>
      <c r="G13" s="1">
        <f>F13-F12</f>
        <v>0</v>
      </c>
    </row>
    <row r="14" spans="1:8" x14ac:dyDescent="0.2">
      <c r="A14" s="5" t="s">
        <v>186</v>
      </c>
      <c r="B14">
        <f>SUM(B10:B11,B4:B7)</f>
        <v>0</v>
      </c>
      <c r="C14">
        <f t="shared" ref="C14:D14" si="3">SUM(C10:C11,C4:C7)</f>
        <v>22</v>
      </c>
      <c r="D14">
        <f t="shared" si="3"/>
        <v>26</v>
      </c>
      <c r="F14" s="8">
        <f t="shared" si="1"/>
        <v>1.2083333333333335</v>
      </c>
      <c r="G14" s="1"/>
    </row>
    <row r="15" spans="1:8" x14ac:dyDescent="0.2">
      <c r="F15" s="1">
        <f t="shared" ref="F15" si="4">B15+C15/20+D15/240</f>
        <v>0</v>
      </c>
    </row>
    <row r="16" spans="1:8" x14ac:dyDescent="0.2">
      <c r="A16" s="5" t="s">
        <v>22</v>
      </c>
    </row>
    <row r="17" spans="1:7" x14ac:dyDescent="0.2">
      <c r="A17" t="s">
        <v>284</v>
      </c>
      <c r="D17">
        <v>3</v>
      </c>
      <c r="F17" s="1">
        <f t="shared" ref="F17:F21" si="5">B17+C17/20+D17/240</f>
        <v>1.2500000000000001E-2</v>
      </c>
    </row>
    <row r="18" spans="1:7" x14ac:dyDescent="0.2">
      <c r="A18" t="s">
        <v>285</v>
      </c>
      <c r="D18">
        <v>1</v>
      </c>
      <c r="F18" s="1">
        <f t="shared" si="5"/>
        <v>4.1666666666666666E-3</v>
      </c>
    </row>
    <row r="19" spans="1:7" x14ac:dyDescent="0.2">
      <c r="A19" t="s">
        <v>286</v>
      </c>
      <c r="C19">
        <v>1</v>
      </c>
      <c r="D19">
        <v>3</v>
      </c>
      <c r="F19" s="1">
        <f t="shared" si="5"/>
        <v>6.25E-2</v>
      </c>
    </row>
    <row r="20" spans="1:7" x14ac:dyDescent="0.2">
      <c r="A20" t="s">
        <v>287</v>
      </c>
      <c r="D20">
        <v>1.5</v>
      </c>
      <c r="F20" s="1">
        <f t="shared" si="5"/>
        <v>6.2500000000000003E-3</v>
      </c>
    </row>
    <row r="21" spans="1:7" x14ac:dyDescent="0.2">
      <c r="A21" s="5" t="s">
        <v>9</v>
      </c>
      <c r="C21">
        <v>1</v>
      </c>
      <c r="D21">
        <v>8.5</v>
      </c>
      <c r="F21" s="8">
        <f t="shared" si="5"/>
        <v>8.5416666666666669E-2</v>
      </c>
    </row>
    <row r="22" spans="1:7" x14ac:dyDescent="0.2">
      <c r="A22" s="5" t="s">
        <v>10</v>
      </c>
      <c r="B22">
        <f>SUM(B17:B20)</f>
        <v>0</v>
      </c>
      <c r="C22">
        <f t="shared" ref="C22:D22" si="6">SUM(C17:C20)</f>
        <v>1</v>
      </c>
      <c r="D22">
        <f t="shared" si="6"/>
        <v>8.5</v>
      </c>
      <c r="F22" s="8">
        <f t="shared" ref="F22:F23" si="7">B22+C22/20+D22/240</f>
        <v>8.5416666666666669E-2</v>
      </c>
      <c r="G22" s="1">
        <f>F22-F21</f>
        <v>0</v>
      </c>
    </row>
    <row r="23" spans="1:7" x14ac:dyDescent="0.2">
      <c r="A23" s="5" t="s">
        <v>186</v>
      </c>
      <c r="B23">
        <f>SUM(B17:B20)</f>
        <v>0</v>
      </c>
      <c r="C23">
        <f t="shared" ref="C23:D23" si="8">SUM(C17:C20)</f>
        <v>1</v>
      </c>
      <c r="D23">
        <f t="shared" si="8"/>
        <v>8.5</v>
      </c>
      <c r="F23" s="8">
        <f t="shared" si="7"/>
        <v>8.5416666666666669E-2</v>
      </c>
      <c r="G23" s="1"/>
    </row>
    <row r="25" spans="1:7" x14ac:dyDescent="0.2">
      <c r="A25" s="5" t="s">
        <v>23</v>
      </c>
    </row>
    <row r="26" spans="1:7" x14ac:dyDescent="0.2">
      <c r="A26" t="s">
        <v>288</v>
      </c>
      <c r="C26">
        <v>1</v>
      </c>
      <c r="D26">
        <v>3</v>
      </c>
      <c r="F26" s="1">
        <f t="shared" ref="F26:F33" si="9">B26+C26/20+D26/240</f>
        <v>6.25E-2</v>
      </c>
    </row>
    <row r="27" spans="1:7" x14ac:dyDescent="0.2">
      <c r="A27" t="s">
        <v>289</v>
      </c>
      <c r="D27">
        <v>8.5</v>
      </c>
      <c r="F27" s="1">
        <f t="shared" si="9"/>
        <v>3.5416666666666666E-2</v>
      </c>
    </row>
    <row r="28" spans="1:7" x14ac:dyDescent="0.2">
      <c r="A28" t="s">
        <v>290</v>
      </c>
      <c r="D28">
        <v>2.5</v>
      </c>
      <c r="F28" s="1">
        <f t="shared" si="9"/>
        <v>1.0416666666666666E-2</v>
      </c>
    </row>
    <row r="29" spans="1:7" x14ac:dyDescent="0.2">
      <c r="A29" t="s">
        <v>291</v>
      </c>
      <c r="D29">
        <v>6</v>
      </c>
      <c r="F29" s="1">
        <f t="shared" si="9"/>
        <v>2.5000000000000001E-2</v>
      </c>
    </row>
    <row r="30" spans="1:7" x14ac:dyDescent="0.2">
      <c r="A30" t="s">
        <v>292</v>
      </c>
      <c r="C30">
        <v>2</v>
      </c>
      <c r="D30">
        <v>6</v>
      </c>
      <c r="F30" s="1">
        <f t="shared" si="9"/>
        <v>0.125</v>
      </c>
    </row>
    <row r="31" spans="1:7" x14ac:dyDescent="0.2">
      <c r="A31" s="5" t="s">
        <v>9</v>
      </c>
      <c r="C31">
        <v>5</v>
      </c>
      <c r="D31">
        <v>2</v>
      </c>
      <c r="F31" s="8">
        <f t="shared" si="9"/>
        <v>0.25833333333333336</v>
      </c>
    </row>
    <row r="32" spans="1:7" x14ac:dyDescent="0.2">
      <c r="A32" s="5" t="s">
        <v>10</v>
      </c>
      <c r="B32">
        <f>SUM(B26:B30)</f>
        <v>0</v>
      </c>
      <c r="C32">
        <f t="shared" ref="C32:D32" si="10">SUM(C26:C30)</f>
        <v>3</v>
      </c>
      <c r="D32">
        <f t="shared" si="10"/>
        <v>26</v>
      </c>
      <c r="F32" s="8">
        <f t="shared" si="9"/>
        <v>0.2583333333333333</v>
      </c>
      <c r="G32" s="1">
        <f>F32-F31</f>
        <v>0</v>
      </c>
    </row>
    <row r="33" spans="1:7" x14ac:dyDescent="0.2">
      <c r="A33" s="5" t="s">
        <v>186</v>
      </c>
      <c r="B33">
        <f>SUM(B26:B29)</f>
        <v>0</v>
      </c>
      <c r="C33">
        <f t="shared" ref="C33:D33" si="11">SUM(C26:C29)</f>
        <v>1</v>
      </c>
      <c r="D33">
        <f t="shared" si="11"/>
        <v>20</v>
      </c>
      <c r="F33" s="8">
        <f t="shared" si="9"/>
        <v>0.13333333333333333</v>
      </c>
      <c r="G33" s="1"/>
    </row>
    <row r="35" spans="1:7" x14ac:dyDescent="0.2">
      <c r="A35" s="5" t="s">
        <v>24</v>
      </c>
    </row>
    <row r="36" spans="1:7" x14ac:dyDescent="0.2">
      <c r="A36" t="s">
        <v>293</v>
      </c>
      <c r="C36">
        <v>16</v>
      </c>
      <c r="D36">
        <v>8.5</v>
      </c>
      <c r="F36" s="1">
        <f t="shared" ref="F36:F43" si="12">B36+C36/20+D36/240</f>
        <v>0.8354166666666667</v>
      </c>
    </row>
    <row r="37" spans="1:7" x14ac:dyDescent="0.2">
      <c r="A37" t="s">
        <v>294</v>
      </c>
      <c r="D37">
        <v>10</v>
      </c>
      <c r="F37" s="1">
        <f t="shared" si="12"/>
        <v>4.1666666666666664E-2</v>
      </c>
    </row>
    <row r="38" spans="1:7" x14ac:dyDescent="0.2">
      <c r="A38" t="s">
        <v>295</v>
      </c>
      <c r="C38">
        <v>2</v>
      </c>
      <c r="D38">
        <v>8</v>
      </c>
      <c r="F38" s="1">
        <f t="shared" si="12"/>
        <v>0.13333333333333333</v>
      </c>
    </row>
    <row r="39" spans="1:7" x14ac:dyDescent="0.2">
      <c r="A39" t="s">
        <v>296</v>
      </c>
      <c r="C39">
        <v>4</v>
      </c>
      <c r="D39">
        <v>4</v>
      </c>
      <c r="F39" s="1">
        <f t="shared" si="12"/>
        <v>0.21666666666666667</v>
      </c>
    </row>
    <row r="40" spans="1:7" x14ac:dyDescent="0.2">
      <c r="A40" t="s">
        <v>297</v>
      </c>
      <c r="D40">
        <v>8</v>
      </c>
      <c r="F40" s="1">
        <f t="shared" si="12"/>
        <v>3.3333333333333333E-2</v>
      </c>
    </row>
    <row r="41" spans="1:7" x14ac:dyDescent="0.2">
      <c r="A41" s="5" t="s">
        <v>9</v>
      </c>
      <c r="B41">
        <v>1</v>
      </c>
      <c r="C41">
        <v>5</v>
      </c>
      <c r="D41">
        <v>2.5</v>
      </c>
      <c r="F41" s="8">
        <f t="shared" si="12"/>
        <v>1.2604166666666667</v>
      </c>
    </row>
    <row r="42" spans="1:7" x14ac:dyDescent="0.2">
      <c r="A42" s="5" t="s">
        <v>10</v>
      </c>
      <c r="B42">
        <f>SUM(B36:B40)</f>
        <v>0</v>
      </c>
      <c r="C42">
        <f t="shared" ref="C42:D42" si="13">SUM(C36:C40)</f>
        <v>22</v>
      </c>
      <c r="D42">
        <f t="shared" si="13"/>
        <v>38.5</v>
      </c>
      <c r="F42" s="8">
        <f t="shared" si="12"/>
        <v>1.2604166666666667</v>
      </c>
      <c r="G42" s="1">
        <f>F42-F41</f>
        <v>0</v>
      </c>
    </row>
    <row r="43" spans="1:7" x14ac:dyDescent="0.2">
      <c r="A43" s="5" t="s">
        <v>186</v>
      </c>
      <c r="B43">
        <f>SUM(B36:B39)</f>
        <v>0</v>
      </c>
      <c r="C43">
        <f t="shared" ref="C43:D43" si="14">SUM(C36:C39)</f>
        <v>22</v>
      </c>
      <c r="D43">
        <f t="shared" si="14"/>
        <v>30.5</v>
      </c>
      <c r="F43" s="8">
        <f t="shared" si="12"/>
        <v>1.2270833333333333</v>
      </c>
      <c r="G43" s="1"/>
    </row>
    <row r="45" spans="1:7" x14ac:dyDescent="0.2">
      <c r="A45" s="5" t="s">
        <v>25</v>
      </c>
    </row>
    <row r="46" spans="1:7" x14ac:dyDescent="0.2">
      <c r="A46" t="s">
        <v>298</v>
      </c>
      <c r="D46">
        <v>1</v>
      </c>
      <c r="F46" s="1">
        <f t="shared" ref="F46:F52" si="15">B46+C46/20+D46/240</f>
        <v>4.1666666666666666E-3</v>
      </c>
    </row>
    <row r="47" spans="1:7" x14ac:dyDescent="0.2">
      <c r="A47" t="s">
        <v>299</v>
      </c>
      <c r="D47">
        <v>5</v>
      </c>
      <c r="F47" s="1">
        <f t="shared" si="15"/>
        <v>2.0833333333333332E-2</v>
      </c>
    </row>
    <row r="48" spans="1:7" x14ac:dyDescent="0.2">
      <c r="A48" t="s">
        <v>300</v>
      </c>
      <c r="D48">
        <v>5.5</v>
      </c>
      <c r="F48" s="1">
        <f t="shared" si="15"/>
        <v>2.2916666666666665E-2</v>
      </c>
    </row>
    <row r="49" spans="1:7" x14ac:dyDescent="0.2">
      <c r="A49" t="s">
        <v>301</v>
      </c>
      <c r="D49">
        <v>4.5</v>
      </c>
      <c r="F49" s="1">
        <f t="shared" si="15"/>
        <v>1.8749999999999999E-2</v>
      </c>
    </row>
    <row r="50" spans="1:7" x14ac:dyDescent="0.2">
      <c r="A50" s="5" t="s">
        <v>9</v>
      </c>
      <c r="C50">
        <v>1</v>
      </c>
      <c r="D50">
        <v>4</v>
      </c>
      <c r="F50" s="8">
        <f t="shared" si="15"/>
        <v>6.6666666666666666E-2</v>
      </c>
    </row>
    <row r="51" spans="1:7" x14ac:dyDescent="0.2">
      <c r="A51" s="5" t="s">
        <v>10</v>
      </c>
      <c r="B51">
        <f>SUM(B46:B49)</f>
        <v>0</v>
      </c>
      <c r="C51">
        <f t="shared" ref="C51:D51" si="16">SUM(C46:C49)</f>
        <v>0</v>
      </c>
      <c r="D51">
        <f t="shared" si="16"/>
        <v>16</v>
      </c>
      <c r="F51" s="8">
        <f t="shared" si="15"/>
        <v>6.6666666666666666E-2</v>
      </c>
      <c r="G51" s="1">
        <f>F51-F50</f>
        <v>0</v>
      </c>
    </row>
    <row r="52" spans="1:7" x14ac:dyDescent="0.2">
      <c r="A52" s="5" t="s">
        <v>186</v>
      </c>
      <c r="B52">
        <f>SUM(B46:B49)</f>
        <v>0</v>
      </c>
      <c r="C52">
        <f t="shared" ref="C52:D52" si="17">SUM(C46:C49)</f>
        <v>0</v>
      </c>
      <c r="D52">
        <f t="shared" si="17"/>
        <v>16</v>
      </c>
      <c r="F52" s="8">
        <f t="shared" si="15"/>
        <v>6.6666666666666666E-2</v>
      </c>
      <c r="G52" s="1"/>
    </row>
    <row r="54" spans="1:7" x14ac:dyDescent="0.2">
      <c r="A54" s="5" t="s">
        <v>26</v>
      </c>
    </row>
    <row r="55" spans="1:7" x14ac:dyDescent="0.2">
      <c r="A55" t="s">
        <v>302</v>
      </c>
      <c r="C55">
        <v>17</v>
      </c>
      <c r="D55">
        <v>10.75</v>
      </c>
      <c r="F55" s="1">
        <f t="shared" ref="F55:F62" si="18">B55+C55/20+D55/240</f>
        <v>0.89479166666666665</v>
      </c>
    </row>
    <row r="56" spans="1:7" x14ac:dyDescent="0.2">
      <c r="A56" t="s">
        <v>303</v>
      </c>
      <c r="C56">
        <v>1</v>
      </c>
      <c r="D56">
        <v>9.5</v>
      </c>
      <c r="F56" s="1">
        <f t="shared" si="18"/>
        <v>8.9583333333333334E-2</v>
      </c>
    </row>
    <row r="57" spans="1:7" x14ac:dyDescent="0.2">
      <c r="A57" t="s">
        <v>304</v>
      </c>
      <c r="C57">
        <v>12</v>
      </c>
      <c r="F57" s="1">
        <f t="shared" si="18"/>
        <v>0.6</v>
      </c>
    </row>
    <row r="58" spans="1:7" x14ac:dyDescent="0.2">
      <c r="A58" t="s">
        <v>303</v>
      </c>
      <c r="C58">
        <v>1</v>
      </c>
      <c r="D58">
        <v>3</v>
      </c>
      <c r="F58" s="1">
        <f t="shared" si="18"/>
        <v>6.25E-2</v>
      </c>
    </row>
    <row r="59" spans="1:7" x14ac:dyDescent="0.2">
      <c r="A59" t="s">
        <v>305</v>
      </c>
      <c r="C59">
        <v>2</v>
      </c>
      <c r="D59">
        <v>6.25</v>
      </c>
      <c r="F59" s="1">
        <f t="shared" si="18"/>
        <v>0.12604166666666666</v>
      </c>
    </row>
    <row r="60" spans="1:7" x14ac:dyDescent="0.2">
      <c r="A60" t="s">
        <v>303</v>
      </c>
      <c r="D60">
        <v>6</v>
      </c>
      <c r="F60" s="1"/>
    </row>
    <row r="61" spans="1:7" x14ac:dyDescent="0.2">
      <c r="A61" s="5" t="s">
        <v>9</v>
      </c>
      <c r="B61">
        <v>1</v>
      </c>
      <c r="C61">
        <v>16</v>
      </c>
      <c r="F61" s="8">
        <f t="shared" si="18"/>
        <v>1.8</v>
      </c>
    </row>
    <row r="62" spans="1:7" x14ac:dyDescent="0.2">
      <c r="A62" s="5" t="s">
        <v>10</v>
      </c>
      <c r="B62">
        <f>SUM(B55:B60)</f>
        <v>0</v>
      </c>
      <c r="C62">
        <f t="shared" ref="C62:D62" si="19">SUM(C55:C60)</f>
        <v>33</v>
      </c>
      <c r="D62">
        <f t="shared" si="19"/>
        <v>35.5</v>
      </c>
      <c r="F62" s="8">
        <f t="shared" si="18"/>
        <v>1.7979166666666666</v>
      </c>
      <c r="G62" s="1">
        <f>F62-F61</f>
        <v>-2.083333333333437E-3</v>
      </c>
    </row>
    <row r="64" spans="1:7" x14ac:dyDescent="0.2">
      <c r="A64" s="5" t="s">
        <v>27</v>
      </c>
    </row>
    <row r="65" spans="1:7" x14ac:dyDescent="0.2">
      <c r="A65" t="s">
        <v>306</v>
      </c>
      <c r="D65">
        <v>8</v>
      </c>
      <c r="F65" s="1">
        <f t="shared" ref="F65:F70" si="20">B65+C65/20+D65/240</f>
        <v>3.3333333333333333E-2</v>
      </c>
    </row>
    <row r="66" spans="1:7" x14ac:dyDescent="0.2">
      <c r="A66" t="s">
        <v>307</v>
      </c>
      <c r="D66">
        <v>8</v>
      </c>
      <c r="F66" s="1">
        <f t="shared" si="20"/>
        <v>3.3333333333333333E-2</v>
      </c>
    </row>
    <row r="67" spans="1:7" x14ac:dyDescent="0.2">
      <c r="A67" t="s">
        <v>308</v>
      </c>
      <c r="C67">
        <v>9</v>
      </c>
      <c r="D67">
        <v>6.5</v>
      </c>
      <c r="F67" s="1">
        <f t="shared" si="20"/>
        <v>0.47708333333333336</v>
      </c>
    </row>
    <row r="68" spans="1:7" x14ac:dyDescent="0.2">
      <c r="A68" t="s">
        <v>309</v>
      </c>
      <c r="C68">
        <v>1</v>
      </c>
      <c r="D68">
        <v>4</v>
      </c>
      <c r="F68" s="1">
        <f t="shared" si="20"/>
        <v>6.6666666666666666E-2</v>
      </c>
    </row>
    <row r="69" spans="1:7" x14ac:dyDescent="0.2">
      <c r="A69" s="5" t="s">
        <v>9</v>
      </c>
      <c r="C69">
        <v>12</v>
      </c>
      <c r="D69">
        <v>2.5</v>
      </c>
      <c r="F69" s="8">
        <f t="shared" si="20"/>
        <v>0.61041666666666661</v>
      </c>
    </row>
    <row r="70" spans="1:7" x14ac:dyDescent="0.2">
      <c r="A70" s="5" t="s">
        <v>10</v>
      </c>
      <c r="B70">
        <f>SUM(B65:B68)</f>
        <v>0</v>
      </c>
      <c r="C70">
        <f t="shared" ref="C70:D70" si="21">SUM(C65:C68)</f>
        <v>10</v>
      </c>
      <c r="D70">
        <f t="shared" si="21"/>
        <v>26.5</v>
      </c>
      <c r="F70" s="8">
        <f t="shared" si="20"/>
        <v>0.61041666666666661</v>
      </c>
      <c r="G70" s="1">
        <f>F70-F69</f>
        <v>0</v>
      </c>
    </row>
    <row r="72" spans="1:7" x14ac:dyDescent="0.2">
      <c r="A72" s="5" t="s">
        <v>310</v>
      </c>
    </row>
    <row r="73" spans="1:7" x14ac:dyDescent="0.2">
      <c r="A73" t="s">
        <v>311</v>
      </c>
      <c r="C73">
        <v>9</v>
      </c>
      <c r="D73">
        <v>6</v>
      </c>
      <c r="F73" s="1">
        <f t="shared" ref="F73:F85" si="22">B73+C73/20+D73/240</f>
        <v>0.47500000000000003</v>
      </c>
    </row>
    <row r="74" spans="1:7" x14ac:dyDescent="0.2">
      <c r="A74" t="s">
        <v>312</v>
      </c>
      <c r="C74">
        <v>10</v>
      </c>
      <c r="D74">
        <v>6</v>
      </c>
      <c r="F74" s="1">
        <f t="shared" si="22"/>
        <v>0.52500000000000002</v>
      </c>
    </row>
    <row r="75" spans="1:7" x14ac:dyDescent="0.2">
      <c r="A75" t="s">
        <v>313</v>
      </c>
      <c r="C75">
        <v>13</v>
      </c>
      <c r="D75">
        <v>4</v>
      </c>
      <c r="F75" s="1">
        <f t="shared" si="22"/>
        <v>0.66666666666666674</v>
      </c>
    </row>
    <row r="76" spans="1:7" x14ac:dyDescent="0.2">
      <c r="A76" t="s">
        <v>314</v>
      </c>
      <c r="C76">
        <v>6</v>
      </c>
      <c r="D76">
        <v>8</v>
      </c>
      <c r="F76" s="1"/>
    </row>
    <row r="77" spans="1:7" x14ac:dyDescent="0.2">
      <c r="A77" s="5" t="s">
        <v>9</v>
      </c>
      <c r="B77">
        <v>2</v>
      </c>
      <c r="F77" s="8">
        <f t="shared" si="22"/>
        <v>2</v>
      </c>
    </row>
    <row r="78" spans="1:7" x14ac:dyDescent="0.2">
      <c r="A78" s="5" t="s">
        <v>10</v>
      </c>
      <c r="B78">
        <f>SUM(B73:B76)</f>
        <v>0</v>
      </c>
      <c r="C78">
        <f>SUM(C73:C76)</f>
        <v>38</v>
      </c>
      <c r="D78">
        <f>SUM(D73:D76)</f>
        <v>24</v>
      </c>
      <c r="F78" s="8">
        <f t="shared" si="22"/>
        <v>2</v>
      </c>
      <c r="G78" s="1">
        <f>F78-F77</f>
        <v>0</v>
      </c>
    </row>
    <row r="80" spans="1:7" x14ac:dyDescent="0.2">
      <c r="A80" t="s">
        <v>28</v>
      </c>
      <c r="B80">
        <v>7</v>
      </c>
      <c r="C80">
        <v>16</v>
      </c>
      <c r="D80">
        <v>9.5</v>
      </c>
      <c r="F80" s="1">
        <f t="shared" si="22"/>
        <v>7.8395833333333336</v>
      </c>
    </row>
    <row r="81" spans="1:7" x14ac:dyDescent="0.2">
      <c r="A81" t="s">
        <v>32</v>
      </c>
      <c r="B81">
        <f>SUM(B13,B22,B32,B42,B51,B62,B70,B78)</f>
        <v>0</v>
      </c>
      <c r="C81">
        <f t="shared" ref="C81:D81" si="23">SUM(C13,C22,C32,C42,C51,C62,C70,C78)</f>
        <v>140</v>
      </c>
      <c r="D81">
        <f t="shared" si="23"/>
        <v>201</v>
      </c>
      <c r="F81" s="1">
        <f>B81+C81/20+D81/240</f>
        <v>7.8375000000000004</v>
      </c>
      <c r="G81" s="1">
        <f>F81-F80</f>
        <v>-2.0833333333332149E-3</v>
      </c>
    </row>
    <row r="82" spans="1:7" x14ac:dyDescent="0.2">
      <c r="A82" t="s">
        <v>29</v>
      </c>
      <c r="B82">
        <v>58</v>
      </c>
      <c r="C82">
        <v>17</v>
      </c>
      <c r="D82">
        <v>4.25</v>
      </c>
      <c r="F82" s="1">
        <f t="shared" si="22"/>
        <v>58.867708333333333</v>
      </c>
    </row>
    <row r="83" spans="1:7" x14ac:dyDescent="0.2">
      <c r="A83" t="s">
        <v>30</v>
      </c>
      <c r="B83">
        <v>47</v>
      </c>
      <c r="C83">
        <v>8</v>
      </c>
      <c r="F83" s="1">
        <f t="shared" si="22"/>
        <v>47.4</v>
      </c>
    </row>
    <row r="84" spans="1:7" x14ac:dyDescent="0.2">
      <c r="A84" t="s">
        <v>31</v>
      </c>
      <c r="B84">
        <v>11</v>
      </c>
      <c r="C84">
        <v>9</v>
      </c>
      <c r="D84">
        <v>4.25</v>
      </c>
      <c r="F84" s="1">
        <f t="shared" si="22"/>
        <v>11.467708333333333</v>
      </c>
    </row>
    <row r="85" spans="1:7" x14ac:dyDescent="0.2">
      <c r="A85" t="s">
        <v>186</v>
      </c>
      <c r="B85">
        <f>SUM(B14,B23,B33,B43,B52,)</f>
        <v>0</v>
      </c>
      <c r="C85">
        <f t="shared" ref="C85:D85" si="24">SUM(C14,C23,C33,C43,C52,)</f>
        <v>46</v>
      </c>
      <c r="D85">
        <f t="shared" si="24"/>
        <v>101</v>
      </c>
      <c r="F85" s="1">
        <f t="shared" si="22"/>
        <v>2.7208333333333332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51F45-F51F-F14B-BED0-85E1B2A14898}">
  <dimension ref="A1:Q25"/>
  <sheetViews>
    <sheetView topLeftCell="I1" workbookViewId="0">
      <selection activeCell="M25" sqref="M25"/>
    </sheetView>
  </sheetViews>
  <sheetFormatPr baseColWidth="10" defaultColWidth="11" defaultRowHeight="16" x14ac:dyDescent="0.2"/>
  <sheetData>
    <row r="1" spans="1:17" x14ac:dyDescent="0.2">
      <c r="A1" s="17"/>
      <c r="B1" s="18" t="s">
        <v>33</v>
      </c>
      <c r="I1" s="14"/>
      <c r="J1" s="14"/>
      <c r="O1" s="19"/>
      <c r="P1" s="19"/>
      <c r="Q1" s="19"/>
    </row>
    <row r="2" spans="1:17" x14ac:dyDescent="0.2">
      <c r="A2" s="17"/>
      <c r="B2" s="39" t="s">
        <v>212</v>
      </c>
      <c r="C2" s="39"/>
      <c r="D2" s="39"/>
      <c r="E2" s="39"/>
      <c r="F2" s="39"/>
      <c r="G2" s="37" t="s">
        <v>213</v>
      </c>
      <c r="H2" s="37"/>
      <c r="I2" s="37"/>
      <c r="J2" s="37"/>
      <c r="K2" s="37"/>
      <c r="L2" s="37"/>
      <c r="M2" s="37"/>
      <c r="N2" s="37"/>
      <c r="O2" s="38"/>
      <c r="P2" s="20" t="s">
        <v>34</v>
      </c>
      <c r="Q2" s="20"/>
    </row>
    <row r="3" spans="1:17" x14ac:dyDescent="0.2">
      <c r="A3" s="17" t="s">
        <v>35</v>
      </c>
      <c r="B3" s="98" t="s">
        <v>36</v>
      </c>
      <c r="C3" s="98"/>
      <c r="D3" s="98" t="s">
        <v>37</v>
      </c>
      <c r="E3" s="98"/>
      <c r="F3" s="21" t="s">
        <v>36</v>
      </c>
      <c r="G3" s="98" t="s">
        <v>38</v>
      </c>
      <c r="H3" s="98"/>
      <c r="I3" s="98"/>
      <c r="J3" s="19" t="s">
        <v>39</v>
      </c>
      <c r="K3" s="14" t="s">
        <v>40</v>
      </c>
      <c r="L3" s="14" t="s">
        <v>41</v>
      </c>
      <c r="M3" s="14" t="s">
        <v>42</v>
      </c>
      <c r="N3" s="14" t="s">
        <v>43</v>
      </c>
      <c r="O3" s="21" t="s">
        <v>197</v>
      </c>
      <c r="P3" s="19" t="s">
        <v>44</v>
      </c>
    </row>
    <row r="4" spans="1:17" x14ac:dyDescent="0.2">
      <c r="B4" s="22" t="s">
        <v>45</v>
      </c>
      <c r="C4" s="22" t="s">
        <v>46</v>
      </c>
      <c r="D4" s="22" t="s">
        <v>45</v>
      </c>
      <c r="E4" s="22" t="s">
        <v>46</v>
      </c>
      <c r="F4" s="23" t="s">
        <v>45</v>
      </c>
      <c r="G4" s="22" t="s">
        <v>45</v>
      </c>
      <c r="H4" s="22" t="s">
        <v>46</v>
      </c>
      <c r="I4" s="22" t="s">
        <v>45</v>
      </c>
      <c r="J4" s="22"/>
      <c r="K4" s="22" t="s">
        <v>0</v>
      </c>
      <c r="L4" s="22" t="s">
        <v>45</v>
      </c>
      <c r="M4" s="22" t="s">
        <v>0</v>
      </c>
      <c r="N4" s="22" t="s">
        <v>45</v>
      </c>
      <c r="O4" s="23" t="s">
        <v>47</v>
      </c>
      <c r="P4" s="24" t="s">
        <v>0</v>
      </c>
      <c r="Q4" s="25"/>
    </row>
    <row r="5" spans="1:17" x14ac:dyDescent="0.2">
      <c r="A5" t="s">
        <v>48</v>
      </c>
      <c r="B5">
        <v>71</v>
      </c>
      <c r="F5" s="26">
        <f>B5+D5+C5/8+E5/8</f>
        <v>71</v>
      </c>
      <c r="G5">
        <v>48</v>
      </c>
      <c r="H5">
        <v>10</v>
      </c>
      <c r="I5">
        <f>G5+H5/8</f>
        <v>49.25</v>
      </c>
      <c r="J5" s="27">
        <f>F5-I5</f>
        <v>21.75</v>
      </c>
      <c r="K5" s="1">
        <f>'Bishopstone Receipts'!F68</f>
        <v>12.318750000000001</v>
      </c>
      <c r="L5">
        <f>48+7/8</f>
        <v>48.875</v>
      </c>
      <c r="M5" s="1">
        <f>'Bishopstone Receipts'!F69</f>
        <v>7.5000000000000011E-2</v>
      </c>
      <c r="N5">
        <f>3/8</f>
        <v>0.375</v>
      </c>
      <c r="O5" s="28">
        <f>IFERROR((K5+M5)/(L5+N5),0)</f>
        <v>0.25164974619289343</v>
      </c>
      <c r="P5" s="27">
        <f t="shared" ref="P5:P10" si="0">O5*F5</f>
        <v>17.867131979695433</v>
      </c>
    </row>
    <row r="6" spans="1:17" x14ac:dyDescent="0.2">
      <c r="A6" t="s">
        <v>49</v>
      </c>
      <c r="B6">
        <v>7</v>
      </c>
      <c r="C6">
        <v>6</v>
      </c>
      <c r="F6" s="29">
        <f t="shared" ref="F6:F10" si="1">B6+D6+C6/8+E6/8</f>
        <v>7.75</v>
      </c>
      <c r="G6">
        <v>7</v>
      </c>
      <c r="H6">
        <v>6</v>
      </c>
      <c r="I6">
        <f>G6+H6/8</f>
        <v>7.75</v>
      </c>
      <c r="J6" s="27">
        <f t="shared" ref="J6:J10" si="2">F6-I6</f>
        <v>0</v>
      </c>
      <c r="K6" s="1">
        <f>'Bishopstone Receipts'!F70</f>
        <v>1.0760416666666668</v>
      </c>
      <c r="L6">
        <f>I6</f>
        <v>7.75</v>
      </c>
      <c r="O6" s="28">
        <f t="shared" ref="O6:O9" si="3">IFERROR((K6+M6)/(L6+N6),0)</f>
        <v>0.13884408602150539</v>
      </c>
      <c r="P6" s="27">
        <f t="shared" si="0"/>
        <v>1.0760416666666668</v>
      </c>
    </row>
    <row r="7" spans="1:17" x14ac:dyDescent="0.2">
      <c r="A7" t="s">
        <v>50</v>
      </c>
      <c r="B7">
        <v>120.5</v>
      </c>
      <c r="F7" s="29">
        <f t="shared" si="1"/>
        <v>120.5</v>
      </c>
      <c r="G7">
        <v>75</v>
      </c>
      <c r="H7">
        <v>1</v>
      </c>
      <c r="I7">
        <f t="shared" ref="I7:I10" si="4">G7+H7/8</f>
        <v>75.125</v>
      </c>
      <c r="J7" s="27">
        <f t="shared" si="2"/>
        <v>45.375</v>
      </c>
      <c r="K7" s="1">
        <f>'Bishopstone Receipts'!F72</f>
        <v>15.004166666666666</v>
      </c>
      <c r="L7">
        <f>I7</f>
        <v>75.125</v>
      </c>
      <c r="O7" s="28">
        <f t="shared" si="3"/>
        <v>0.1997226844148641</v>
      </c>
      <c r="P7" s="27">
        <f t="shared" si="0"/>
        <v>24.066583471991123</v>
      </c>
    </row>
    <row r="8" spans="1:17" x14ac:dyDescent="0.2">
      <c r="A8" t="s">
        <v>51</v>
      </c>
      <c r="B8">
        <v>60</v>
      </c>
      <c r="C8">
        <v>1</v>
      </c>
      <c r="F8" s="29">
        <f t="shared" si="1"/>
        <v>60.125</v>
      </c>
      <c r="G8">
        <v>35</v>
      </c>
      <c r="I8">
        <f t="shared" si="4"/>
        <v>35</v>
      </c>
      <c r="J8" s="27">
        <f t="shared" si="2"/>
        <v>25.125</v>
      </c>
      <c r="K8" s="1">
        <f>'Bishopstone Receipts'!F73</f>
        <v>4.666666666666667</v>
      </c>
      <c r="L8">
        <f>I8</f>
        <v>35</v>
      </c>
      <c r="O8" s="28">
        <f t="shared" si="3"/>
        <v>0.13333333333333333</v>
      </c>
      <c r="P8" s="27">
        <f t="shared" si="0"/>
        <v>8.0166666666666657</v>
      </c>
    </row>
    <row r="9" spans="1:17" x14ac:dyDescent="0.2">
      <c r="A9" t="s">
        <v>52</v>
      </c>
      <c r="B9">
        <v>21</v>
      </c>
      <c r="C9">
        <v>7</v>
      </c>
      <c r="F9" s="29">
        <f t="shared" si="1"/>
        <v>21.875</v>
      </c>
      <c r="G9">
        <v>13.5</v>
      </c>
      <c r="I9">
        <f t="shared" si="4"/>
        <v>13.5</v>
      </c>
      <c r="J9" s="27">
        <f t="shared" si="2"/>
        <v>8.375</v>
      </c>
      <c r="K9" s="1">
        <f>'Bishopstone Receipts'!F74</f>
        <v>2.25</v>
      </c>
      <c r="L9">
        <f>G9</f>
        <v>13.5</v>
      </c>
      <c r="O9" s="28">
        <f t="shared" si="3"/>
        <v>0.16666666666666666</v>
      </c>
      <c r="P9" s="27">
        <f t="shared" si="0"/>
        <v>3.645833333333333</v>
      </c>
    </row>
    <row r="10" spans="1:17" x14ac:dyDescent="0.2">
      <c r="A10" t="s">
        <v>53</v>
      </c>
      <c r="B10">
        <v>9</v>
      </c>
      <c r="C10">
        <v>4</v>
      </c>
      <c r="F10" s="29">
        <f t="shared" si="1"/>
        <v>9.5</v>
      </c>
      <c r="G10">
        <v>7</v>
      </c>
      <c r="I10">
        <f t="shared" si="4"/>
        <v>7</v>
      </c>
      <c r="J10" s="27">
        <f t="shared" si="2"/>
        <v>2.5</v>
      </c>
      <c r="K10" s="1">
        <f>'Bishopstone Receipts'!F75</f>
        <v>0.93333333333333335</v>
      </c>
      <c r="L10">
        <f>I10</f>
        <v>7</v>
      </c>
      <c r="O10" s="28">
        <f>IFERROR((#REF!+M10)/(K10+N10),0)</f>
        <v>0</v>
      </c>
      <c r="P10" s="27">
        <f t="shared" si="0"/>
        <v>0</v>
      </c>
    </row>
    <row r="12" spans="1:17" x14ac:dyDescent="0.2">
      <c r="A12" s="30" t="s">
        <v>54</v>
      </c>
      <c r="B12" s="31"/>
      <c r="C12" s="31"/>
      <c r="D12" s="31"/>
      <c r="E12" s="31"/>
      <c r="F12" s="32">
        <f>SUM(F5:F10)</f>
        <v>290.75</v>
      </c>
      <c r="G12" s="31"/>
      <c r="H12" s="31"/>
      <c r="I12" s="31"/>
      <c r="J12" s="31"/>
      <c r="K12" s="31"/>
      <c r="L12" s="31"/>
      <c r="M12" s="31"/>
      <c r="N12" s="31"/>
      <c r="O12" s="31"/>
      <c r="P12" s="32">
        <f>SUM(P5:P10)</f>
        <v>54.672257118353222</v>
      </c>
      <c r="Q12" s="33" t="s">
        <v>55</v>
      </c>
    </row>
    <row r="13" spans="1:17" x14ac:dyDescent="0.2">
      <c r="A13" s="30" t="s">
        <v>56</v>
      </c>
      <c r="B13" s="31"/>
      <c r="C13" s="31"/>
      <c r="D13" s="31"/>
      <c r="E13" s="31"/>
      <c r="F13" s="31">
        <f>SUM(I5:I10)</f>
        <v>187.625</v>
      </c>
      <c r="G13" s="31"/>
      <c r="H13" s="31"/>
      <c r="I13" s="31"/>
      <c r="J13" s="31"/>
      <c r="K13" s="31"/>
      <c r="L13" s="31"/>
      <c r="M13" s="31"/>
      <c r="N13" s="31"/>
      <c r="O13" s="31"/>
      <c r="P13" s="32">
        <f>SUM(K5:K10,M5:M10)</f>
        <v>36.32395833333333</v>
      </c>
      <c r="Q13" s="31"/>
    </row>
    <row r="16" spans="1:17" ht="102" x14ac:dyDescent="0.2">
      <c r="A16" s="17" t="s">
        <v>57</v>
      </c>
      <c r="B16" s="34" t="s">
        <v>35</v>
      </c>
      <c r="C16" s="99" t="s">
        <v>58</v>
      </c>
      <c r="D16" s="99"/>
      <c r="E16" s="99"/>
      <c r="F16" t="s">
        <v>59</v>
      </c>
      <c r="G16" s="99" t="s">
        <v>60</v>
      </c>
      <c r="H16" s="99"/>
      <c r="I16" s="100"/>
      <c r="J16" s="34" t="s">
        <v>61</v>
      </c>
      <c r="K16" t="s">
        <v>62</v>
      </c>
      <c r="L16" s="35" t="s">
        <v>63</v>
      </c>
      <c r="M16" s="34" t="s">
        <v>64</v>
      </c>
      <c r="N16" s="34" t="s">
        <v>65</v>
      </c>
    </row>
    <row r="17" spans="1:14" x14ac:dyDescent="0.2">
      <c r="B17" s="14" t="s">
        <v>45</v>
      </c>
      <c r="C17" s="14" t="s">
        <v>45</v>
      </c>
      <c r="D17" t="s">
        <v>46</v>
      </c>
      <c r="E17" t="s">
        <v>45</v>
      </c>
      <c r="F17" t="s">
        <v>45</v>
      </c>
      <c r="G17" t="s">
        <v>45</v>
      </c>
      <c r="H17" t="s">
        <v>46</v>
      </c>
      <c r="I17" s="28" t="s">
        <v>45</v>
      </c>
      <c r="J17" s="14" t="s">
        <v>45</v>
      </c>
      <c r="K17" s="28" t="s">
        <v>45</v>
      </c>
      <c r="L17" s="12" t="s">
        <v>47</v>
      </c>
      <c r="M17" s="14" t="s">
        <v>0</v>
      </c>
      <c r="N17" s="14" t="s">
        <v>0</v>
      </c>
    </row>
    <row r="18" spans="1:14" x14ac:dyDescent="0.2">
      <c r="A18" t="s">
        <v>48</v>
      </c>
      <c r="B18" s="27">
        <f>B5</f>
        <v>71</v>
      </c>
      <c r="C18">
        <v>18</v>
      </c>
      <c r="D18">
        <v>1</v>
      </c>
      <c r="E18">
        <f>C18+D18/8</f>
        <v>18.125</v>
      </c>
      <c r="G18">
        <v>2.5</v>
      </c>
      <c r="H18">
        <v>9</v>
      </c>
      <c r="I18" s="28">
        <f>G18+H18/8</f>
        <v>3.625</v>
      </c>
      <c r="J18" s="27">
        <f t="shared" ref="J18:J23" si="5">B18-(E18+F18+I18)</f>
        <v>49.25</v>
      </c>
      <c r="K18" s="28"/>
      <c r="L18" s="36">
        <f>O5</f>
        <v>0.25164974619289343</v>
      </c>
      <c r="M18" s="27">
        <f>L18*J18</f>
        <v>12.393750000000001</v>
      </c>
      <c r="N18" s="27">
        <f>I5*O5</f>
        <v>12.393750000000001</v>
      </c>
    </row>
    <row r="19" spans="1:14" x14ac:dyDescent="0.2">
      <c r="A19" t="s">
        <v>49</v>
      </c>
      <c r="B19" s="27">
        <f t="shared" ref="B19:B23" si="6">B6</f>
        <v>7</v>
      </c>
      <c r="E19">
        <f t="shared" ref="E19:E23" si="7">C19+D19/8</f>
        <v>0</v>
      </c>
      <c r="I19" s="28">
        <f t="shared" ref="I19:I22" si="8">G19+H19/8</f>
        <v>0</v>
      </c>
      <c r="J19" s="27">
        <f t="shared" si="5"/>
        <v>7</v>
      </c>
      <c r="K19" s="28"/>
      <c r="L19" s="36">
        <f t="shared" ref="L19:L22" si="9">O6</f>
        <v>0.13884408602150539</v>
      </c>
      <c r="M19" s="27">
        <f t="shared" ref="M19:M22" si="10">L19*J19</f>
        <v>0.97190860215053765</v>
      </c>
      <c r="N19" s="27">
        <f t="shared" ref="N19:N23" si="11">I6*O6</f>
        <v>1.0760416666666668</v>
      </c>
    </row>
    <row r="20" spans="1:14" x14ac:dyDescent="0.2">
      <c r="A20" t="s">
        <v>50</v>
      </c>
      <c r="B20" s="27">
        <f t="shared" si="6"/>
        <v>120.5</v>
      </c>
      <c r="C20">
        <v>22</v>
      </c>
      <c r="D20">
        <v>6</v>
      </c>
      <c r="E20">
        <f t="shared" si="7"/>
        <v>22.75</v>
      </c>
      <c r="G20">
        <v>21.5</v>
      </c>
      <c r="H20">
        <v>8</v>
      </c>
      <c r="I20" s="28">
        <f t="shared" si="8"/>
        <v>22.5</v>
      </c>
      <c r="J20" s="27">
        <f t="shared" si="5"/>
        <v>75.25</v>
      </c>
      <c r="K20" s="28"/>
      <c r="L20" s="36">
        <f t="shared" si="9"/>
        <v>0.1997226844148641</v>
      </c>
      <c r="M20" s="27">
        <f t="shared" si="10"/>
        <v>15.029132002218523</v>
      </c>
      <c r="N20" s="27">
        <f t="shared" si="11"/>
        <v>15.004166666666665</v>
      </c>
    </row>
    <row r="21" spans="1:14" x14ac:dyDescent="0.2">
      <c r="A21" t="s">
        <v>51</v>
      </c>
      <c r="B21" s="27">
        <f t="shared" si="6"/>
        <v>60</v>
      </c>
      <c r="C21">
        <v>21</v>
      </c>
      <c r="D21">
        <v>6</v>
      </c>
      <c r="E21">
        <f t="shared" si="7"/>
        <v>21.75</v>
      </c>
      <c r="G21">
        <v>3</v>
      </c>
      <c r="H21">
        <v>3</v>
      </c>
      <c r="I21" s="28">
        <f t="shared" si="8"/>
        <v>3.375</v>
      </c>
      <c r="J21" s="27">
        <f t="shared" si="5"/>
        <v>34.875</v>
      </c>
      <c r="K21" s="28"/>
      <c r="L21" s="36">
        <f t="shared" si="9"/>
        <v>0.13333333333333333</v>
      </c>
      <c r="M21" s="27">
        <f t="shared" si="10"/>
        <v>4.6500000000000004</v>
      </c>
      <c r="N21" s="27">
        <f t="shared" si="11"/>
        <v>4.666666666666667</v>
      </c>
    </row>
    <row r="22" spans="1:14" x14ac:dyDescent="0.2">
      <c r="A22" t="s">
        <v>52</v>
      </c>
      <c r="B22" s="27">
        <f t="shared" si="6"/>
        <v>21</v>
      </c>
      <c r="C22">
        <v>3</v>
      </c>
      <c r="D22">
        <v>2</v>
      </c>
      <c r="E22">
        <f t="shared" si="7"/>
        <v>3.25</v>
      </c>
      <c r="H22">
        <v>2</v>
      </c>
      <c r="I22" s="28">
        <f t="shared" si="8"/>
        <v>0.25</v>
      </c>
      <c r="J22" s="27">
        <f t="shared" si="5"/>
        <v>17.5</v>
      </c>
      <c r="K22" s="28"/>
      <c r="L22" s="36">
        <f t="shared" si="9"/>
        <v>0.16666666666666666</v>
      </c>
      <c r="M22" s="27">
        <f t="shared" si="10"/>
        <v>2.9166666666666665</v>
      </c>
      <c r="N22" s="27">
        <f t="shared" si="11"/>
        <v>2.25</v>
      </c>
    </row>
    <row r="23" spans="1:14" x14ac:dyDescent="0.2">
      <c r="A23" t="s">
        <v>53</v>
      </c>
      <c r="B23" s="27">
        <f t="shared" si="6"/>
        <v>9</v>
      </c>
      <c r="C23">
        <v>2</v>
      </c>
      <c r="D23">
        <v>4</v>
      </c>
      <c r="E23">
        <f t="shared" si="7"/>
        <v>2.5</v>
      </c>
      <c r="J23" s="27">
        <f t="shared" si="5"/>
        <v>6.5</v>
      </c>
      <c r="K23" s="28"/>
      <c r="L23" s="36">
        <f t="shared" ref="L23" si="12">O10</f>
        <v>0</v>
      </c>
      <c r="M23" s="27">
        <f t="shared" ref="M23" si="13">L23*J23</f>
        <v>0</v>
      </c>
      <c r="N23" s="27">
        <f t="shared" si="11"/>
        <v>0</v>
      </c>
    </row>
    <row r="24" spans="1:14" x14ac:dyDescent="0.2">
      <c r="A24" t="s">
        <v>66</v>
      </c>
      <c r="K24" s="28"/>
    </row>
    <row r="25" spans="1:14" x14ac:dyDescent="0.2">
      <c r="A25" s="30" t="s">
        <v>10</v>
      </c>
      <c r="B25" s="32">
        <f>SUM(B18:B23)</f>
        <v>288.5</v>
      </c>
      <c r="C25" s="31"/>
      <c r="D25" s="31"/>
      <c r="E25" s="31">
        <f>SUM(E18:E23)</f>
        <v>68.375</v>
      </c>
      <c r="F25" s="31"/>
      <c r="G25" s="31"/>
      <c r="H25" s="31"/>
      <c r="I25" s="31"/>
      <c r="J25" s="32">
        <f>SUM(J18:J23)</f>
        <v>190.375</v>
      </c>
      <c r="K25" s="31"/>
      <c r="L25" s="31"/>
      <c r="M25" s="32">
        <f>SUM(M18:M23)</f>
        <v>35.961457271035727</v>
      </c>
      <c r="N25" s="31"/>
    </row>
  </sheetData>
  <mergeCells count="5">
    <mergeCell ref="B3:C3"/>
    <mergeCell ref="D3:E3"/>
    <mergeCell ref="G3:I3"/>
    <mergeCell ref="C16:E16"/>
    <mergeCell ref="G16:I16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22C11-BF1A-A14E-A04C-F93A502BB0C7}">
  <dimension ref="A1:T97"/>
  <sheetViews>
    <sheetView topLeftCell="A2" zoomScale="85" workbookViewId="0">
      <pane xSplit="1" ySplit="2" topLeftCell="B22" activePane="bottomRight" state="frozen"/>
      <selection activeCell="A2" sqref="A2"/>
      <selection pane="topRight" activeCell="B2" sqref="B2"/>
      <selection pane="bottomLeft" activeCell="A4" sqref="A4"/>
      <selection pane="bottomRight" activeCell="N44" sqref="N44"/>
    </sheetView>
  </sheetViews>
  <sheetFormatPr baseColWidth="10" defaultColWidth="11" defaultRowHeight="16" x14ac:dyDescent="0.2"/>
  <cols>
    <col min="1" max="1" width="20.33203125" customWidth="1"/>
    <col min="14" max="14" width="11.6640625" bestFit="1" customWidth="1"/>
    <col min="17" max="19" width="10.83203125" style="27"/>
  </cols>
  <sheetData>
    <row r="1" spans="1:20" x14ac:dyDescent="0.2">
      <c r="A1" s="9" t="s">
        <v>165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51"/>
      <c r="M1" s="51"/>
      <c r="N1" s="10"/>
      <c r="O1" s="10"/>
      <c r="P1" s="10"/>
      <c r="Q1" s="51"/>
      <c r="R1" s="51"/>
      <c r="S1" s="51"/>
      <c r="T1" s="10"/>
    </row>
    <row r="2" spans="1:20" x14ac:dyDescent="0.2">
      <c r="A2" s="53"/>
      <c r="B2" s="10"/>
      <c r="C2" s="10"/>
      <c r="D2" s="10"/>
      <c r="E2" s="10"/>
      <c r="F2" s="10"/>
      <c r="G2" s="10"/>
      <c r="H2" s="10"/>
      <c r="I2" s="10"/>
      <c r="J2" s="10"/>
      <c r="K2" s="10"/>
      <c r="L2" s="51"/>
      <c r="M2" s="51"/>
      <c r="N2" s="10"/>
      <c r="O2" s="10"/>
      <c r="P2" s="10"/>
      <c r="Q2" s="51"/>
      <c r="R2" s="51"/>
      <c r="S2" s="51"/>
      <c r="T2" s="10"/>
    </row>
    <row r="3" spans="1:20" ht="68" x14ac:dyDescent="0.2">
      <c r="A3" s="54" t="s">
        <v>92</v>
      </c>
      <c r="B3" s="55" t="s">
        <v>145</v>
      </c>
      <c r="C3" s="55" t="s">
        <v>315</v>
      </c>
      <c r="D3" s="55" t="s">
        <v>219</v>
      </c>
      <c r="E3" s="9" t="s">
        <v>146</v>
      </c>
      <c r="F3" s="9" t="s">
        <v>147</v>
      </c>
      <c r="G3" s="55" t="s">
        <v>148</v>
      </c>
      <c r="H3" s="55" t="s">
        <v>149</v>
      </c>
      <c r="I3" s="55" t="s">
        <v>150</v>
      </c>
      <c r="J3" s="55" t="s">
        <v>151</v>
      </c>
      <c r="K3" s="55" t="s">
        <v>152</v>
      </c>
      <c r="L3" s="56" t="s">
        <v>170</v>
      </c>
      <c r="M3" s="56" t="s">
        <v>171</v>
      </c>
      <c r="N3" s="55" t="s">
        <v>172</v>
      </c>
      <c r="O3" s="55" t="s">
        <v>173</v>
      </c>
      <c r="P3" s="55" t="s">
        <v>175</v>
      </c>
      <c r="Q3" s="56" t="s">
        <v>153</v>
      </c>
      <c r="R3" s="62" t="s">
        <v>169</v>
      </c>
      <c r="S3" s="62" t="s">
        <v>154</v>
      </c>
      <c r="T3" s="55" t="s">
        <v>155</v>
      </c>
    </row>
    <row r="4" spans="1:20" ht="17" x14ac:dyDescent="0.2">
      <c r="A4" s="53" t="s">
        <v>94</v>
      </c>
      <c r="B4" s="10"/>
      <c r="C4" s="10"/>
      <c r="D4" s="10"/>
      <c r="E4" s="10"/>
      <c r="F4" s="10"/>
      <c r="G4" s="10"/>
      <c r="H4" s="10"/>
      <c r="I4" s="10"/>
      <c r="J4" s="10"/>
      <c r="K4" s="55">
        <f>B4+C4+D4-E4-F4-G4-H4-I4</f>
        <v>0</v>
      </c>
      <c r="Q4" s="51" t="str">
        <f>IFERROR((L4+N4)/(M4+O4),"")</f>
        <v/>
      </c>
      <c r="R4" s="51" t="str">
        <f>IFERROR(D4*Q4,"")</f>
        <v/>
      </c>
      <c r="S4" s="51" t="str">
        <f>IFERROR(Q4*G4,"")</f>
        <v/>
      </c>
      <c r="T4" s="10"/>
    </row>
    <row r="5" spans="1:20" ht="17" x14ac:dyDescent="0.2">
      <c r="A5" s="53" t="s">
        <v>95</v>
      </c>
      <c r="B5" s="10"/>
      <c r="C5" s="10"/>
      <c r="D5" s="10"/>
      <c r="E5" s="10"/>
      <c r="F5" s="10"/>
      <c r="G5" s="10"/>
      <c r="H5" s="10"/>
      <c r="I5" s="10"/>
      <c r="J5" s="10"/>
      <c r="K5" s="55">
        <f t="shared" ref="K5:K69" si="0">B5+C5+D5-E5-F5-G5-H5-I5</f>
        <v>0</v>
      </c>
      <c r="L5" s="56"/>
      <c r="M5" s="56"/>
      <c r="N5" s="55"/>
      <c r="O5" s="55"/>
      <c r="P5" s="55"/>
      <c r="Q5" s="51" t="str">
        <f t="shared" ref="Q5:Q63" si="1">IFERROR((L5+N5)/(M5+O5),"")</f>
        <v/>
      </c>
      <c r="R5" s="51" t="str">
        <f t="shared" ref="R5:R63" si="2">IFERROR(D5*Q5,"")</f>
        <v/>
      </c>
      <c r="S5" s="51" t="str">
        <f t="shared" ref="S5:S62" si="3">IFERROR(Q5*G5,"")</f>
        <v/>
      </c>
      <c r="T5" s="10"/>
    </row>
    <row r="6" spans="1:20" x14ac:dyDescent="0.2">
      <c r="A6" s="10" t="s">
        <v>96</v>
      </c>
      <c r="B6" s="10">
        <v>1</v>
      </c>
      <c r="C6" s="10"/>
      <c r="D6" s="10"/>
      <c r="E6" s="10"/>
      <c r="F6" s="10"/>
      <c r="G6" s="10"/>
      <c r="H6" s="10"/>
      <c r="I6" s="10"/>
      <c r="J6" s="10">
        <v>1</v>
      </c>
      <c r="K6" s="55">
        <f t="shared" si="0"/>
        <v>1</v>
      </c>
      <c r="L6" s="56"/>
      <c r="M6" s="56"/>
      <c r="N6" s="55"/>
      <c r="O6" s="55"/>
      <c r="P6" s="55"/>
      <c r="Q6" s="51" t="str">
        <f t="shared" si="1"/>
        <v/>
      </c>
      <c r="R6" s="51" t="str">
        <f t="shared" si="2"/>
        <v/>
      </c>
      <c r="S6" s="51" t="str">
        <f t="shared" si="3"/>
        <v/>
      </c>
      <c r="T6" s="10"/>
    </row>
    <row r="7" spans="1:20" x14ac:dyDescent="0.2">
      <c r="A7" s="10" t="s">
        <v>97</v>
      </c>
      <c r="B7" s="10"/>
      <c r="C7" s="10"/>
      <c r="D7" s="10"/>
      <c r="E7" s="10"/>
      <c r="F7" s="10"/>
      <c r="G7" s="10"/>
      <c r="H7" s="10"/>
      <c r="I7" s="10"/>
      <c r="J7" s="10"/>
      <c r="K7" s="55">
        <f t="shared" si="0"/>
        <v>0</v>
      </c>
      <c r="L7" s="56"/>
      <c r="M7" s="56"/>
      <c r="N7" s="55"/>
      <c r="O7" s="55"/>
      <c r="P7" s="55"/>
      <c r="Q7" s="51" t="str">
        <f t="shared" si="1"/>
        <v/>
      </c>
      <c r="R7" s="51" t="str">
        <f t="shared" si="2"/>
        <v/>
      </c>
      <c r="S7" s="51" t="str">
        <f t="shared" si="3"/>
        <v/>
      </c>
      <c r="T7" s="10"/>
    </row>
    <row r="8" spans="1:20" x14ac:dyDescent="0.2">
      <c r="A8" s="10" t="s">
        <v>97</v>
      </c>
      <c r="B8" s="10"/>
      <c r="C8" s="10"/>
      <c r="D8" s="10"/>
      <c r="E8" s="10"/>
      <c r="F8" s="10"/>
      <c r="G8" s="10"/>
      <c r="H8" s="10"/>
      <c r="I8" s="10"/>
      <c r="J8" s="10"/>
      <c r="K8" s="55">
        <f t="shared" si="0"/>
        <v>0</v>
      </c>
      <c r="L8" s="56"/>
      <c r="M8" s="56"/>
      <c r="N8" s="55"/>
      <c r="O8" s="55"/>
      <c r="P8" s="55"/>
      <c r="Q8" s="51" t="str">
        <f t="shared" si="1"/>
        <v/>
      </c>
      <c r="R8" s="51" t="str">
        <f t="shared" si="2"/>
        <v/>
      </c>
      <c r="S8" s="51" t="str">
        <f t="shared" si="3"/>
        <v/>
      </c>
      <c r="T8" s="10"/>
    </row>
    <row r="9" spans="1:20" x14ac:dyDescent="0.2">
      <c r="A9" s="10" t="s">
        <v>98</v>
      </c>
      <c r="B9" s="10"/>
      <c r="C9" s="10"/>
      <c r="D9" s="10"/>
      <c r="E9" s="10"/>
      <c r="F9" s="10"/>
      <c r="G9" s="10"/>
      <c r="H9" s="10"/>
      <c r="I9" s="10"/>
      <c r="J9" s="10"/>
      <c r="K9" s="55">
        <f t="shared" si="0"/>
        <v>0</v>
      </c>
      <c r="L9" s="56"/>
      <c r="M9" s="56"/>
      <c r="N9" s="55"/>
      <c r="O9" s="55"/>
      <c r="P9" s="55"/>
      <c r="Q9" s="51" t="str">
        <f t="shared" si="1"/>
        <v/>
      </c>
      <c r="R9" s="51" t="str">
        <f t="shared" si="2"/>
        <v/>
      </c>
      <c r="S9" s="51" t="str">
        <f t="shared" si="3"/>
        <v/>
      </c>
      <c r="T9" s="10"/>
    </row>
    <row r="10" spans="1:20" x14ac:dyDescent="0.2">
      <c r="A10" s="10" t="s">
        <v>99</v>
      </c>
      <c r="B10" s="10"/>
      <c r="C10" s="10"/>
      <c r="D10" s="10"/>
      <c r="E10" s="10"/>
      <c r="F10" s="10"/>
      <c r="G10" s="10"/>
      <c r="H10" s="10"/>
      <c r="I10" s="10"/>
      <c r="J10" s="10"/>
      <c r="K10" s="55">
        <f t="shared" si="0"/>
        <v>0</v>
      </c>
      <c r="L10" s="56"/>
      <c r="M10" s="56"/>
      <c r="N10" s="55"/>
      <c r="O10" s="55"/>
      <c r="P10" s="55"/>
      <c r="Q10" s="51" t="str">
        <f t="shared" si="1"/>
        <v/>
      </c>
      <c r="R10" s="51" t="str">
        <f t="shared" si="2"/>
        <v/>
      </c>
      <c r="S10" s="51" t="str">
        <f t="shared" si="3"/>
        <v/>
      </c>
      <c r="T10" s="10"/>
    </row>
    <row r="11" spans="1:20" x14ac:dyDescent="0.2">
      <c r="A11" s="10" t="s">
        <v>100</v>
      </c>
      <c r="B11" s="10">
        <v>16</v>
      </c>
      <c r="C11" s="10">
        <v>2</v>
      </c>
      <c r="D11" s="10">
        <v>1</v>
      </c>
      <c r="E11" s="10"/>
      <c r="F11" s="10"/>
      <c r="G11" s="10">
        <v>1</v>
      </c>
      <c r="H11" s="10"/>
      <c r="I11" s="10"/>
      <c r="J11" s="10">
        <v>18</v>
      </c>
      <c r="K11" s="55">
        <f t="shared" si="0"/>
        <v>18</v>
      </c>
      <c r="L11" s="57">
        <f>'Bishopstone Receipts'!F45</f>
        <v>0.27500000000000002</v>
      </c>
      <c r="M11" s="57">
        <v>1</v>
      </c>
      <c r="N11" s="58"/>
      <c r="O11" s="58"/>
      <c r="P11" s="58"/>
      <c r="Q11" s="51">
        <f t="shared" si="1"/>
        <v>0.27500000000000002</v>
      </c>
      <c r="R11" s="51">
        <f t="shared" si="2"/>
        <v>0.27500000000000002</v>
      </c>
      <c r="S11" s="51">
        <f t="shared" si="3"/>
        <v>0.27500000000000002</v>
      </c>
      <c r="T11" s="10"/>
    </row>
    <row r="12" spans="1:20" x14ac:dyDescent="0.2">
      <c r="A12" s="10" t="s">
        <v>101</v>
      </c>
      <c r="B12" s="10">
        <v>1</v>
      </c>
      <c r="C12" s="10">
        <v>1</v>
      </c>
      <c r="D12" s="10"/>
      <c r="E12" s="10"/>
      <c r="F12" s="10"/>
      <c r="G12" s="10"/>
      <c r="H12" s="10"/>
      <c r="I12" s="10">
        <v>1</v>
      </c>
      <c r="J12" s="10">
        <v>1</v>
      </c>
      <c r="K12" s="55">
        <f t="shared" si="0"/>
        <v>1</v>
      </c>
      <c r="L12" s="57"/>
      <c r="M12" s="57"/>
      <c r="N12" s="58"/>
      <c r="O12" s="58"/>
      <c r="P12" s="58"/>
      <c r="Q12" s="51" t="str">
        <f t="shared" si="1"/>
        <v/>
      </c>
      <c r="R12" s="51" t="str">
        <f t="shared" si="2"/>
        <v/>
      </c>
      <c r="S12" s="51" t="str">
        <f t="shared" si="3"/>
        <v/>
      </c>
      <c r="T12" s="10"/>
    </row>
    <row r="13" spans="1:20" x14ac:dyDescent="0.2">
      <c r="A13" s="10" t="s">
        <v>102</v>
      </c>
      <c r="B13" s="10">
        <v>11</v>
      </c>
      <c r="C13" s="10">
        <v>1</v>
      </c>
      <c r="D13" s="10"/>
      <c r="E13" s="10"/>
      <c r="F13" s="10"/>
      <c r="G13" s="10"/>
      <c r="H13" s="10">
        <v>1</v>
      </c>
      <c r="I13" s="10"/>
      <c r="J13" s="10">
        <v>11</v>
      </c>
      <c r="K13" s="55">
        <f t="shared" si="0"/>
        <v>11</v>
      </c>
      <c r="L13" s="57"/>
      <c r="M13" s="57"/>
      <c r="N13" s="58"/>
      <c r="O13" s="58"/>
      <c r="P13" s="58"/>
      <c r="Q13" s="51" t="str">
        <f t="shared" si="1"/>
        <v/>
      </c>
      <c r="R13" s="51" t="str">
        <f t="shared" si="2"/>
        <v/>
      </c>
      <c r="S13" s="51" t="str">
        <f t="shared" si="3"/>
        <v/>
      </c>
      <c r="T13" s="10"/>
    </row>
    <row r="14" spans="1:20" x14ac:dyDescent="0.2">
      <c r="A14" s="10" t="s">
        <v>103</v>
      </c>
      <c r="B14" s="10">
        <v>4</v>
      </c>
      <c r="C14" s="10"/>
      <c r="D14" s="10"/>
      <c r="E14" s="10"/>
      <c r="F14" s="10"/>
      <c r="G14" s="10"/>
      <c r="H14" s="10">
        <v>1</v>
      </c>
      <c r="I14" s="10">
        <v>3</v>
      </c>
      <c r="J14" s="10"/>
      <c r="K14" s="55">
        <f t="shared" si="0"/>
        <v>0</v>
      </c>
      <c r="L14" s="57"/>
      <c r="M14" s="57"/>
      <c r="N14" s="58"/>
      <c r="O14" s="58"/>
      <c r="P14" s="58"/>
      <c r="Q14" s="51" t="str">
        <f t="shared" si="1"/>
        <v/>
      </c>
      <c r="R14" s="51" t="str">
        <f t="shared" si="2"/>
        <v/>
      </c>
      <c r="S14" s="51" t="str">
        <f t="shared" si="3"/>
        <v/>
      </c>
      <c r="T14" s="10"/>
    </row>
    <row r="15" spans="1:20" x14ac:dyDescent="0.2">
      <c r="A15" s="10" t="s">
        <v>104</v>
      </c>
      <c r="B15" s="10">
        <v>2</v>
      </c>
      <c r="C15" s="10">
        <v>2</v>
      </c>
      <c r="D15" s="10"/>
      <c r="E15" s="10"/>
      <c r="F15" s="10"/>
      <c r="G15" s="10"/>
      <c r="H15" s="10">
        <v>1</v>
      </c>
      <c r="I15" s="10"/>
      <c r="J15" s="10">
        <v>3</v>
      </c>
      <c r="K15" s="55">
        <f t="shared" si="0"/>
        <v>3</v>
      </c>
      <c r="L15" s="57"/>
      <c r="M15" s="57"/>
      <c r="N15" s="58"/>
      <c r="O15" s="58"/>
      <c r="P15" s="58"/>
      <c r="Q15" s="51" t="str">
        <f t="shared" si="1"/>
        <v/>
      </c>
      <c r="R15" s="51" t="str">
        <f t="shared" si="2"/>
        <v/>
      </c>
      <c r="S15" s="51" t="str">
        <f t="shared" si="3"/>
        <v/>
      </c>
      <c r="T15" s="10"/>
    </row>
    <row r="16" spans="1:20" x14ac:dyDescent="0.2">
      <c r="A16" s="10" t="s">
        <v>105</v>
      </c>
      <c r="B16" s="10">
        <v>3</v>
      </c>
      <c r="C16" s="10"/>
      <c r="D16" s="10"/>
      <c r="E16" s="10"/>
      <c r="F16" s="10"/>
      <c r="G16" s="10"/>
      <c r="H16" s="10"/>
      <c r="I16" s="10"/>
      <c r="J16" s="10">
        <v>3</v>
      </c>
      <c r="K16" s="55">
        <f t="shared" si="0"/>
        <v>3</v>
      </c>
      <c r="L16" s="57"/>
      <c r="M16" s="57"/>
      <c r="N16" s="58"/>
      <c r="O16" s="58"/>
      <c r="P16" s="58"/>
      <c r="Q16" s="51" t="str">
        <f t="shared" si="1"/>
        <v/>
      </c>
      <c r="R16" s="51" t="str">
        <f t="shared" si="2"/>
        <v/>
      </c>
      <c r="S16" s="51" t="str">
        <f t="shared" si="3"/>
        <v/>
      </c>
      <c r="T16" s="10"/>
    </row>
    <row r="17" spans="1:20" x14ac:dyDescent="0.2">
      <c r="A17" s="10" t="s">
        <v>106</v>
      </c>
      <c r="B17" s="10"/>
      <c r="C17" s="10"/>
      <c r="D17" s="10">
        <v>11</v>
      </c>
      <c r="E17" s="10"/>
      <c r="F17" s="10"/>
      <c r="G17" s="10">
        <v>7</v>
      </c>
      <c r="H17" s="10">
        <v>1</v>
      </c>
      <c r="I17" s="10">
        <v>1</v>
      </c>
      <c r="J17" s="10">
        <v>2</v>
      </c>
      <c r="K17" s="55">
        <f t="shared" si="0"/>
        <v>2</v>
      </c>
      <c r="L17" s="57">
        <f>'Bishopstone Receipts'!F46</f>
        <v>0.38749999999999996</v>
      </c>
      <c r="M17" s="57">
        <v>7</v>
      </c>
      <c r="N17" s="58"/>
      <c r="O17" s="58"/>
      <c r="P17" s="58"/>
      <c r="Q17" s="51">
        <f t="shared" si="1"/>
        <v>5.5357142857142848E-2</v>
      </c>
      <c r="R17" s="51">
        <f t="shared" si="2"/>
        <v>0.60892857142857137</v>
      </c>
      <c r="S17" s="51">
        <f t="shared" si="3"/>
        <v>0.38749999999999996</v>
      </c>
      <c r="T17" s="10"/>
    </row>
    <row r="18" spans="1:20" x14ac:dyDescent="0.2">
      <c r="A18" s="10" t="s">
        <v>107</v>
      </c>
      <c r="B18" s="10">
        <v>275</v>
      </c>
      <c r="C18" s="10">
        <v>81</v>
      </c>
      <c r="D18" s="10"/>
      <c r="E18" s="10"/>
      <c r="F18" s="10"/>
      <c r="G18" s="10">
        <v>27</v>
      </c>
      <c r="H18" s="10">
        <v>26</v>
      </c>
      <c r="I18" s="10">
        <v>2</v>
      </c>
      <c r="J18" s="10">
        <v>301</v>
      </c>
      <c r="K18" s="55">
        <f t="shared" si="0"/>
        <v>301</v>
      </c>
      <c r="L18" s="57">
        <f>'Bishopstone Receipts'!F48</f>
        <v>0.17499999999999999</v>
      </c>
      <c r="M18" s="57">
        <v>6</v>
      </c>
      <c r="N18" s="58">
        <f>'Bishopstone Receipts'!F47/3</f>
        <v>0.90138888888888902</v>
      </c>
      <c r="O18" s="58">
        <v>21</v>
      </c>
      <c r="P18" s="58"/>
      <c r="Q18" s="51">
        <f t="shared" si="1"/>
        <v>3.9866255144032928E-2</v>
      </c>
      <c r="R18" s="51">
        <f t="shared" si="2"/>
        <v>0</v>
      </c>
      <c r="S18" s="51">
        <f t="shared" si="3"/>
        <v>1.0763888888888891</v>
      </c>
      <c r="T18" s="10" t="s">
        <v>321</v>
      </c>
    </row>
    <row r="19" spans="1:20" x14ac:dyDescent="0.2">
      <c r="A19" s="10" t="s">
        <v>108</v>
      </c>
      <c r="B19" s="10">
        <v>4</v>
      </c>
      <c r="C19" s="10"/>
      <c r="D19" s="10"/>
      <c r="E19" s="10"/>
      <c r="F19" s="10"/>
      <c r="G19" s="10"/>
      <c r="H19" s="10"/>
      <c r="I19" s="10"/>
      <c r="J19" s="10">
        <v>4</v>
      </c>
      <c r="K19" s="55">
        <f t="shared" si="0"/>
        <v>4</v>
      </c>
      <c r="L19" s="57"/>
      <c r="M19" s="57"/>
      <c r="N19" s="58"/>
      <c r="O19" s="58"/>
      <c r="P19" s="58"/>
      <c r="Q19" s="51" t="str">
        <f t="shared" si="1"/>
        <v/>
      </c>
      <c r="R19" s="51" t="str">
        <f t="shared" si="2"/>
        <v/>
      </c>
      <c r="S19" s="51" t="str">
        <f t="shared" si="3"/>
        <v/>
      </c>
      <c r="T19" s="10"/>
    </row>
    <row r="20" spans="1:20" x14ac:dyDescent="0.2">
      <c r="A20" s="10" t="s">
        <v>109</v>
      </c>
      <c r="B20" s="10">
        <v>340</v>
      </c>
      <c r="C20" s="10">
        <v>71</v>
      </c>
      <c r="D20" s="10"/>
      <c r="E20" s="10"/>
      <c r="F20" s="10"/>
      <c r="G20" s="10">
        <v>40</v>
      </c>
      <c r="H20" s="10">
        <v>14</v>
      </c>
      <c r="I20" s="10"/>
      <c r="J20" s="10">
        <v>357</v>
      </c>
      <c r="K20" s="55">
        <f t="shared" si="0"/>
        <v>357</v>
      </c>
      <c r="L20" s="57">
        <f>'Bishopstone Receipts'!F47*2/3</f>
        <v>1.802777777777778</v>
      </c>
      <c r="M20" s="57">
        <v>40</v>
      </c>
      <c r="N20" s="58"/>
      <c r="O20" s="58"/>
      <c r="P20" s="58"/>
      <c r="Q20" s="51">
        <f t="shared" si="1"/>
        <v>4.5069444444444454E-2</v>
      </c>
      <c r="R20" s="51">
        <f t="shared" si="2"/>
        <v>0</v>
      </c>
      <c r="S20" s="51">
        <f t="shared" si="3"/>
        <v>1.802777777777778</v>
      </c>
      <c r="T20" s="10" t="s">
        <v>321</v>
      </c>
    </row>
    <row r="21" spans="1:20" x14ac:dyDescent="0.2">
      <c r="A21" s="10" t="s">
        <v>110</v>
      </c>
      <c r="B21" s="10">
        <v>158</v>
      </c>
      <c r="C21" s="10"/>
      <c r="D21" s="10"/>
      <c r="E21" s="10"/>
      <c r="F21" s="10"/>
      <c r="G21" s="10"/>
      <c r="H21" s="10">
        <v>6</v>
      </c>
      <c r="I21" s="10">
        <v>152</v>
      </c>
      <c r="J21" s="10">
        <v>0</v>
      </c>
      <c r="K21" s="55">
        <f t="shared" si="0"/>
        <v>0</v>
      </c>
      <c r="L21" s="57"/>
      <c r="M21" s="57"/>
      <c r="N21" s="58"/>
      <c r="O21" s="58"/>
      <c r="P21" s="58"/>
      <c r="Q21" s="51" t="str">
        <f t="shared" si="1"/>
        <v/>
      </c>
      <c r="R21" s="51" t="str">
        <f t="shared" si="2"/>
        <v/>
      </c>
      <c r="S21" s="51" t="str">
        <f t="shared" si="3"/>
        <v/>
      </c>
      <c r="T21" s="10"/>
    </row>
    <row r="22" spans="1:20" x14ac:dyDescent="0.2">
      <c r="A22" s="10" t="s">
        <v>111</v>
      </c>
      <c r="B22" s="10"/>
      <c r="C22" s="10"/>
      <c r="D22" s="10">
        <v>276</v>
      </c>
      <c r="E22" s="10"/>
      <c r="F22" s="10">
        <v>7</v>
      </c>
      <c r="G22" s="10">
        <v>50</v>
      </c>
      <c r="H22" s="10">
        <v>18</v>
      </c>
      <c r="I22" s="10">
        <v>30</v>
      </c>
      <c r="J22" s="10">
        <v>171</v>
      </c>
      <c r="K22" s="55">
        <f t="shared" si="0"/>
        <v>171</v>
      </c>
      <c r="L22" s="57">
        <f>'Bishopstone Receipts'!F49</f>
        <v>1.1208333333333333</v>
      </c>
      <c r="M22" s="57">
        <v>50</v>
      </c>
      <c r="N22" s="58"/>
      <c r="O22" s="58"/>
      <c r="P22" s="58"/>
      <c r="Q22" s="51">
        <f t="shared" si="1"/>
        <v>2.2416666666666668E-2</v>
      </c>
      <c r="R22" s="51">
        <f t="shared" si="2"/>
        <v>6.1870000000000003</v>
      </c>
      <c r="S22" s="51">
        <f t="shared" si="3"/>
        <v>1.1208333333333333</v>
      </c>
      <c r="T22" s="10" t="s">
        <v>316</v>
      </c>
    </row>
    <row r="23" spans="1:20" x14ac:dyDescent="0.2">
      <c r="A23" s="10" t="s">
        <v>112</v>
      </c>
      <c r="B23" s="10"/>
      <c r="C23" s="10"/>
      <c r="D23" s="10"/>
      <c r="E23" s="10"/>
      <c r="F23" s="10"/>
      <c r="G23" s="10"/>
      <c r="H23" s="10"/>
      <c r="I23" s="10"/>
      <c r="J23" s="10"/>
      <c r="K23" s="55">
        <f t="shared" si="0"/>
        <v>0</v>
      </c>
      <c r="L23" s="57"/>
      <c r="M23" s="57"/>
      <c r="N23" s="58"/>
      <c r="O23" s="58"/>
      <c r="P23" s="58"/>
      <c r="Q23" s="51" t="str">
        <f t="shared" si="1"/>
        <v/>
      </c>
      <c r="R23" s="51" t="str">
        <f t="shared" si="2"/>
        <v/>
      </c>
      <c r="S23" s="51" t="str">
        <f t="shared" si="3"/>
        <v/>
      </c>
      <c r="T23" s="10"/>
    </row>
    <row r="24" spans="1:20" x14ac:dyDescent="0.2">
      <c r="A24" s="10" t="s">
        <v>113</v>
      </c>
      <c r="B24" s="10"/>
      <c r="C24" s="10"/>
      <c r="D24" s="10"/>
      <c r="E24" s="10"/>
      <c r="F24" s="10"/>
      <c r="G24" s="10"/>
      <c r="H24" s="10"/>
      <c r="I24" s="10"/>
      <c r="J24" s="10"/>
      <c r="K24" s="55">
        <f t="shared" si="0"/>
        <v>0</v>
      </c>
      <c r="L24" s="57"/>
      <c r="M24" s="57"/>
      <c r="N24" s="58"/>
      <c r="O24" s="58"/>
      <c r="P24" s="58"/>
      <c r="Q24" s="51" t="str">
        <f t="shared" si="1"/>
        <v/>
      </c>
      <c r="R24" s="51" t="str">
        <f t="shared" si="2"/>
        <v/>
      </c>
      <c r="S24" s="51" t="str">
        <f t="shared" si="3"/>
        <v/>
      </c>
      <c r="T24" s="10"/>
    </row>
    <row r="25" spans="1:20" x14ac:dyDescent="0.2">
      <c r="A25" s="10" t="s">
        <v>114</v>
      </c>
      <c r="B25" s="10"/>
      <c r="C25" s="10"/>
      <c r="D25" s="10"/>
      <c r="E25" s="10"/>
      <c r="F25" s="10"/>
      <c r="G25" s="10"/>
      <c r="H25" s="10"/>
      <c r="I25" s="10"/>
      <c r="J25" s="10"/>
      <c r="K25" s="55">
        <f t="shared" si="0"/>
        <v>0</v>
      </c>
      <c r="L25" s="57"/>
      <c r="M25" s="57"/>
      <c r="N25" s="58"/>
      <c r="O25" s="58"/>
      <c r="P25" s="58"/>
      <c r="Q25" s="51" t="str">
        <f t="shared" si="1"/>
        <v/>
      </c>
      <c r="R25" s="51" t="str">
        <f t="shared" si="2"/>
        <v/>
      </c>
      <c r="S25" s="51" t="str">
        <f t="shared" si="3"/>
        <v/>
      </c>
      <c r="T25" s="10"/>
    </row>
    <row r="26" spans="1:20" x14ac:dyDescent="0.2">
      <c r="A26" s="10" t="s">
        <v>115</v>
      </c>
      <c r="B26" s="10"/>
      <c r="C26" s="10"/>
      <c r="D26" s="10"/>
      <c r="E26" s="10"/>
      <c r="F26" s="10"/>
      <c r="G26" s="10"/>
      <c r="H26" s="10"/>
      <c r="I26" s="10"/>
      <c r="J26" s="10"/>
      <c r="K26" s="55">
        <f t="shared" si="0"/>
        <v>0</v>
      </c>
      <c r="L26" s="57"/>
      <c r="M26" s="57"/>
      <c r="N26" s="58"/>
      <c r="O26" s="58"/>
      <c r="P26" s="58"/>
      <c r="Q26" s="51" t="str">
        <f t="shared" si="1"/>
        <v/>
      </c>
      <c r="R26" s="51" t="str">
        <f t="shared" si="2"/>
        <v/>
      </c>
      <c r="S26" s="51" t="str">
        <f t="shared" si="3"/>
        <v/>
      </c>
      <c r="T26" s="10"/>
    </row>
    <row r="27" spans="1:20" x14ac:dyDescent="0.2">
      <c r="A27" s="10" t="s">
        <v>116</v>
      </c>
      <c r="B27" s="10"/>
      <c r="C27" s="10"/>
      <c r="D27" s="10"/>
      <c r="E27" s="10"/>
      <c r="F27" s="10"/>
      <c r="G27" s="10"/>
      <c r="H27" s="10"/>
      <c r="I27" s="10"/>
      <c r="J27" s="10"/>
      <c r="K27" s="55">
        <f t="shared" si="0"/>
        <v>0</v>
      </c>
      <c r="L27" s="57"/>
      <c r="M27" s="57"/>
      <c r="N27" s="58"/>
      <c r="O27" s="58"/>
      <c r="P27" s="58"/>
      <c r="Q27" s="51" t="str">
        <f t="shared" si="1"/>
        <v/>
      </c>
      <c r="R27" s="51" t="str">
        <f t="shared" si="2"/>
        <v/>
      </c>
      <c r="S27" s="51" t="str">
        <f t="shared" si="3"/>
        <v/>
      </c>
      <c r="T27" s="10"/>
    </row>
    <row r="28" spans="1:20" x14ac:dyDescent="0.2">
      <c r="A28" s="10" t="s">
        <v>117</v>
      </c>
      <c r="B28" s="10"/>
      <c r="C28" s="10"/>
      <c r="D28" s="10"/>
      <c r="E28" s="10"/>
      <c r="F28" s="10"/>
      <c r="G28" s="10"/>
      <c r="H28" s="10"/>
      <c r="I28" s="10"/>
      <c r="J28" s="10"/>
      <c r="K28" s="55">
        <f t="shared" si="0"/>
        <v>0</v>
      </c>
      <c r="L28" s="57"/>
      <c r="M28" s="57"/>
      <c r="N28" s="58"/>
      <c r="O28" s="58"/>
      <c r="P28" s="58"/>
      <c r="Q28" s="51" t="str">
        <f t="shared" si="1"/>
        <v/>
      </c>
      <c r="R28" s="51" t="str">
        <f t="shared" si="2"/>
        <v/>
      </c>
      <c r="S28" s="51" t="str">
        <f t="shared" si="3"/>
        <v/>
      </c>
      <c r="T28" s="10"/>
    </row>
    <row r="29" spans="1:20" x14ac:dyDescent="0.2">
      <c r="A29" s="10" t="s">
        <v>118</v>
      </c>
      <c r="B29" s="10"/>
      <c r="C29" s="10"/>
      <c r="D29" s="10"/>
      <c r="E29" s="10"/>
      <c r="F29" s="10"/>
      <c r="G29" s="10"/>
      <c r="H29" s="10"/>
      <c r="I29" s="10"/>
      <c r="J29" s="10"/>
      <c r="K29" s="55">
        <f t="shared" si="0"/>
        <v>0</v>
      </c>
      <c r="L29" s="51"/>
      <c r="M29" s="51"/>
      <c r="N29" s="10"/>
      <c r="O29" s="10"/>
      <c r="P29" s="10"/>
      <c r="Q29" s="51" t="str">
        <f t="shared" si="1"/>
        <v/>
      </c>
      <c r="R29" s="51" t="str">
        <f t="shared" si="2"/>
        <v/>
      </c>
      <c r="S29" s="51" t="str">
        <f t="shared" si="3"/>
        <v/>
      </c>
      <c r="T29" s="10"/>
    </row>
    <row r="30" spans="1:20" s="20" customFormat="1" x14ac:dyDescent="0.2">
      <c r="A30" s="94" t="s">
        <v>10</v>
      </c>
      <c r="B30" s="94"/>
      <c r="C30" s="94"/>
      <c r="D30" s="94"/>
      <c r="E30" s="94"/>
      <c r="F30" s="94"/>
      <c r="G30" s="94"/>
      <c r="H30" s="94"/>
      <c r="I30" s="94"/>
      <c r="J30" s="94"/>
      <c r="K30" s="95">
        <f t="shared" si="0"/>
        <v>0</v>
      </c>
      <c r="L30" s="96"/>
      <c r="M30" s="96"/>
      <c r="N30" s="94"/>
      <c r="O30" s="94"/>
      <c r="P30" s="94"/>
      <c r="Q30" s="96" t="str">
        <f t="shared" si="1"/>
        <v/>
      </c>
      <c r="R30" s="96" t="str">
        <f t="shared" si="2"/>
        <v/>
      </c>
      <c r="S30" s="96">
        <f>SUM(S4:S29)</f>
        <v>4.6625000000000005</v>
      </c>
      <c r="T30" s="94"/>
    </row>
    <row r="31" spans="1:20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55"/>
      <c r="L31" s="51"/>
      <c r="M31" s="51"/>
      <c r="N31" s="10"/>
      <c r="O31" s="10"/>
      <c r="P31" s="10"/>
      <c r="Q31" s="51"/>
      <c r="R31" s="51"/>
      <c r="S31" s="51"/>
      <c r="T31" s="10"/>
    </row>
    <row r="32" spans="1:20" ht="17" x14ac:dyDescent="0.2">
      <c r="A32" s="54" t="s">
        <v>119</v>
      </c>
      <c r="B32" s="49"/>
      <c r="C32" s="49"/>
      <c r="D32" s="49"/>
      <c r="E32" s="49"/>
      <c r="F32" s="10"/>
      <c r="G32" s="10"/>
      <c r="H32" s="10"/>
      <c r="I32" s="10"/>
      <c r="J32" s="10"/>
      <c r="K32" s="55">
        <f t="shared" si="0"/>
        <v>0</v>
      </c>
      <c r="L32" s="51"/>
      <c r="M32" s="51"/>
      <c r="N32" s="10"/>
      <c r="O32" s="10"/>
      <c r="P32" s="10"/>
      <c r="Q32" s="51" t="str">
        <f t="shared" si="1"/>
        <v/>
      </c>
      <c r="R32" s="51" t="str">
        <f t="shared" si="2"/>
        <v/>
      </c>
      <c r="S32" s="51" t="str">
        <f t="shared" si="3"/>
        <v/>
      </c>
      <c r="T32" s="10"/>
    </row>
    <row r="33" spans="1:20" ht="17" x14ac:dyDescent="0.2">
      <c r="A33" s="53" t="s">
        <v>166</v>
      </c>
      <c r="B33" s="10"/>
      <c r="C33" s="10"/>
      <c r="D33" s="10">
        <v>684</v>
      </c>
      <c r="E33" s="10"/>
      <c r="F33" s="10"/>
      <c r="G33" s="10"/>
      <c r="H33" s="10"/>
      <c r="I33" s="10">
        <f>615+69</f>
        <v>684</v>
      </c>
      <c r="J33" s="10">
        <v>0</v>
      </c>
      <c r="K33" s="55">
        <f t="shared" si="0"/>
        <v>0</v>
      </c>
      <c r="L33" s="51"/>
      <c r="M33" s="51"/>
      <c r="N33" s="10"/>
      <c r="O33" s="10"/>
      <c r="P33" s="10"/>
      <c r="Q33" s="27">
        <v>0.02</v>
      </c>
      <c r="R33" s="51">
        <f t="shared" si="2"/>
        <v>13.68</v>
      </c>
      <c r="S33" s="51">
        <f t="shared" si="3"/>
        <v>0</v>
      </c>
      <c r="T33" s="10" t="s">
        <v>317</v>
      </c>
    </row>
    <row r="34" spans="1:20" x14ac:dyDescent="0.2">
      <c r="A34" s="10" t="s">
        <v>120</v>
      </c>
      <c r="B34" s="10"/>
      <c r="C34" s="10"/>
      <c r="D34" s="10"/>
      <c r="E34" s="10"/>
      <c r="F34" s="10"/>
      <c r="G34" s="10"/>
      <c r="H34" s="10"/>
      <c r="I34" s="10"/>
      <c r="J34" s="10"/>
      <c r="K34" s="55">
        <f t="shared" si="0"/>
        <v>0</v>
      </c>
      <c r="L34" s="51"/>
      <c r="M34" s="51"/>
      <c r="N34" s="10"/>
      <c r="O34" s="10"/>
      <c r="P34" s="10"/>
      <c r="Q34" s="51" t="str">
        <f t="shared" si="1"/>
        <v/>
      </c>
      <c r="R34" s="51" t="str">
        <f t="shared" si="2"/>
        <v/>
      </c>
      <c r="S34" s="51" t="str">
        <f t="shared" si="3"/>
        <v/>
      </c>
      <c r="T34" s="10"/>
    </row>
    <row r="35" spans="1:20" x14ac:dyDescent="0.2">
      <c r="A35" s="10" t="s">
        <v>121</v>
      </c>
      <c r="B35" s="10"/>
      <c r="C35" s="10"/>
      <c r="D35" s="10">
        <v>237</v>
      </c>
      <c r="E35" s="10"/>
      <c r="F35" s="10"/>
      <c r="G35" s="10"/>
      <c r="H35" s="10"/>
      <c r="I35" s="10">
        <v>237</v>
      </c>
      <c r="J35" s="10">
        <v>0</v>
      </c>
      <c r="K35" s="55">
        <f t="shared" si="0"/>
        <v>0</v>
      </c>
      <c r="L35" s="51"/>
      <c r="M35" s="51"/>
      <c r="N35" s="10"/>
      <c r="O35" s="10"/>
      <c r="P35" s="10"/>
      <c r="Q35" s="27">
        <v>0.01</v>
      </c>
      <c r="R35" s="51">
        <f t="shared" si="2"/>
        <v>2.37</v>
      </c>
      <c r="S35" s="51">
        <f t="shared" si="3"/>
        <v>0</v>
      </c>
      <c r="T35" s="10" t="s">
        <v>318</v>
      </c>
    </row>
    <row r="36" spans="1:20" x14ac:dyDescent="0.2">
      <c r="A36" s="10" t="s">
        <v>122</v>
      </c>
      <c r="B36" s="10"/>
      <c r="C36" s="10"/>
      <c r="D36" s="51">
        <f>7.5*Assumptions!E7</f>
        <v>0.5357142857142857</v>
      </c>
      <c r="E36" s="10"/>
      <c r="F36" s="10"/>
      <c r="G36" s="51">
        <f>D36</f>
        <v>0.5357142857142857</v>
      </c>
      <c r="H36" s="51"/>
      <c r="I36" s="51"/>
      <c r="J36" s="51">
        <v>0</v>
      </c>
      <c r="K36" s="56">
        <f t="shared" si="0"/>
        <v>0</v>
      </c>
      <c r="L36" s="51">
        <f>'Bishopstone Receipts'!F56</f>
        <v>0.53333333333333333</v>
      </c>
      <c r="M36" s="51">
        <f>P36</f>
        <v>0.5357142857142857</v>
      </c>
      <c r="N36" s="51"/>
      <c r="O36" s="51"/>
      <c r="P36" s="51">
        <f>G36</f>
        <v>0.5357142857142857</v>
      </c>
      <c r="Q36" s="51">
        <f t="shared" si="1"/>
        <v>0.99555555555555553</v>
      </c>
      <c r="R36" s="51">
        <f t="shared" si="2"/>
        <v>0.53333333333333333</v>
      </c>
      <c r="S36" s="51">
        <f t="shared" si="3"/>
        <v>0.53333333333333333</v>
      </c>
      <c r="T36" s="10"/>
    </row>
    <row r="37" spans="1:20" x14ac:dyDescent="0.2">
      <c r="A37" s="10" t="s">
        <v>156</v>
      </c>
      <c r="B37" s="10"/>
      <c r="C37" s="10"/>
      <c r="D37" s="10"/>
      <c r="E37" s="10"/>
      <c r="F37" s="10"/>
      <c r="G37" s="10"/>
      <c r="H37" s="10"/>
      <c r="I37" s="10"/>
      <c r="J37" s="10"/>
      <c r="K37" s="55">
        <f t="shared" si="0"/>
        <v>0</v>
      </c>
      <c r="L37" s="51"/>
      <c r="M37" s="51"/>
      <c r="N37" s="10"/>
      <c r="O37" s="10"/>
      <c r="P37" s="10"/>
      <c r="Q37" s="51" t="str">
        <f t="shared" si="1"/>
        <v/>
      </c>
      <c r="R37" s="51" t="str">
        <f t="shared" si="2"/>
        <v/>
      </c>
      <c r="S37" s="51" t="str">
        <f t="shared" si="3"/>
        <v/>
      </c>
      <c r="T37" s="10"/>
    </row>
    <row r="38" spans="1:20" s="20" customFormat="1" x14ac:dyDescent="0.2">
      <c r="A38" s="94" t="s">
        <v>10</v>
      </c>
      <c r="B38" s="94"/>
      <c r="C38" s="94"/>
      <c r="D38" s="94"/>
      <c r="E38" s="94"/>
      <c r="F38" s="94"/>
      <c r="G38" s="94"/>
      <c r="H38" s="94"/>
      <c r="I38" s="94"/>
      <c r="J38" s="94"/>
      <c r="K38" s="95">
        <f t="shared" si="0"/>
        <v>0</v>
      </c>
      <c r="L38" s="96"/>
      <c r="M38" s="96"/>
      <c r="N38" s="94"/>
      <c r="O38" s="94"/>
      <c r="P38" s="94"/>
      <c r="Q38" s="96" t="str">
        <f t="shared" si="1"/>
        <v/>
      </c>
      <c r="R38" s="96">
        <f>SUM(R33:R37)</f>
        <v>16.583333333333336</v>
      </c>
      <c r="S38" s="96"/>
      <c r="T38" s="94"/>
    </row>
    <row r="39" spans="1:20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55"/>
      <c r="L39" s="51"/>
      <c r="M39" s="51"/>
      <c r="N39" s="10"/>
      <c r="O39" s="10"/>
      <c r="P39" s="10"/>
      <c r="Q39" s="51"/>
      <c r="R39" s="51"/>
      <c r="S39" s="51"/>
      <c r="T39" s="10"/>
    </row>
    <row r="40" spans="1:20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55"/>
      <c r="L40" s="51"/>
      <c r="M40" s="51"/>
      <c r="N40" s="10"/>
      <c r="O40" s="10"/>
      <c r="P40" s="10"/>
      <c r="Q40" s="51"/>
      <c r="R40" s="51"/>
      <c r="S40" s="51"/>
      <c r="T40" s="10"/>
    </row>
    <row r="41" spans="1:20" ht="17" x14ac:dyDescent="0.2">
      <c r="A41" s="54" t="s">
        <v>123</v>
      </c>
      <c r="B41" s="49"/>
      <c r="C41" s="49"/>
      <c r="D41" s="10"/>
      <c r="E41" s="10"/>
      <c r="F41" s="10"/>
      <c r="G41" s="10"/>
      <c r="H41" s="10"/>
      <c r="I41" s="10"/>
      <c r="J41" s="10"/>
      <c r="K41" s="55">
        <f t="shared" si="0"/>
        <v>0</v>
      </c>
      <c r="L41" s="51"/>
      <c r="M41" s="51"/>
      <c r="N41" s="10"/>
      <c r="O41" s="10"/>
      <c r="P41" s="10"/>
      <c r="Q41" s="51" t="str">
        <f t="shared" si="1"/>
        <v/>
      </c>
      <c r="R41" s="51" t="str">
        <f t="shared" si="2"/>
        <v/>
      </c>
      <c r="S41" s="51" t="str">
        <f t="shared" si="3"/>
        <v/>
      </c>
      <c r="T41" s="10"/>
    </row>
    <row r="42" spans="1:20" x14ac:dyDescent="0.2">
      <c r="A42" s="10" t="s">
        <v>124</v>
      </c>
      <c r="B42" s="10"/>
      <c r="C42" s="10"/>
      <c r="D42" s="10"/>
      <c r="E42" s="10"/>
      <c r="F42" s="10"/>
      <c r="G42" s="10"/>
      <c r="H42" s="10"/>
      <c r="I42" s="10"/>
      <c r="J42" s="10"/>
      <c r="K42" s="55">
        <f t="shared" si="0"/>
        <v>0</v>
      </c>
      <c r="L42" s="51"/>
      <c r="M42" s="51"/>
      <c r="N42" s="10"/>
      <c r="O42" s="51"/>
      <c r="P42" s="51"/>
      <c r="Q42" s="51" t="str">
        <f t="shared" si="1"/>
        <v/>
      </c>
      <c r="R42" s="51" t="str">
        <f t="shared" si="2"/>
        <v/>
      </c>
      <c r="S42" s="51" t="str">
        <f t="shared" si="3"/>
        <v/>
      </c>
      <c r="T42" s="10"/>
    </row>
    <row r="43" spans="1:20" x14ac:dyDescent="0.2">
      <c r="A43" s="10" t="s">
        <v>198</v>
      </c>
      <c r="B43" s="10"/>
      <c r="C43" s="10"/>
      <c r="D43" s="10">
        <v>1</v>
      </c>
      <c r="F43" s="10"/>
      <c r="G43" s="10">
        <v>1</v>
      </c>
      <c r="H43" s="10"/>
      <c r="I43" s="10"/>
      <c r="J43" s="10">
        <v>0</v>
      </c>
      <c r="K43" s="55">
        <f t="shared" si="0"/>
        <v>0</v>
      </c>
      <c r="L43" s="51">
        <f>'Bishopstone Receipts'!F50</f>
        <v>9.1666666666666674E-2</v>
      </c>
      <c r="M43" s="51">
        <v>1</v>
      </c>
      <c r="N43" s="10"/>
      <c r="O43" s="51"/>
      <c r="P43" s="51"/>
      <c r="Q43" s="51">
        <f t="shared" si="1"/>
        <v>9.1666666666666674E-2</v>
      </c>
      <c r="R43" s="51">
        <f t="shared" si="2"/>
        <v>9.1666666666666674E-2</v>
      </c>
      <c r="S43" s="51">
        <f t="shared" si="3"/>
        <v>9.1666666666666674E-2</v>
      </c>
      <c r="T43" s="10"/>
    </row>
    <row r="44" spans="1:20" x14ac:dyDescent="0.2">
      <c r="A44" s="10" t="s">
        <v>199</v>
      </c>
      <c r="B44" s="10"/>
      <c r="C44" s="10"/>
      <c r="D44" s="10"/>
      <c r="E44" s="10"/>
      <c r="F44" s="10"/>
      <c r="G44" s="10"/>
      <c r="H44" s="10"/>
      <c r="I44" s="10"/>
      <c r="J44" s="10"/>
      <c r="K44" s="55">
        <f t="shared" si="0"/>
        <v>0</v>
      </c>
      <c r="L44" s="51"/>
      <c r="M44" s="51"/>
      <c r="N44" s="10"/>
      <c r="O44" s="10"/>
      <c r="P44" s="10"/>
      <c r="Q44" s="51" t="str">
        <f t="shared" si="1"/>
        <v/>
      </c>
      <c r="R44" s="51" t="str">
        <f t="shared" si="2"/>
        <v/>
      </c>
      <c r="S44" s="51" t="str">
        <f t="shared" si="3"/>
        <v/>
      </c>
      <c r="T44" s="10"/>
    </row>
    <row r="45" spans="1:20" x14ac:dyDescent="0.2">
      <c r="A45" s="10" t="s">
        <v>320</v>
      </c>
      <c r="B45" s="10"/>
      <c r="C45" s="10"/>
      <c r="D45" s="10">
        <v>2</v>
      </c>
      <c r="E45" s="10"/>
      <c r="F45" s="10"/>
      <c r="G45" s="10">
        <v>2</v>
      </c>
      <c r="H45" s="10"/>
      <c r="I45" s="10"/>
      <c r="J45" s="10">
        <v>0</v>
      </c>
      <c r="K45" s="55">
        <f t="shared" si="0"/>
        <v>0</v>
      </c>
      <c r="L45" s="51">
        <f>'Bishopstone Receipts'!F51</f>
        <v>0.10416666666666667</v>
      </c>
      <c r="M45" s="51">
        <v>2</v>
      </c>
      <c r="N45" s="10"/>
      <c r="O45" s="10"/>
      <c r="P45" s="10"/>
      <c r="Q45" s="51">
        <f t="shared" ref="Q45" si="4">IFERROR((L45+N45)/(M45+O45),"")</f>
        <v>5.2083333333333336E-2</v>
      </c>
      <c r="R45" s="51">
        <f t="shared" ref="R45" si="5">IFERROR(D45*Q45,"")</f>
        <v>0.10416666666666667</v>
      </c>
      <c r="S45" s="51">
        <f t="shared" ref="S45" si="6">IFERROR(Q45*G45,"")</f>
        <v>0.10416666666666667</v>
      </c>
      <c r="T45" s="10"/>
    </row>
    <row r="46" spans="1:20" x14ac:dyDescent="0.2">
      <c r="A46" s="10" t="s">
        <v>200</v>
      </c>
      <c r="B46" s="10"/>
      <c r="C46" s="10"/>
      <c r="D46" s="10"/>
      <c r="F46" s="10"/>
      <c r="G46" s="10"/>
      <c r="H46" s="10"/>
      <c r="I46" s="10"/>
      <c r="J46" s="10"/>
      <c r="K46" s="55">
        <f t="shared" si="0"/>
        <v>0</v>
      </c>
      <c r="L46" s="51"/>
      <c r="M46" s="51"/>
      <c r="N46" s="47"/>
      <c r="O46" s="10"/>
      <c r="P46" s="10"/>
      <c r="Q46" s="51" t="str">
        <f t="shared" si="1"/>
        <v/>
      </c>
      <c r="R46" s="51" t="str">
        <f t="shared" si="2"/>
        <v/>
      </c>
      <c r="S46" s="51" t="str">
        <f t="shared" si="3"/>
        <v/>
      </c>
      <c r="T46" s="10"/>
    </row>
    <row r="47" spans="1:20" x14ac:dyDescent="0.2">
      <c r="A47" s="10" t="s">
        <v>201</v>
      </c>
      <c r="B47" s="10"/>
      <c r="C47" s="10"/>
      <c r="D47" s="10"/>
      <c r="E47" s="10"/>
      <c r="F47" s="10"/>
      <c r="G47" s="10"/>
      <c r="H47" s="10"/>
      <c r="I47" s="10"/>
      <c r="J47" s="10"/>
      <c r="K47" s="55">
        <f t="shared" si="0"/>
        <v>0</v>
      </c>
      <c r="L47" s="51"/>
      <c r="M47" s="51"/>
      <c r="N47" s="10"/>
      <c r="O47" s="10"/>
      <c r="P47" s="10"/>
      <c r="Q47" s="51" t="str">
        <f t="shared" si="1"/>
        <v/>
      </c>
      <c r="R47" s="51" t="str">
        <f t="shared" si="2"/>
        <v/>
      </c>
      <c r="S47" s="51" t="str">
        <f t="shared" si="3"/>
        <v/>
      </c>
      <c r="T47" s="10"/>
    </row>
    <row r="48" spans="1:20" x14ac:dyDescent="0.2">
      <c r="A48" s="10" t="s">
        <v>202</v>
      </c>
      <c r="B48" s="10"/>
      <c r="C48" s="10"/>
      <c r="D48" s="10"/>
      <c r="E48" s="10"/>
      <c r="F48" s="10"/>
      <c r="G48" s="10"/>
      <c r="H48" s="10"/>
      <c r="I48" s="10"/>
      <c r="J48" s="10"/>
      <c r="K48" s="55">
        <f t="shared" si="0"/>
        <v>0</v>
      </c>
      <c r="L48" s="51"/>
      <c r="M48" s="51"/>
      <c r="N48" s="10"/>
      <c r="O48" s="10"/>
      <c r="P48" s="10"/>
      <c r="Q48" s="51" t="str">
        <f t="shared" si="1"/>
        <v/>
      </c>
      <c r="R48" s="51" t="str">
        <f t="shared" si="2"/>
        <v/>
      </c>
      <c r="S48" s="51" t="str">
        <f t="shared" si="3"/>
        <v/>
      </c>
      <c r="T48" s="10"/>
    </row>
    <row r="49" spans="1:20" x14ac:dyDescent="0.2">
      <c r="A49" s="59" t="s">
        <v>203</v>
      </c>
      <c r="B49" s="10"/>
      <c r="C49" s="10"/>
      <c r="D49" s="10"/>
      <c r="E49" s="10"/>
      <c r="F49" s="10"/>
      <c r="G49" s="10"/>
      <c r="H49" s="10"/>
      <c r="I49" s="10"/>
      <c r="J49" s="10"/>
      <c r="K49" s="55">
        <f t="shared" si="0"/>
        <v>0</v>
      </c>
      <c r="L49" s="51"/>
      <c r="M49" s="51"/>
      <c r="N49" s="10"/>
      <c r="O49" s="10"/>
      <c r="P49" s="10"/>
      <c r="Q49" s="51" t="str">
        <f t="shared" si="1"/>
        <v/>
      </c>
      <c r="R49" s="51" t="str">
        <f t="shared" si="2"/>
        <v/>
      </c>
      <c r="S49" s="51" t="str">
        <f t="shared" si="3"/>
        <v/>
      </c>
      <c r="T49" s="10"/>
    </row>
    <row r="50" spans="1:20" x14ac:dyDescent="0.2">
      <c r="A50" s="60" t="s">
        <v>204</v>
      </c>
      <c r="B50" s="10"/>
      <c r="C50" s="10"/>
      <c r="D50" s="10"/>
      <c r="E50" s="10"/>
      <c r="F50" s="10"/>
      <c r="G50" s="10"/>
      <c r="H50" s="10"/>
      <c r="I50" s="10"/>
      <c r="J50" s="10"/>
      <c r="K50" s="55">
        <f t="shared" si="0"/>
        <v>0</v>
      </c>
      <c r="L50" s="51"/>
      <c r="M50" s="51"/>
      <c r="N50" s="10"/>
      <c r="O50" s="10"/>
      <c r="P50" s="10"/>
      <c r="Q50" s="51" t="str">
        <f t="shared" si="1"/>
        <v/>
      </c>
      <c r="R50" s="51" t="str">
        <f t="shared" si="2"/>
        <v/>
      </c>
      <c r="S50" s="51" t="str">
        <f t="shared" si="3"/>
        <v/>
      </c>
      <c r="T50" s="10"/>
    </row>
    <row r="51" spans="1:20" x14ac:dyDescent="0.2">
      <c r="A51" s="60" t="s">
        <v>205</v>
      </c>
      <c r="B51" s="10"/>
      <c r="C51" s="10"/>
      <c r="D51" s="10"/>
      <c r="E51" s="10"/>
      <c r="F51" s="10"/>
      <c r="G51" s="10"/>
      <c r="H51" s="10"/>
      <c r="I51" s="10"/>
      <c r="J51" s="10"/>
      <c r="K51" s="55">
        <f t="shared" si="0"/>
        <v>0</v>
      </c>
      <c r="L51" s="51"/>
      <c r="M51" s="51"/>
      <c r="N51" s="10"/>
      <c r="O51" s="10"/>
      <c r="P51" s="10"/>
      <c r="Q51" s="51" t="str">
        <f t="shared" si="1"/>
        <v/>
      </c>
      <c r="R51" s="51" t="str">
        <f t="shared" si="2"/>
        <v/>
      </c>
      <c r="S51" s="51" t="str">
        <f t="shared" si="3"/>
        <v/>
      </c>
      <c r="T51" s="10"/>
    </row>
    <row r="52" spans="1:20" x14ac:dyDescent="0.2">
      <c r="A52" s="60" t="s">
        <v>206</v>
      </c>
      <c r="B52" s="10"/>
      <c r="C52" s="10"/>
      <c r="D52" s="10"/>
      <c r="E52" s="10"/>
      <c r="F52" s="10"/>
      <c r="G52" s="10"/>
      <c r="H52" s="10"/>
      <c r="I52" s="10"/>
      <c r="J52" s="10"/>
      <c r="K52" s="55">
        <f t="shared" si="0"/>
        <v>0</v>
      </c>
      <c r="L52" s="51"/>
      <c r="M52" s="51"/>
      <c r="N52" s="10"/>
      <c r="O52" s="10"/>
      <c r="P52" s="10"/>
      <c r="Q52" s="51" t="str">
        <f t="shared" si="1"/>
        <v/>
      </c>
      <c r="R52" s="51" t="str">
        <f t="shared" si="2"/>
        <v/>
      </c>
      <c r="S52" s="51" t="str">
        <f t="shared" si="3"/>
        <v/>
      </c>
      <c r="T52" s="10"/>
    </row>
    <row r="53" spans="1:20" x14ac:dyDescent="0.2">
      <c r="A53" s="60" t="s">
        <v>207</v>
      </c>
      <c r="B53" s="10"/>
      <c r="C53" s="10"/>
      <c r="D53" s="10"/>
      <c r="E53" s="10"/>
      <c r="F53" s="10"/>
      <c r="G53" s="10"/>
      <c r="H53" s="10"/>
      <c r="I53" s="10"/>
      <c r="J53" s="10"/>
      <c r="K53" s="55">
        <f t="shared" si="0"/>
        <v>0</v>
      </c>
      <c r="L53" s="51"/>
      <c r="M53" s="51"/>
      <c r="N53" s="10"/>
      <c r="O53" s="10"/>
      <c r="P53" s="10"/>
      <c r="Q53" s="51" t="str">
        <f t="shared" si="1"/>
        <v/>
      </c>
      <c r="R53" s="51" t="str">
        <f t="shared" si="2"/>
        <v/>
      </c>
      <c r="S53" s="51" t="str">
        <f t="shared" si="3"/>
        <v/>
      </c>
      <c r="T53" s="10"/>
    </row>
    <row r="54" spans="1:20" x14ac:dyDescent="0.2">
      <c r="A54" s="61" t="s">
        <v>167</v>
      </c>
      <c r="B54" s="10"/>
      <c r="C54" s="10"/>
      <c r="D54" s="10">
        <v>46</v>
      </c>
      <c r="E54" s="10"/>
      <c r="F54" s="10"/>
      <c r="G54" s="10">
        <v>46</v>
      </c>
      <c r="H54" s="10"/>
      <c r="I54" s="10"/>
      <c r="J54" s="10">
        <v>0</v>
      </c>
      <c r="K54" s="55">
        <f t="shared" si="0"/>
        <v>0</v>
      </c>
      <c r="L54" s="51">
        <f>'Bishopstone Receipts'!F52</f>
        <v>0.26250000000000001</v>
      </c>
      <c r="M54" s="51">
        <v>26</v>
      </c>
      <c r="N54" s="47">
        <f>'Bishopstone Receipts'!F53</f>
        <v>8.3333333333333343E-2</v>
      </c>
      <c r="O54" s="10">
        <v>20</v>
      </c>
      <c r="P54" s="10"/>
      <c r="Q54" s="51">
        <f t="shared" si="1"/>
        <v>7.5181159420289858E-3</v>
      </c>
      <c r="R54" s="51">
        <f t="shared" si="2"/>
        <v>0.34583333333333333</v>
      </c>
      <c r="S54" s="51">
        <f t="shared" si="3"/>
        <v>0.34583333333333333</v>
      </c>
      <c r="T54" s="10"/>
    </row>
    <row r="55" spans="1:20" x14ac:dyDescent="0.2">
      <c r="A55" s="60" t="s">
        <v>208</v>
      </c>
      <c r="B55" s="10"/>
      <c r="C55" s="10"/>
      <c r="D55" s="10"/>
      <c r="E55" s="10"/>
      <c r="F55" s="10"/>
      <c r="G55" s="10"/>
      <c r="H55" s="10"/>
      <c r="I55" s="10"/>
      <c r="J55" s="10"/>
      <c r="K55" s="55">
        <f t="shared" si="0"/>
        <v>0</v>
      </c>
      <c r="L55" s="51"/>
      <c r="M55" s="51"/>
      <c r="N55" s="10"/>
      <c r="O55" s="10"/>
      <c r="P55" s="10"/>
      <c r="Q55" s="51" t="str">
        <f t="shared" si="1"/>
        <v/>
      </c>
      <c r="R55" s="51" t="str">
        <f t="shared" si="2"/>
        <v/>
      </c>
      <c r="S55" s="51" t="str">
        <f t="shared" si="3"/>
        <v/>
      </c>
      <c r="T55" s="10"/>
    </row>
    <row r="56" spans="1:20" x14ac:dyDescent="0.2">
      <c r="A56" s="60" t="s">
        <v>209</v>
      </c>
      <c r="B56" s="10"/>
      <c r="C56" s="10"/>
      <c r="D56" s="10"/>
      <c r="E56" s="10"/>
      <c r="F56" s="10"/>
      <c r="G56" s="10"/>
      <c r="H56" s="10"/>
      <c r="I56" s="10"/>
      <c r="J56" s="10"/>
      <c r="K56" s="55">
        <f t="shared" si="0"/>
        <v>0</v>
      </c>
      <c r="L56" s="51"/>
      <c r="M56" s="51"/>
      <c r="N56" s="10"/>
      <c r="O56" s="10"/>
      <c r="P56" s="10"/>
      <c r="Q56" s="51" t="str">
        <f t="shared" si="1"/>
        <v/>
      </c>
      <c r="R56" s="51" t="str">
        <f t="shared" si="2"/>
        <v/>
      </c>
      <c r="S56" s="51" t="str">
        <f t="shared" si="3"/>
        <v/>
      </c>
      <c r="T56" s="10"/>
    </row>
    <row r="57" spans="1:20" x14ac:dyDescent="0.2">
      <c r="A57" s="60" t="s">
        <v>210</v>
      </c>
      <c r="B57" s="10"/>
      <c r="C57" s="10"/>
      <c r="D57" s="10"/>
      <c r="E57" s="10"/>
      <c r="F57" s="10"/>
      <c r="G57" s="10"/>
      <c r="H57" s="10"/>
      <c r="I57" s="10"/>
      <c r="J57" s="10"/>
      <c r="K57" s="55">
        <f t="shared" si="0"/>
        <v>0</v>
      </c>
      <c r="L57" s="51"/>
      <c r="M57" s="51"/>
      <c r="N57" s="10"/>
      <c r="O57" s="10"/>
      <c r="P57" s="10"/>
      <c r="Q57" s="51" t="str">
        <f t="shared" si="1"/>
        <v/>
      </c>
      <c r="R57" s="51" t="str">
        <f t="shared" si="2"/>
        <v/>
      </c>
      <c r="S57" s="51" t="str">
        <f t="shared" si="3"/>
        <v/>
      </c>
      <c r="T57" s="10"/>
    </row>
    <row r="58" spans="1:20" x14ac:dyDescent="0.2">
      <c r="A58" s="60" t="s">
        <v>211</v>
      </c>
      <c r="B58" s="10"/>
      <c r="C58" s="10"/>
      <c r="D58" s="10"/>
      <c r="E58" s="10"/>
      <c r="F58" s="10"/>
      <c r="G58" s="10"/>
      <c r="H58" s="10"/>
      <c r="I58" s="10"/>
      <c r="J58" s="10"/>
      <c r="K58" s="55">
        <f t="shared" si="0"/>
        <v>0</v>
      </c>
      <c r="L58" s="51"/>
      <c r="M58" s="51"/>
      <c r="N58" s="10"/>
      <c r="O58" s="10"/>
      <c r="P58" s="10"/>
      <c r="Q58" s="51" t="str">
        <f t="shared" si="1"/>
        <v/>
      </c>
      <c r="R58" s="51" t="str">
        <f t="shared" si="2"/>
        <v/>
      </c>
      <c r="S58" s="51" t="str">
        <f t="shared" si="3"/>
        <v/>
      </c>
      <c r="T58" s="10"/>
    </row>
    <row r="59" spans="1:20" x14ac:dyDescent="0.2">
      <c r="A59" s="61" t="s">
        <v>125</v>
      </c>
      <c r="B59" s="10"/>
      <c r="C59" s="10"/>
      <c r="D59" s="10"/>
      <c r="E59" s="10"/>
      <c r="F59" s="10"/>
      <c r="G59" s="10"/>
      <c r="H59" s="10"/>
      <c r="I59" s="10"/>
      <c r="J59" s="10"/>
      <c r="K59" s="55">
        <f t="shared" si="0"/>
        <v>0</v>
      </c>
      <c r="L59" s="51"/>
      <c r="M59" s="51"/>
      <c r="N59" s="10"/>
      <c r="O59" s="10"/>
      <c r="P59" s="10"/>
      <c r="Q59" s="51" t="str">
        <f t="shared" si="1"/>
        <v/>
      </c>
      <c r="R59" s="51" t="str">
        <f t="shared" si="2"/>
        <v/>
      </c>
      <c r="S59" s="51" t="str">
        <f t="shared" si="3"/>
        <v/>
      </c>
      <c r="T59" s="10"/>
    </row>
    <row r="60" spans="1:20" x14ac:dyDescent="0.2">
      <c r="A60" s="10" t="s">
        <v>168</v>
      </c>
      <c r="B60" s="10"/>
      <c r="C60" s="10"/>
      <c r="D60" s="10">
        <v>18</v>
      </c>
      <c r="E60" s="10"/>
      <c r="F60" s="10"/>
      <c r="G60" s="10">
        <v>17</v>
      </c>
      <c r="H60" s="10"/>
      <c r="I60" s="10">
        <v>1</v>
      </c>
      <c r="J60" s="10">
        <v>0</v>
      </c>
      <c r="K60" s="55">
        <f t="shared" si="0"/>
        <v>0</v>
      </c>
      <c r="L60" s="51">
        <f>'Bishopstone Receipts'!F54</f>
        <v>3.7499999999999999E-2</v>
      </c>
      <c r="M60" s="51">
        <v>11</v>
      </c>
      <c r="N60" s="47">
        <f>'Bishopstone Receipts'!F55</f>
        <v>4.1666666666666666E-3</v>
      </c>
      <c r="O60" s="10">
        <v>6</v>
      </c>
      <c r="P60" s="10"/>
      <c r="Q60" s="51">
        <f t="shared" si="1"/>
        <v>2.4509803921568627E-3</v>
      </c>
      <c r="R60" s="51">
        <f t="shared" si="2"/>
        <v>4.4117647058823525E-2</v>
      </c>
      <c r="S60" s="51">
        <f t="shared" si="3"/>
        <v>4.1666666666666664E-2</v>
      </c>
      <c r="T60" s="10"/>
    </row>
    <row r="61" spans="1:20" x14ac:dyDescent="0.2">
      <c r="A61" s="10" t="s">
        <v>126</v>
      </c>
      <c r="B61" s="10"/>
      <c r="C61" s="10"/>
      <c r="D61" s="10"/>
      <c r="E61" s="10"/>
      <c r="F61" s="10"/>
      <c r="G61" s="10"/>
      <c r="H61" s="10"/>
      <c r="I61" s="10"/>
      <c r="J61" s="10"/>
      <c r="K61" s="55">
        <f t="shared" si="0"/>
        <v>0</v>
      </c>
      <c r="L61" s="51"/>
      <c r="M61" s="51"/>
      <c r="N61" s="10"/>
      <c r="O61" s="10"/>
      <c r="P61" s="10"/>
      <c r="Q61" s="51" t="str">
        <f t="shared" si="1"/>
        <v/>
      </c>
      <c r="R61" s="51" t="str">
        <f t="shared" si="2"/>
        <v/>
      </c>
      <c r="S61" s="51" t="str">
        <f t="shared" si="3"/>
        <v/>
      </c>
      <c r="T61" s="10"/>
    </row>
    <row r="62" spans="1:20" x14ac:dyDescent="0.2">
      <c r="A62" s="10" t="s">
        <v>127</v>
      </c>
      <c r="B62" s="10"/>
      <c r="C62" s="10"/>
      <c r="D62" s="10"/>
      <c r="E62" s="10"/>
      <c r="F62" s="10"/>
      <c r="G62" s="10"/>
      <c r="H62" s="10"/>
      <c r="I62" s="10"/>
      <c r="J62" s="10"/>
      <c r="K62" s="55">
        <f t="shared" si="0"/>
        <v>0</v>
      </c>
      <c r="L62" s="51"/>
      <c r="M62" s="51"/>
      <c r="N62" s="10"/>
      <c r="O62" s="10"/>
      <c r="P62" s="10"/>
      <c r="Q62" s="51" t="str">
        <f t="shared" si="1"/>
        <v/>
      </c>
      <c r="R62" s="51" t="str">
        <f t="shared" si="2"/>
        <v/>
      </c>
      <c r="S62" s="51" t="str">
        <f t="shared" si="3"/>
        <v/>
      </c>
      <c r="T62" s="10"/>
    </row>
    <row r="63" spans="1:20" s="20" customFormat="1" x14ac:dyDescent="0.2">
      <c r="A63" s="94" t="s">
        <v>10</v>
      </c>
      <c r="B63" s="94"/>
      <c r="C63" s="94"/>
      <c r="D63" s="94"/>
      <c r="E63" s="94"/>
      <c r="F63" s="94"/>
      <c r="G63" s="94"/>
      <c r="H63" s="94"/>
      <c r="I63" s="94"/>
      <c r="J63" s="94"/>
      <c r="K63" s="95">
        <f t="shared" si="0"/>
        <v>0</v>
      </c>
      <c r="L63" s="96"/>
      <c r="M63" s="96"/>
      <c r="N63" s="94"/>
      <c r="O63" s="94"/>
      <c r="P63" s="94"/>
      <c r="Q63" s="96" t="str">
        <f t="shared" si="1"/>
        <v/>
      </c>
      <c r="R63" s="96" t="str">
        <f t="shared" si="2"/>
        <v/>
      </c>
      <c r="S63" s="96">
        <f>SUM(S42:S62)</f>
        <v>0.58333333333333337</v>
      </c>
      <c r="T63" s="94"/>
    </row>
    <row r="64" spans="1:20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55"/>
      <c r="L64" s="51"/>
      <c r="M64" s="51"/>
      <c r="N64" s="10"/>
      <c r="O64" s="10"/>
      <c r="P64" s="10"/>
      <c r="Q64" s="51"/>
      <c r="R64" s="51"/>
      <c r="S64" s="51"/>
      <c r="T64" s="10"/>
    </row>
    <row r="65" spans="1:20" ht="17" x14ac:dyDescent="0.2">
      <c r="A65" s="54" t="s">
        <v>128</v>
      </c>
      <c r="B65" s="49"/>
      <c r="C65" s="49"/>
      <c r="D65" s="10"/>
      <c r="E65" s="10"/>
      <c r="F65" s="10"/>
      <c r="G65" s="10"/>
      <c r="H65" s="10"/>
      <c r="I65" s="10"/>
      <c r="J65" s="10"/>
      <c r="K65" s="55">
        <f t="shared" si="0"/>
        <v>0</v>
      </c>
      <c r="L65" s="51"/>
      <c r="M65" s="51"/>
      <c r="N65" s="10"/>
      <c r="O65" s="10"/>
      <c r="P65" s="10"/>
      <c r="Q65" s="51" t="str">
        <f t="shared" ref="Q65:Q96" si="7">IFERROR((L65+N65)/(M65+O65),"")</f>
        <v/>
      </c>
      <c r="R65" s="51" t="str">
        <f t="shared" ref="R65:R96" si="8">IFERROR(D65*Q65,"")</f>
        <v/>
      </c>
      <c r="S65" s="51" t="str">
        <f t="shared" ref="S65:S96" si="9">IFERROR(Q65*G65,"")</f>
        <v/>
      </c>
      <c r="T65" s="10"/>
    </row>
    <row r="66" spans="1:20" ht="17" x14ac:dyDescent="0.2">
      <c r="A66" s="53" t="s">
        <v>129</v>
      </c>
      <c r="B66" s="10"/>
      <c r="C66" s="10"/>
      <c r="D66" s="10">
        <v>88</v>
      </c>
      <c r="E66" s="10"/>
      <c r="F66" s="10"/>
      <c r="G66" s="10">
        <v>64</v>
      </c>
      <c r="H66" s="10"/>
      <c r="I66" s="10">
        <v>24</v>
      </c>
      <c r="J66" s="10">
        <v>0</v>
      </c>
      <c r="K66" s="55">
        <f t="shared" si="0"/>
        <v>0</v>
      </c>
      <c r="L66" s="51">
        <f>'Bishopstone Receipts'!F60</f>
        <v>0.26666666666666666</v>
      </c>
      <c r="M66" s="51">
        <v>64</v>
      </c>
      <c r="N66" s="10"/>
      <c r="O66" s="10"/>
      <c r="P66" s="10"/>
      <c r="Q66" s="51">
        <f t="shared" si="7"/>
        <v>4.1666666666666666E-3</v>
      </c>
      <c r="R66" s="51">
        <f t="shared" si="8"/>
        <v>0.36666666666666664</v>
      </c>
      <c r="S66" s="51">
        <f t="shared" si="9"/>
        <v>0.26666666666666666</v>
      </c>
      <c r="T66" s="10"/>
    </row>
    <row r="67" spans="1:20" x14ac:dyDescent="0.2">
      <c r="A67" s="10" t="s">
        <v>130</v>
      </c>
      <c r="B67" s="10"/>
      <c r="C67" s="10"/>
      <c r="D67" s="10"/>
      <c r="E67" s="10"/>
      <c r="F67" s="10"/>
      <c r="G67" s="10"/>
      <c r="H67" s="10"/>
      <c r="I67" s="10"/>
      <c r="J67" s="10"/>
      <c r="K67" s="55">
        <f t="shared" si="0"/>
        <v>0</v>
      </c>
      <c r="L67" s="51"/>
      <c r="M67" s="51"/>
      <c r="N67" s="10"/>
      <c r="O67" s="10"/>
      <c r="P67" s="10"/>
      <c r="Q67" s="51" t="str">
        <f t="shared" si="7"/>
        <v/>
      </c>
      <c r="R67" s="51" t="str">
        <f t="shared" si="8"/>
        <v/>
      </c>
      <c r="S67" s="51" t="str">
        <f t="shared" si="9"/>
        <v/>
      </c>
      <c r="T67" s="10"/>
    </row>
    <row r="68" spans="1:20" x14ac:dyDescent="0.2">
      <c r="A68" s="10" t="s">
        <v>131</v>
      </c>
      <c r="B68" s="10"/>
      <c r="C68" s="10"/>
      <c r="D68" s="10"/>
      <c r="E68" s="10"/>
      <c r="F68" s="10"/>
      <c r="G68" s="10"/>
      <c r="H68" s="10"/>
      <c r="I68" s="10"/>
      <c r="J68" s="10"/>
      <c r="K68" s="55">
        <f t="shared" si="0"/>
        <v>0</v>
      </c>
      <c r="L68" s="51"/>
      <c r="M68" s="51"/>
      <c r="N68" s="10"/>
      <c r="O68" s="10"/>
      <c r="P68" s="10"/>
      <c r="Q68" s="51" t="str">
        <f t="shared" si="7"/>
        <v/>
      </c>
      <c r="R68" s="51" t="str">
        <f t="shared" si="8"/>
        <v/>
      </c>
      <c r="S68" s="51" t="str">
        <f t="shared" si="9"/>
        <v/>
      </c>
      <c r="T68" s="10"/>
    </row>
    <row r="69" spans="1:20" x14ac:dyDescent="0.2">
      <c r="A69" s="10" t="s">
        <v>132</v>
      </c>
      <c r="B69" s="10"/>
      <c r="C69" s="10"/>
      <c r="D69" s="10"/>
      <c r="E69" s="10"/>
      <c r="F69" s="10"/>
      <c r="G69" s="10"/>
      <c r="H69" s="10"/>
      <c r="I69" s="10"/>
      <c r="J69" s="10"/>
      <c r="K69" s="55">
        <f t="shared" si="0"/>
        <v>0</v>
      </c>
      <c r="L69" s="51"/>
      <c r="M69" s="51"/>
      <c r="N69" s="10"/>
      <c r="O69" s="10"/>
      <c r="P69" s="10"/>
      <c r="Q69" s="51" t="str">
        <f t="shared" si="7"/>
        <v/>
      </c>
      <c r="R69" s="51" t="str">
        <f t="shared" si="8"/>
        <v/>
      </c>
      <c r="S69" s="51" t="str">
        <f t="shared" si="9"/>
        <v/>
      </c>
      <c r="T69" s="10"/>
    </row>
    <row r="70" spans="1:20" s="20" customFormat="1" x14ac:dyDescent="0.2">
      <c r="A70" s="94" t="s">
        <v>10</v>
      </c>
      <c r="B70" s="94"/>
      <c r="C70" s="94"/>
      <c r="D70" s="94"/>
      <c r="E70" s="94"/>
      <c r="F70" s="94"/>
      <c r="G70" s="94"/>
      <c r="H70" s="94"/>
      <c r="I70" s="94"/>
      <c r="J70" s="94"/>
      <c r="K70" s="95"/>
      <c r="L70" s="96"/>
      <c r="M70" s="96"/>
      <c r="N70" s="94"/>
      <c r="O70" s="94"/>
      <c r="P70" s="94"/>
      <c r="Q70" s="96"/>
      <c r="R70" s="96"/>
      <c r="S70" s="96">
        <f>SUM(S66:S69)</f>
        <v>0.26666666666666666</v>
      </c>
      <c r="T70" s="94"/>
    </row>
    <row r="71" spans="1:20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55"/>
      <c r="L71" s="51"/>
      <c r="M71" s="51"/>
      <c r="N71" s="10"/>
      <c r="O71" s="10"/>
      <c r="P71" s="10"/>
      <c r="Q71" s="51"/>
      <c r="R71" s="51"/>
      <c r="S71" s="51"/>
      <c r="T71" s="10"/>
    </row>
    <row r="72" spans="1:20" x14ac:dyDescent="0.2">
      <c r="A72" s="9" t="s">
        <v>133</v>
      </c>
      <c r="B72" s="49"/>
      <c r="C72" s="49"/>
      <c r="D72" s="10"/>
      <c r="E72" s="10"/>
      <c r="F72" s="10"/>
      <c r="G72" s="10"/>
      <c r="H72" s="10"/>
      <c r="I72" s="10"/>
      <c r="J72" s="10"/>
      <c r="K72" s="55">
        <f t="shared" ref="K72:K94" si="10">B72+C72+D72-E72-F72-G72-H72-I72</f>
        <v>0</v>
      </c>
      <c r="L72" s="51"/>
      <c r="M72" s="51"/>
      <c r="N72" s="10"/>
      <c r="O72" s="10"/>
      <c r="P72" s="10"/>
      <c r="Q72" s="51" t="str">
        <f t="shared" si="7"/>
        <v/>
      </c>
      <c r="R72" s="51" t="str">
        <f t="shared" si="8"/>
        <v/>
      </c>
      <c r="S72" s="51" t="str">
        <f t="shared" si="9"/>
        <v/>
      </c>
      <c r="T72" s="10"/>
    </row>
    <row r="73" spans="1:20" x14ac:dyDescent="0.2">
      <c r="A73" s="10" t="s">
        <v>134</v>
      </c>
      <c r="B73" s="10"/>
      <c r="C73" s="10"/>
      <c r="D73" s="10"/>
      <c r="E73" s="10"/>
      <c r="F73" s="10"/>
      <c r="G73" s="10"/>
      <c r="H73" s="10"/>
      <c r="I73" s="10"/>
      <c r="J73" s="10"/>
      <c r="K73" s="55">
        <f t="shared" si="10"/>
        <v>0</v>
      </c>
      <c r="L73" s="51"/>
      <c r="M73" s="51"/>
      <c r="N73" s="10"/>
      <c r="O73" s="10"/>
      <c r="P73" s="10"/>
      <c r="Q73" s="51" t="str">
        <f t="shared" si="7"/>
        <v/>
      </c>
      <c r="R73" s="51" t="str">
        <f t="shared" si="8"/>
        <v/>
      </c>
      <c r="S73" s="51" t="str">
        <f t="shared" si="9"/>
        <v/>
      </c>
      <c r="T73" s="10"/>
    </row>
    <row r="74" spans="1:20" x14ac:dyDescent="0.2">
      <c r="A74" s="10" t="s">
        <v>135</v>
      </c>
      <c r="B74" s="10"/>
      <c r="C74" s="10"/>
      <c r="D74" s="10"/>
      <c r="E74" s="10"/>
      <c r="F74" s="10"/>
      <c r="G74" s="10"/>
      <c r="H74" s="10"/>
      <c r="I74" s="10"/>
      <c r="J74" s="10"/>
      <c r="K74" s="55">
        <f t="shared" si="10"/>
        <v>0</v>
      </c>
      <c r="L74" s="51"/>
      <c r="M74" s="51"/>
      <c r="N74" s="10"/>
      <c r="O74" s="10"/>
      <c r="P74" s="10"/>
      <c r="Q74" s="51" t="str">
        <f t="shared" si="7"/>
        <v/>
      </c>
      <c r="R74" s="51" t="str">
        <f t="shared" si="8"/>
        <v/>
      </c>
      <c r="S74" s="51" t="str">
        <f t="shared" si="9"/>
        <v/>
      </c>
      <c r="T74" s="10"/>
    </row>
    <row r="75" spans="1:20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55"/>
      <c r="L75" s="51"/>
      <c r="M75" s="51"/>
      <c r="N75" s="10"/>
      <c r="O75" s="10"/>
      <c r="P75" s="10"/>
      <c r="Q75" s="51"/>
      <c r="R75" s="51"/>
      <c r="S75" s="51"/>
      <c r="T75" s="10"/>
    </row>
    <row r="76" spans="1:20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55"/>
      <c r="L76" s="51"/>
      <c r="M76" s="51"/>
      <c r="N76" s="10"/>
      <c r="O76" s="10"/>
      <c r="P76" s="10"/>
      <c r="Q76" s="51"/>
      <c r="R76" s="51"/>
      <c r="S76" s="51"/>
      <c r="T76" s="10"/>
    </row>
    <row r="77" spans="1:20" x14ac:dyDescent="0.2">
      <c r="A77" s="9" t="s">
        <v>157</v>
      </c>
      <c r="B77" s="10"/>
      <c r="C77" s="10"/>
      <c r="D77" s="10"/>
      <c r="E77" s="10"/>
      <c r="F77" s="10"/>
      <c r="G77" s="10"/>
      <c r="H77" s="10"/>
      <c r="I77" s="10"/>
      <c r="J77" s="10"/>
      <c r="K77" s="55">
        <f t="shared" si="10"/>
        <v>0</v>
      </c>
      <c r="L77" s="51"/>
      <c r="M77" s="51"/>
      <c r="N77" s="10"/>
      <c r="O77" s="10"/>
      <c r="P77" s="10"/>
      <c r="Q77" s="51" t="str">
        <f t="shared" si="7"/>
        <v/>
      </c>
      <c r="R77" s="51" t="str">
        <f t="shared" si="8"/>
        <v/>
      </c>
      <c r="S77" s="51" t="str">
        <f t="shared" si="9"/>
        <v/>
      </c>
      <c r="T77" s="10"/>
    </row>
    <row r="78" spans="1:20" x14ac:dyDescent="0.2">
      <c r="A78" s="10" t="s">
        <v>158</v>
      </c>
      <c r="B78" s="10"/>
      <c r="C78" s="10"/>
      <c r="D78" s="10"/>
      <c r="E78" s="10"/>
      <c r="F78" s="10"/>
      <c r="G78" s="10"/>
      <c r="H78" s="10"/>
      <c r="I78" s="10"/>
      <c r="J78" s="10"/>
      <c r="K78" s="55">
        <f t="shared" si="10"/>
        <v>0</v>
      </c>
      <c r="L78" s="51"/>
      <c r="M78" s="51"/>
      <c r="N78" s="10"/>
      <c r="O78" s="10"/>
      <c r="P78" s="10"/>
      <c r="Q78" s="51" t="str">
        <f t="shared" si="7"/>
        <v/>
      </c>
      <c r="R78" s="51" t="str">
        <f t="shared" si="8"/>
        <v/>
      </c>
      <c r="S78" s="51" t="str">
        <f t="shared" si="9"/>
        <v/>
      </c>
      <c r="T78" s="10"/>
    </row>
    <row r="79" spans="1:20" x14ac:dyDescent="0.2">
      <c r="A79" s="10" t="s">
        <v>159</v>
      </c>
      <c r="B79" s="10"/>
      <c r="C79" s="10"/>
      <c r="D79" s="10"/>
      <c r="E79" s="10"/>
      <c r="F79" s="10"/>
      <c r="G79" s="10"/>
      <c r="H79" s="10"/>
      <c r="I79" s="10"/>
      <c r="J79" s="10"/>
      <c r="K79" s="55">
        <f t="shared" si="10"/>
        <v>0</v>
      </c>
      <c r="L79" s="51"/>
      <c r="M79" s="51"/>
      <c r="N79" s="10"/>
      <c r="O79" s="10"/>
      <c r="P79" s="10"/>
      <c r="Q79" s="51" t="str">
        <f t="shared" si="7"/>
        <v/>
      </c>
      <c r="R79" s="51" t="str">
        <f t="shared" si="8"/>
        <v/>
      </c>
      <c r="S79" s="51" t="str">
        <f t="shared" si="9"/>
        <v/>
      </c>
      <c r="T79" s="10"/>
    </row>
    <row r="80" spans="1:20" x14ac:dyDescent="0.2">
      <c r="A80" s="10" t="s">
        <v>160</v>
      </c>
      <c r="B80" s="10"/>
      <c r="C80" s="10"/>
      <c r="D80" s="10"/>
      <c r="E80" s="10"/>
      <c r="F80" s="10"/>
      <c r="G80" s="10"/>
      <c r="H80" s="10"/>
      <c r="I80" s="10"/>
      <c r="J80" s="10"/>
      <c r="K80" s="55">
        <f t="shared" si="10"/>
        <v>0</v>
      </c>
      <c r="L80" s="51"/>
      <c r="M80" s="51"/>
      <c r="N80" s="10"/>
      <c r="O80" s="10"/>
      <c r="P80" s="10"/>
      <c r="Q80" s="51" t="str">
        <f t="shared" si="7"/>
        <v/>
      </c>
      <c r="R80" s="51" t="str">
        <f t="shared" si="8"/>
        <v/>
      </c>
      <c r="S80" s="51" t="str">
        <f t="shared" si="9"/>
        <v/>
      </c>
      <c r="T80" s="10"/>
    </row>
    <row r="81" spans="1:20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55"/>
      <c r="L81" s="51"/>
      <c r="M81" s="51"/>
      <c r="N81" s="10"/>
      <c r="O81" s="10"/>
      <c r="P81" s="10"/>
      <c r="Q81" s="51"/>
      <c r="R81" s="51"/>
      <c r="S81" s="51"/>
      <c r="T81" s="10"/>
    </row>
    <row r="82" spans="1:20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55"/>
      <c r="L82" s="51"/>
      <c r="M82" s="51"/>
      <c r="N82" s="10"/>
      <c r="O82" s="10"/>
      <c r="P82" s="10"/>
      <c r="Q82" s="51"/>
      <c r="R82" s="51"/>
      <c r="S82" s="51"/>
      <c r="T82" s="10"/>
    </row>
    <row r="83" spans="1:20" x14ac:dyDescent="0.2">
      <c r="A83" s="9" t="s">
        <v>161</v>
      </c>
      <c r="B83" s="49"/>
      <c r="C83" s="49"/>
      <c r="D83" s="10"/>
      <c r="E83" s="10"/>
      <c r="F83" s="10"/>
      <c r="G83" s="10"/>
      <c r="H83" s="10"/>
      <c r="I83" s="10"/>
      <c r="J83" s="10"/>
      <c r="K83" s="55">
        <f t="shared" si="10"/>
        <v>0</v>
      </c>
      <c r="L83" s="51"/>
      <c r="M83" s="51"/>
      <c r="N83" s="10"/>
      <c r="O83" s="10"/>
      <c r="P83" s="10"/>
      <c r="Q83" s="51" t="str">
        <f t="shared" si="7"/>
        <v/>
      </c>
      <c r="R83" s="51" t="str">
        <f t="shared" si="8"/>
        <v/>
      </c>
      <c r="S83" s="51" t="str">
        <f t="shared" si="9"/>
        <v/>
      </c>
      <c r="T83" s="10"/>
    </row>
    <row r="84" spans="1:20" x14ac:dyDescent="0.2">
      <c r="A84" s="10" t="s">
        <v>162</v>
      </c>
      <c r="B84" s="10"/>
      <c r="D84" s="10">
        <v>0.5</v>
      </c>
      <c r="E84" s="10"/>
      <c r="F84" s="10"/>
      <c r="G84" s="10">
        <v>0.5</v>
      </c>
      <c r="H84" s="10"/>
      <c r="I84" s="10"/>
      <c r="J84" s="10">
        <v>0</v>
      </c>
      <c r="K84" s="55">
        <f t="shared" si="10"/>
        <v>0</v>
      </c>
      <c r="L84" s="51">
        <f>'Bishopstone Receipts'!F57</f>
        <v>0.22500000000000001</v>
      </c>
      <c r="M84" s="51">
        <f>G84</f>
        <v>0.5</v>
      </c>
      <c r="N84" s="10"/>
      <c r="O84" s="10"/>
      <c r="P84" s="10">
        <v>0.5</v>
      </c>
      <c r="Q84" s="51">
        <f t="shared" si="7"/>
        <v>0.45</v>
      </c>
      <c r="R84" s="51" t="str">
        <f>IFERROR(#REF!*Q84,"")</f>
        <v/>
      </c>
      <c r="S84" s="51">
        <f t="shared" si="9"/>
        <v>0.22500000000000001</v>
      </c>
      <c r="T84" s="10"/>
    </row>
    <row r="85" spans="1:20" x14ac:dyDescent="0.2">
      <c r="A85" s="10" t="s">
        <v>163</v>
      </c>
      <c r="B85" s="10"/>
      <c r="C85" s="10"/>
      <c r="D85" s="10">
        <v>179</v>
      </c>
      <c r="E85" s="10"/>
      <c r="F85" s="10"/>
      <c r="G85" s="10">
        <v>159</v>
      </c>
      <c r="H85" s="10"/>
      <c r="I85" s="10">
        <v>20</v>
      </c>
      <c r="J85" s="10"/>
      <c r="K85" s="55">
        <f t="shared" si="10"/>
        <v>0</v>
      </c>
      <c r="L85" s="51">
        <f>'Bishopstone Receipts'!F58</f>
        <v>3.6</v>
      </c>
      <c r="M85" s="51">
        <f>G85</f>
        <v>159</v>
      </c>
      <c r="N85" s="10"/>
      <c r="O85" s="10"/>
      <c r="P85" s="10"/>
      <c r="Q85" s="51">
        <f t="shared" si="7"/>
        <v>2.2641509433962266E-2</v>
      </c>
      <c r="R85" s="51">
        <f t="shared" si="8"/>
        <v>4.0528301886792457</v>
      </c>
      <c r="S85" s="51">
        <f t="shared" si="9"/>
        <v>3.6</v>
      </c>
      <c r="T85" s="10" t="s">
        <v>319</v>
      </c>
    </row>
    <row r="86" spans="1:20" s="20" customFormat="1" x14ac:dyDescent="0.2">
      <c r="A86" s="94" t="s">
        <v>10</v>
      </c>
      <c r="B86" s="94"/>
      <c r="C86" s="94"/>
      <c r="D86" s="94"/>
      <c r="E86" s="94"/>
      <c r="F86" s="94"/>
      <c r="G86" s="94"/>
      <c r="H86" s="94"/>
      <c r="I86" s="94"/>
      <c r="J86" s="94"/>
      <c r="K86" s="95">
        <f t="shared" si="10"/>
        <v>0</v>
      </c>
      <c r="L86" s="96"/>
      <c r="M86" s="96"/>
      <c r="N86" s="94"/>
      <c r="O86" s="94"/>
      <c r="P86" s="94"/>
      <c r="Q86" s="96" t="str">
        <f t="shared" si="7"/>
        <v/>
      </c>
      <c r="R86" s="96" t="str">
        <f t="shared" si="8"/>
        <v/>
      </c>
      <c r="S86" s="96">
        <f>SUM(S84:S85)</f>
        <v>3.8250000000000002</v>
      </c>
      <c r="T86" s="94"/>
    </row>
    <row r="87" spans="1:20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55">
        <f t="shared" si="10"/>
        <v>0</v>
      </c>
      <c r="L87" s="51"/>
      <c r="M87" s="51"/>
      <c r="N87" s="10"/>
      <c r="O87" s="10"/>
      <c r="P87" s="10"/>
      <c r="Q87" s="51" t="str">
        <f t="shared" si="7"/>
        <v/>
      </c>
      <c r="R87" s="51" t="str">
        <f t="shared" si="8"/>
        <v/>
      </c>
      <c r="S87" s="51" t="str">
        <f t="shared" si="9"/>
        <v/>
      </c>
      <c r="T87" s="10"/>
    </row>
    <row r="88" spans="1:20" x14ac:dyDescent="0.2">
      <c r="A88" s="9" t="s">
        <v>139</v>
      </c>
      <c r="B88" s="49"/>
      <c r="C88" s="49"/>
      <c r="D88" s="10">
        <v>1</v>
      </c>
      <c r="E88" s="10"/>
      <c r="F88" s="10"/>
      <c r="G88" s="10">
        <v>1</v>
      </c>
      <c r="H88" s="10"/>
      <c r="I88" s="10"/>
      <c r="J88" s="10">
        <v>0</v>
      </c>
      <c r="K88" s="55">
        <f t="shared" si="10"/>
        <v>0</v>
      </c>
      <c r="L88" s="51">
        <f>'Bishopstone Receipts'!F59</f>
        <v>0.45</v>
      </c>
      <c r="M88" s="10">
        <v>1</v>
      </c>
      <c r="N88" s="10"/>
      <c r="P88" s="10">
        <v>1</v>
      </c>
      <c r="Q88" s="51">
        <f t="shared" si="7"/>
        <v>0.45</v>
      </c>
      <c r="R88" s="51">
        <f t="shared" si="8"/>
        <v>0.45</v>
      </c>
      <c r="S88" s="51">
        <f t="shared" si="9"/>
        <v>0.45</v>
      </c>
      <c r="T88" s="10"/>
    </row>
    <row r="89" spans="1:20" s="20" customFormat="1" x14ac:dyDescent="0.2">
      <c r="A89" s="94" t="s">
        <v>10</v>
      </c>
      <c r="B89" s="94"/>
      <c r="C89" s="94"/>
      <c r="D89" s="94"/>
      <c r="E89" s="94"/>
      <c r="F89" s="94"/>
      <c r="G89" s="94"/>
      <c r="H89" s="94"/>
      <c r="I89" s="94"/>
      <c r="J89" s="94"/>
      <c r="K89" s="95"/>
      <c r="L89" s="96"/>
      <c r="M89" s="96"/>
      <c r="N89" s="94"/>
      <c r="O89" s="94"/>
      <c r="P89" s="94"/>
      <c r="Q89" s="96"/>
      <c r="R89" s="96"/>
      <c r="S89" s="96">
        <f>S88</f>
        <v>0.45</v>
      </c>
      <c r="T89" s="94"/>
    </row>
    <row r="90" spans="1:20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55"/>
      <c r="L90" s="51"/>
      <c r="M90" s="51"/>
      <c r="N90" s="10"/>
      <c r="O90" s="10"/>
      <c r="P90" s="10"/>
      <c r="Q90" s="51"/>
      <c r="R90" s="51"/>
      <c r="S90" s="51"/>
      <c r="T90" s="10"/>
    </row>
    <row r="91" spans="1:20" x14ac:dyDescent="0.2">
      <c r="A91" s="9" t="s">
        <v>164</v>
      </c>
      <c r="B91" s="10"/>
      <c r="C91" s="10"/>
      <c r="D91" s="10"/>
      <c r="E91" s="10"/>
      <c r="F91" s="10"/>
      <c r="G91" s="10"/>
      <c r="H91" s="10"/>
      <c r="I91" s="10"/>
      <c r="J91" s="10"/>
      <c r="K91" s="55">
        <f t="shared" si="10"/>
        <v>0</v>
      </c>
      <c r="L91" s="51"/>
      <c r="M91" s="51"/>
      <c r="N91" s="10"/>
      <c r="O91" s="10"/>
      <c r="P91" s="10"/>
      <c r="Q91" s="51" t="str">
        <f t="shared" si="7"/>
        <v/>
      </c>
      <c r="R91" s="51" t="str">
        <f t="shared" si="8"/>
        <v/>
      </c>
      <c r="S91" s="51" t="str">
        <f t="shared" si="9"/>
        <v/>
      </c>
      <c r="T91" s="10"/>
    </row>
    <row r="92" spans="1:20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55">
        <f t="shared" si="10"/>
        <v>0</v>
      </c>
      <c r="L92" s="51"/>
      <c r="M92" s="51"/>
      <c r="N92" s="10"/>
      <c r="O92" s="10"/>
      <c r="P92" s="10"/>
      <c r="Q92" s="51" t="str">
        <f t="shared" si="7"/>
        <v/>
      </c>
      <c r="R92" s="51" t="str">
        <f t="shared" si="8"/>
        <v/>
      </c>
      <c r="S92" s="51" t="str">
        <f t="shared" si="9"/>
        <v/>
      </c>
      <c r="T92" s="10"/>
    </row>
    <row r="93" spans="1:20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55">
        <f t="shared" si="10"/>
        <v>0</v>
      </c>
      <c r="L93" s="51"/>
      <c r="M93" s="51"/>
      <c r="N93" s="10"/>
      <c r="O93" s="10"/>
      <c r="P93" s="10"/>
      <c r="Q93" s="51" t="str">
        <f t="shared" si="7"/>
        <v/>
      </c>
      <c r="R93" s="51" t="str">
        <f t="shared" si="8"/>
        <v/>
      </c>
      <c r="S93" s="51" t="str">
        <f t="shared" si="9"/>
        <v/>
      </c>
      <c r="T93" s="10"/>
    </row>
    <row r="94" spans="1:20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55">
        <f t="shared" si="10"/>
        <v>0</v>
      </c>
      <c r="L94" s="51"/>
      <c r="M94" s="51"/>
      <c r="N94" s="10"/>
      <c r="O94" s="10"/>
      <c r="P94" s="10"/>
      <c r="Q94" s="51" t="str">
        <f t="shared" si="7"/>
        <v/>
      </c>
      <c r="R94" s="51" t="str">
        <f t="shared" si="8"/>
        <v/>
      </c>
      <c r="S94" s="51" t="str">
        <f t="shared" si="9"/>
        <v/>
      </c>
      <c r="T94" s="10"/>
    </row>
    <row r="95" spans="1:20" x14ac:dyDescent="0.2">
      <c r="B95" s="49"/>
      <c r="C95" s="49"/>
      <c r="D95" s="10"/>
      <c r="E95" s="10"/>
      <c r="F95" s="10"/>
      <c r="G95" s="10"/>
      <c r="H95" s="10"/>
      <c r="I95" s="10"/>
      <c r="J95" s="10"/>
      <c r="K95" s="55"/>
      <c r="L95" s="51"/>
      <c r="M95" s="51"/>
      <c r="N95" s="10"/>
      <c r="O95" s="10"/>
      <c r="P95" s="10"/>
      <c r="Q95" s="51" t="str">
        <f t="shared" si="7"/>
        <v/>
      </c>
      <c r="R95" s="51" t="str">
        <f t="shared" si="8"/>
        <v/>
      </c>
      <c r="S95" s="51" t="str">
        <f t="shared" si="9"/>
        <v/>
      </c>
      <c r="T95" s="10"/>
    </row>
    <row r="96" spans="1:20" x14ac:dyDescent="0.2">
      <c r="Q96" s="51" t="str">
        <f t="shared" si="7"/>
        <v/>
      </c>
      <c r="R96" s="51" t="str">
        <f t="shared" si="8"/>
        <v/>
      </c>
      <c r="S96" s="51" t="str">
        <f t="shared" si="9"/>
        <v/>
      </c>
    </row>
    <row r="97" spans="1:1" x14ac:dyDescent="0.2">
      <c r="A97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4B253-8C32-924B-979E-A68720B3D24D}">
  <dimension ref="A1:F7"/>
  <sheetViews>
    <sheetView workbookViewId="0">
      <selection activeCell="B4" sqref="B4"/>
    </sheetView>
  </sheetViews>
  <sheetFormatPr baseColWidth="10" defaultColWidth="11" defaultRowHeight="16" x14ac:dyDescent="0.2"/>
  <sheetData>
    <row r="1" spans="1:6" x14ac:dyDescent="0.2">
      <c r="A1" t="s">
        <v>188</v>
      </c>
    </row>
    <row r="3" spans="1:6" x14ac:dyDescent="0.2">
      <c r="B3" s="5" t="s">
        <v>174</v>
      </c>
      <c r="C3" s="5" t="s">
        <v>189</v>
      </c>
      <c r="D3" s="5" t="s">
        <v>193</v>
      </c>
      <c r="E3" s="5" t="s">
        <v>195</v>
      </c>
      <c r="F3" s="5" t="s">
        <v>196</v>
      </c>
    </row>
    <row r="4" spans="1:6" x14ac:dyDescent="0.2">
      <c r="B4" s="5" t="s">
        <v>190</v>
      </c>
      <c r="C4">
        <v>1</v>
      </c>
      <c r="D4">
        <f>C4/C5</f>
        <v>0.14285714285714285</v>
      </c>
      <c r="E4">
        <f>C4/C6</f>
        <v>5.7142857142857143E-3</v>
      </c>
      <c r="F4">
        <f>C4/C7</f>
        <v>0.08</v>
      </c>
    </row>
    <row r="5" spans="1:6" x14ac:dyDescent="0.2">
      <c r="B5" s="5" t="s">
        <v>191</v>
      </c>
      <c r="C5">
        <v>7</v>
      </c>
      <c r="D5">
        <v>1</v>
      </c>
      <c r="E5">
        <f>C5/C6</f>
        <v>0.04</v>
      </c>
      <c r="F5">
        <f>C7/C5</f>
        <v>1.7857142857142858</v>
      </c>
    </row>
    <row r="6" spans="1:6" x14ac:dyDescent="0.2">
      <c r="B6" s="5" t="s">
        <v>192</v>
      </c>
      <c r="C6">
        <v>175</v>
      </c>
      <c r="D6">
        <f>C6/C5</f>
        <v>25</v>
      </c>
      <c r="E6">
        <f>C6/C6</f>
        <v>1</v>
      </c>
      <c r="F6">
        <f>C7/C6</f>
        <v>7.1428571428571425E-2</v>
      </c>
    </row>
    <row r="7" spans="1:6" x14ac:dyDescent="0.2">
      <c r="B7" s="5" t="s">
        <v>194</v>
      </c>
      <c r="C7">
        <f>175/14</f>
        <v>12.5</v>
      </c>
      <c r="D7">
        <f>C5/C7</f>
        <v>0.56000000000000005</v>
      </c>
      <c r="E7">
        <f>C7/C6</f>
        <v>7.1428571428571425E-2</v>
      </c>
      <c r="F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Bishopstone Overview</vt:lpstr>
      <vt:lpstr>Bishopstone Receipts</vt:lpstr>
      <vt:lpstr>Bishopstone Expenses</vt:lpstr>
      <vt:lpstr>Issues of the Grange</vt:lpstr>
      <vt:lpstr>Stock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Sharpe</dc:creator>
  <cp:lastModifiedBy>Victoria Gierok</cp:lastModifiedBy>
  <dcterms:created xsi:type="dcterms:W3CDTF">2022-08-18T14:37:24Z</dcterms:created>
  <dcterms:modified xsi:type="dcterms:W3CDTF">2025-09-22T12:14:50Z</dcterms:modified>
</cp:coreProperties>
</file>
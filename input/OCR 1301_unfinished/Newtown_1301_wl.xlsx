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victoriagierok/Dropbox/Physical Capital England/Decennial 2018/Detailed Estimates/Winchester Pipe Rolls/1301-1302/final new agricultural production/"/>
    </mc:Choice>
  </mc:AlternateContent>
  <xr:revisionPtr revIDLastSave="0" documentId="13_ncr:1_{48397258-E410-9542-B5F9-5BEE43777D63}" xr6:coauthVersionLast="47" xr6:coauthVersionMax="47" xr10:uidLastSave="{00000000-0000-0000-0000-000000000000}"/>
  <bookViews>
    <workbookView xWindow="0" yWindow="500" windowWidth="17500" windowHeight="16560" activeTab="5" xr2:uid="{00000000-000D-0000-FFFF-FFFF00000000}"/>
  </bookViews>
  <sheets>
    <sheet name="Overview" sheetId="4" r:id="rId1"/>
    <sheet name="Receipts" sheetId="2" r:id="rId2"/>
    <sheet name="Expenses" sheetId="3" r:id="rId3"/>
    <sheet name="Issues of the Grange" sheetId="5" r:id="rId4"/>
    <sheet name="Issues of the Mills" sheetId="6" r:id="rId5"/>
    <sheet name="Stock" sheetId="7" r:id="rId6"/>
    <sheet name="raw data" sheetId="1"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2" l="1"/>
  <c r="G19" i="2"/>
  <c r="F19" i="2"/>
  <c r="F16" i="2"/>
  <c r="F15" i="2"/>
  <c r="F17" i="2"/>
  <c r="G22" i="2"/>
  <c r="G13" i="2"/>
</calcChain>
</file>

<file path=xl/sharedStrings.xml><?xml version="1.0" encoding="utf-8"?>
<sst xmlns="http://schemas.openxmlformats.org/spreadsheetml/2006/main" count="334" uniqueCount="234">
  <si>
    <t>Heading</t>
  </si>
  <si>
    <t>Sentence</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</si>
  <si>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</si>
  <si>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</si>
  <si>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</si>
  <si>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</si>
  <si>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</si>
  <si>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</si>
  <si>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</si>
  <si>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</si>
  <si>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</si>
  <si>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</si>
  <si>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</si>
  <si>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</si>
  <si>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</si>
  <si>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</si>
  <si>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</si>
  <si>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</si>
  <si>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</si>
  <si>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</si>
  <si>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</si>
  <si>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</si>
  <si>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</si>
  <si>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</si>
  <si>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</si>
  <si>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</si>
  <si>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</si>
  <si>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</si>
  <si>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</si>
  <si>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</si>
  <si>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Rents</t>
  </si>
  <si>
    <t>Henry la Wayte, bailiff, and William atte Watere, reeve, render account for £7 10 shilling 4pence for all rents of assize of Newtown.</t>
  </si>
  <si>
    <t>all paid at Michaelmas (29 September).</t>
  </si>
  <si>
    <t>Total, £7 10 shilling 4pence</t>
  </si>
  <si>
    <t>Increment</t>
  </si>
  <si>
    <t>The same render account for Ypence from William Boveyt for 1 increment of rent for 1 small plot beside his gate.</t>
  </si>
  <si>
    <t>Total, the same.</t>
  </si>
  <si>
    <t>Total of rents with increment</t>
  </si>
  <si>
    <t>Total of rents with increment, £7 10 shilling 4.5pence</t>
  </si>
  <si>
    <t>Quittances</t>
  </si>
  <si>
    <t>In quittance of 1 reeve for the year ls.</t>
  </si>
  <si>
    <t>.</t>
  </si>
  <si>
    <t>default of the land of le Nyweman, ls. for the year.</t>
  </si>
  <si>
    <t>default of 1 small plot which Alice Basely held, pulled down by statute, 2pence Total of quittances and defaults of rent, 2 shilling 2pence</t>
  </si>
  <si>
    <t>Total of rents remaining</t>
  </si>
  <si>
    <t>Total of rents remaining, £7 8 shilling 2.5pence</t>
  </si>
  <si>
    <t>Entry fines</t>
  </si>
  <si>
    <t>The same render account for 2 shilling from tithingpenny at the two hundred-courts for the year.</t>
  </si>
  <si>
    <t>6pence from William Boveyt to have entry to a certain small plot beside his gate which he previously encroached upon without licence.</t>
  </si>
  <si>
    <t>Total, 2 shilling 6pence</t>
  </si>
  <si>
    <t>Perquisites</t>
  </si>
  <si>
    <t>The same render account for 3pence from Hugh Tineker' for default.</t>
  </si>
  <si>
    <t>3pence from Thomas Paste for false presentment.</t>
  </si>
  <si>
    <t>3pence from Thomas Gudd' for unjustly withholding.</t>
  </si>
  <si>
    <t>6pence from Henry Jacob for the hue.</t>
  </si>
  <si>
    <t>4 shilling 6pence from Peter Basely, Philip Chartayn, Felicia Greyte, Christina Careter, John Noel, Nicholas Molendinarius, Hugh atte Thorn', William Hayward, John Gill', Ralph Molendinarius, John Cute, Walter Nywe, John atte Molendinum, Edith Waltr' and Robert Fillot for breaking the assize.</t>
  </si>
  <si>
    <t>6pence from the whole community for concealment.</t>
  </si>
  <si>
    <t>3pence from Philip Diud.</t>
  </si>
  <si>
    <t>3pence from Henry Bercarius for unjustly withholding.</t>
  </si>
  <si>
    <t>Total, 6 shilling 9pence</t>
  </si>
  <si>
    <t>Total of both, 9 shilling 3pence</t>
  </si>
  <si>
    <t>Total of all receipt</t>
  </si>
  <si>
    <t>Total of all receipts, £7 17 shilling 5.5pence</t>
  </si>
  <si>
    <t>And he owes it all.</t>
  </si>
  <si>
    <t>Cash deliveries</t>
  </si>
  <si>
    <t>Delivered to Sir Geoffrey, treasurer of Wolvesey, by 1 tally, £7 17 shilling 5.5pence</t>
  </si>
  <si>
    <t>He is quit.</t>
  </si>
  <si>
    <t>Error</t>
  </si>
  <si>
    <t>Total</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</si>
  <si>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</si>
  <si>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</si>
  <si>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</si>
  <si>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</si>
  <si>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</si>
  <si>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</si>
  <si>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</si>
  <si>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</si>
  <si>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</si>
  <si>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</si>
  <si>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</si>
  <si>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</si>
  <si>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</si>
  <si>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</si>
  <si>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</si>
  <si>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</si>
  <si>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</si>
  <si>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</si>
  <si>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</si>
  <si>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</si>
  <si>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</si>
  <si>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</si>
  <si>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</si>
  <si>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</si>
  <si>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</si>
  <si>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</si>
  <si>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</si>
  <si>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</si>
  <si>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</si>
  <si>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</si>
  <si>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</si>
  <si>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</si>
  <si>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</si>
  <si>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</si>
  <si>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</si>
  <si>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</si>
  <si>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</si>
  <si>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</si>
  <si>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</si>
  <si>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</si>
  <si>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</si>
  <si>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</si>
  <si>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</si>
  <si>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</si>
  <si>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</si>
  <si>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</si>
  <si>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</si>
  <si>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Sum of the above</t>
  </si>
  <si>
    <t>Total of all allowances and cash deliveries in accounts</t>
  </si>
  <si>
    <t>Net amount owed</t>
  </si>
  <si>
    <t>Net amount owed in accounts</t>
  </si>
  <si>
    <t xml:space="preserve">GRANGE ACCOUNT </t>
  </si>
  <si>
    <t>Grange</t>
  </si>
  <si>
    <t>Wheat</t>
  </si>
  <si>
    <t>Rye</t>
  </si>
  <si>
    <t>Dredge</t>
  </si>
  <si>
    <t>Curall</t>
  </si>
  <si>
    <t>Barley</t>
  </si>
  <si>
    <t>Oats</t>
  </si>
  <si>
    <t>Beans</t>
  </si>
  <si>
    <t>Peas</t>
  </si>
  <si>
    <t>Vetches</t>
  </si>
  <si>
    <t>Total value of gross production (sum of the above)</t>
  </si>
  <si>
    <t>Total value of net production</t>
  </si>
  <si>
    <t>Value of sales</t>
  </si>
  <si>
    <t>MILL ACCOUNT</t>
  </si>
  <si>
    <t>Issues of the mill</t>
  </si>
  <si>
    <t>Oatmeal</t>
  </si>
  <si>
    <t>1st grade malt</t>
  </si>
  <si>
    <t>2nd grade malt</t>
  </si>
  <si>
    <t>Maslin</t>
  </si>
  <si>
    <t>Total value of production (sum of the above)</t>
  </si>
  <si>
    <t>STOCK ACCOUNT</t>
  </si>
  <si>
    <t>Livestock</t>
  </si>
  <si>
    <t>Cart-horses</t>
  </si>
  <si>
    <t>Mares</t>
  </si>
  <si>
    <t>Plough horses</t>
  </si>
  <si>
    <t>Colts (2 years)</t>
  </si>
  <si>
    <t>Colts (1 year)</t>
  </si>
  <si>
    <t>Foals</t>
  </si>
  <si>
    <t>Oxen</t>
  </si>
  <si>
    <t>Bulls</t>
  </si>
  <si>
    <t>Cows</t>
  </si>
  <si>
    <t>Steers</t>
  </si>
  <si>
    <t>Bullocks</t>
  </si>
  <si>
    <t>Yearlings</t>
  </si>
  <si>
    <t>Calves</t>
  </si>
  <si>
    <t>Wethers</t>
  </si>
  <si>
    <t>Rams</t>
  </si>
  <si>
    <t>Ewes</t>
  </si>
  <si>
    <t>Hoggs</t>
  </si>
  <si>
    <t>Lambs</t>
  </si>
  <si>
    <t>Boars</t>
  </si>
  <si>
    <t>Sows</t>
  </si>
  <si>
    <t>Pigs</t>
  </si>
  <si>
    <t>Hoggets</t>
  </si>
  <si>
    <t>Piglets</t>
  </si>
  <si>
    <t>Swans</t>
  </si>
  <si>
    <t>Peacocks</t>
  </si>
  <si>
    <t>Total value of stock (sum of the above)</t>
  </si>
  <si>
    <t>Total value of production</t>
  </si>
  <si>
    <t>Wool</t>
  </si>
  <si>
    <t>Fleeces</t>
  </si>
  <si>
    <t>Coarse 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</si>
  <si>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</si>
  <si>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</si>
  <si>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</si>
  <si>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</si>
  <si>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</si>
  <si>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</si>
  <si>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</si>
  <si>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</si>
  <si>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</si>
  <si>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</si>
  <si>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</si>
  <si>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</si>
  <si>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</si>
  <si>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</si>
  <si>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</si>
  <si>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</si>
  <si>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</si>
  <si>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</si>
  <si>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</si>
  <si>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</si>
  <si>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</si>
  <si>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Lambskins</t>
  </si>
  <si>
    <t>Rotted skins</t>
  </si>
  <si>
    <t>Shorn skins</t>
  </si>
  <si>
    <t>Poultry stock</t>
  </si>
  <si>
    <t>Hens</t>
  </si>
  <si>
    <t>Geese</t>
  </si>
  <si>
    <t>Capons (from chickens)</t>
  </si>
  <si>
    <t>Cocks &amp; hens</t>
  </si>
  <si>
    <t>Poultry production</t>
  </si>
  <si>
    <t>Eggs</t>
  </si>
  <si>
    <t>Cocks &amp; hens from churchscot of customary tenants</t>
  </si>
  <si>
    <t>Sum of above</t>
  </si>
  <si>
    <t>Total value of stock</t>
  </si>
  <si>
    <t>Dairy Production</t>
  </si>
  <si>
    <t>Butter</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</si>
  <si>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</si>
  <si>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</si>
  <si>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</si>
  <si>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</si>
  <si>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</si>
  <si>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</si>
  <si>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</si>
  <si>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</si>
  <si>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r>
      <t xml:space="preserve">% of capital expenses as </t>
    </r>
    <r>
      <rPr>
        <b/>
        <i/>
        <sz val="12"/>
        <color rgb="FF000000"/>
        <rFont val="Calibri"/>
        <family val="2"/>
        <scheme val="minor"/>
      </rPr>
      <t>calculated previously</t>
    </r>
  </si>
  <si>
    <t>Total in £</t>
  </si>
  <si>
    <t>Note</t>
  </si>
  <si>
    <t>NEWTOWN</t>
  </si>
  <si>
    <t>NEWTOWN RECEIPTS</t>
  </si>
  <si>
    <t>£</t>
  </si>
  <si>
    <t xml:space="preserve">s </t>
  </si>
  <si>
    <t>d</t>
  </si>
  <si>
    <t>Notes</t>
  </si>
  <si>
    <t xml:space="preserve">default of 1 small plot which Alice Basely held, pulled down by statute, 2pence </t>
  </si>
  <si>
    <t>Total of quittances and defaults of rent, 2 shilling 2pence</t>
  </si>
  <si>
    <t>default of the land of le Nyweman, 1 shilling for the year.</t>
  </si>
  <si>
    <t>In quittance of 1 reeve for the year 1 shilling</t>
  </si>
  <si>
    <t>The same render account for 0.5 pence from William Boveyt for 1 increment of rent for 1 small plot beside his gate.</t>
  </si>
  <si>
    <t>NEWTOWN EXPENSES</t>
  </si>
  <si>
    <t>no grange</t>
  </si>
  <si>
    <t>no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</si>
</sst>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2"/>
      <color theme="1"/>
      <name val="Calibri"/>
      <family val="2"/>
      <scheme val="minor"/>
    </font>
    <font>
      <b/>
      <sz val="11"/>
      <name val="Calibri"/>
      <family val="2"/>
    </font>
    <font>
      <b/>
      <sz val="12"/>
      <color theme="1"/>
      <name val="Calibri"/>
      <family val="2"/>
      <scheme val="minor"/>
    </font>
    <font>
      <b/>
      <sz val="12"/>
      <color rgb="FF000000"/>
      <name val="Calibri"/>
      <family val="2"/>
      <scheme val="minor"/>
    </font>
    <font>
      <sz val="12"/>
      <color rgb="FF000000"/>
      <name val="Calibri"/>
      <family val="2"/>
      <scheme val="minor"/>
    </font>
    <font>
      <b/>
      <i/>
      <sz val="12"/>
      <color theme="1"/>
      <name val="Calibri"/>
      <family val="2"/>
      <scheme val="minor"/>
    </font>
    <font>
      <b/>
      <i/>
      <sz val="12"/>
      <color rgb="FF000000"/>
      <name val="Calibri"/>
      <family val="2"/>
      <scheme val="minor"/>
    </font>
    <font>
      <i/>
      <sz val="12"/>
      <color rgb="FF000000"/>
      <name val="Calibri"/>
      <family val="2"/>
      <scheme val="minor"/>
    </font>
    <font>
      <b/>
      <sz val="12"/>
      <color rgb="FFFF0000"/>
      <name val="Calibri"/>
      <family val="2"/>
      <scheme val="minor"/>
    </font>
    <font>
      <b/>
      <sz val="12"/>
      <color theme="1"/>
      <name val="Calibri (Body)"/>
    </font>
    <font>
      <sz val="11"/>
      <color rgb="FFFF0000"/>
      <name val="Calibri (Body)"/>
    </font>
    <font>
      <b/>
      <sz val="12"/>
      <name val="Calibri"/>
      <family val="2"/>
    </font>
    <font>
      <b/>
      <sz val="12"/>
      <color rgb="FFFF0000"/>
      <name val="Calibri (Body)"/>
    </font>
  </fonts>
  <fills count="7">
    <fill>
      <patternFill patternType="none"/>
    </fill>
    <fill>
      <patternFill patternType="gray125"/>
    </fill>
    <fill>
      <patternFill patternType="solid">
        <fgColor rgb="FFF2F2F2"/>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rgb="FF000000"/>
      </patternFill>
    </fill>
  </fills>
  <borders count="8">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
      <left/>
      <right/>
      <top/>
      <bottom style="thin">
        <color rgb="FFA6A6A6"/>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s>
  <cellStyleXfs count="1">
    <xf numFmtId="0" fontId="0" fillId="0" borderId="0"/>
  </cellStyleXfs>
  <cellXfs count="42">
    <xf numFmtId="0" fontId="0" fillId="0" borderId="0" xfId="0"/>
    <xf numFmtId="0" fontId="2" fillId="0" borderId="1" xfId="0" applyFont="1" applyBorder="1" applyAlignment="1">
      <alignment horizontal="center" vertical="top"/>
    </xf>
    <xf numFmtId="0" fontId="4" fillId="0" borderId="0" xfId="0" applyFont="1"/>
    <xf numFmtId="0" fontId="4" fillId="2" borderId="0" xfId="0" applyFont="1" applyFill="1"/>
    <xf numFmtId="0" fontId="5" fillId="0" borderId="0" xfId="0" applyFont="1"/>
    <xf numFmtId="0" fontId="1" fillId="0" borderId="0" xfId="0" applyFont="1"/>
    <xf numFmtId="0" fontId="6" fillId="3" borderId="2" xfId="0" applyFont="1" applyFill="1" applyBorder="1"/>
    <xf numFmtId="0" fontId="6" fillId="3" borderId="0" xfId="0" applyFont="1" applyFill="1"/>
    <xf numFmtId="0" fontId="7" fillId="2" borderId="0" xfId="0" applyFont="1" applyFill="1"/>
    <xf numFmtId="0" fontId="5" fillId="0" borderId="3" xfId="0" applyFont="1" applyBorder="1"/>
    <xf numFmtId="0" fontId="3" fillId="0" borderId="0" xfId="0" applyFont="1"/>
    <xf numFmtId="0" fontId="5" fillId="4" borderId="0" xfId="0" applyFont="1" applyFill="1"/>
    <xf numFmtId="0" fontId="8" fillId="4" borderId="0" xfId="0" applyFont="1" applyFill="1"/>
    <xf numFmtId="0" fontId="8" fillId="5" borderId="0" xfId="0" applyFont="1" applyFill="1"/>
    <xf numFmtId="0" fontId="8" fillId="2" borderId="0" xfId="0" applyFont="1" applyFill="1"/>
    <xf numFmtId="0" fontId="4" fillId="6" borderId="0" xfId="0" applyFont="1" applyFill="1"/>
    <xf numFmtId="0" fontId="4" fillId="3" borderId="0" xfId="0" applyFont="1" applyFill="1"/>
    <xf numFmtId="0" fontId="5" fillId="0" borderId="0" xfId="0" applyFont="1" applyAlignment="1">
      <alignment wrapText="1"/>
    </xf>
    <xf numFmtId="0" fontId="8" fillId="6" borderId="0" xfId="0" applyFont="1" applyFill="1"/>
    <xf numFmtId="0" fontId="5" fillId="0" borderId="4" xfId="0" applyFont="1" applyBorder="1"/>
    <xf numFmtId="0" fontId="5" fillId="0" borderId="0" xfId="0" applyFont="1" applyAlignment="1">
      <alignment horizontal="right"/>
    </xf>
    <xf numFmtId="0" fontId="5" fillId="0" borderId="4" xfId="0" applyFont="1" applyBorder="1" applyAlignment="1">
      <alignment horizontal="left"/>
    </xf>
    <xf numFmtId="0" fontId="5" fillId="3" borderId="5" xfId="0" applyFont="1" applyFill="1" applyBorder="1"/>
    <xf numFmtId="0" fontId="8" fillId="2" borderId="6" xfId="0" applyFont="1" applyFill="1" applyBorder="1"/>
    <xf numFmtId="0" fontId="8" fillId="5" borderId="6" xfId="0" applyFont="1" applyFill="1" applyBorder="1"/>
    <xf numFmtId="0" fontId="5" fillId="0" borderId="6" xfId="0" applyFont="1" applyBorder="1"/>
    <xf numFmtId="10" fontId="8" fillId="2" borderId="6" xfId="0" applyNumberFormat="1" applyFont="1" applyFill="1" applyBorder="1"/>
    <xf numFmtId="10" fontId="8" fillId="5" borderId="7" xfId="0" applyNumberFormat="1" applyFont="1" applyFill="1" applyBorder="1"/>
    <xf numFmtId="2" fontId="4" fillId="0" borderId="0" xfId="0" applyNumberFormat="1" applyFont="1" applyAlignment="1">
      <alignment horizontal="right"/>
    </xf>
    <xf numFmtId="2" fontId="9" fillId="0" borderId="0" xfId="0" applyNumberFormat="1" applyFont="1" applyAlignment="1">
      <alignment horizontal="right"/>
    </xf>
    <xf numFmtId="0" fontId="11" fillId="0" borderId="0" xfId="0" applyFont="1"/>
    <xf numFmtId="0" fontId="10" fillId="0" borderId="0" xfId="0" applyFont="1"/>
    <xf numFmtId="0" fontId="12" fillId="0" borderId="0" xfId="0" applyFont="1" applyAlignment="1">
      <alignment horizontal="center" vertical="top"/>
    </xf>
    <xf numFmtId="4" fontId="10" fillId="0" borderId="0" xfId="0" applyNumberFormat="1" applyFont="1" applyAlignment="1">
      <alignment horizontal="right"/>
    </xf>
    <xf numFmtId="0" fontId="10" fillId="0" borderId="0" xfId="0" applyFont="1" applyAlignment="1">
      <alignment horizontal="right"/>
    </xf>
    <xf numFmtId="4" fontId="3" fillId="0" borderId="0" xfId="0" applyNumberFormat="1" applyFont="1" applyAlignment="1">
      <alignment horizontal="center"/>
    </xf>
    <xf numFmtId="0" fontId="13" fillId="0" borderId="0" xfId="0" applyFont="1" applyAlignment="1">
      <alignment horizontal="center" vertical="top"/>
    </xf>
    <xf numFmtId="0" fontId="12" fillId="0" borderId="0" xfId="0" applyFont="1" applyAlignment="1">
      <alignment horizontal="left" vertical="top"/>
    </xf>
    <xf numFmtId="2" fontId="0" fillId="0" borderId="0" xfId="0" applyNumberFormat="1"/>
    <xf numFmtId="2" fontId="11" fillId="0" borderId="0" xfId="0" applyNumberFormat="1" applyFont="1"/>
    <xf numFmtId="2" fontId="3" fillId="0" borderId="0" xfId="0" applyNumberFormat="1" applyFont="1" applyAlignment="1">
      <alignment horizontal="center"/>
    </xf>
    <xf numFmtId="2" fontId="13" fillId="0" borderId="0" xfId="0" applyNumberFormat="1"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3"/>
  <sheetViews>
    <sheetView workbookViewId="0">
      <pane xSplit="1" ySplit="1" topLeftCell="B2" activePane="bottomRight" state="frozen"/>
      <selection pane="topRight" activeCell="B1" sqref="B1"/>
      <selection pane="bottomLeft" activeCell="A2" sqref="A2"/>
      <selection pane="bottomRight" activeCell="C19" sqref="C19"/>
    </sheetView>
  </sheetViews>
  <sheetFormatPr baseColWidth="10" defaultColWidth="8.83203125" defaultRowHeight="16" x14ac:dyDescent="0.2"/>
  <cols>
    <col min="1" max="1" width="80" style="5" bestFit="1" customWidth="1"/>
  </cols>
  <sheetData>
    <row r="1" spans="1:4" x14ac:dyDescent="0.2">
      <c r="A1" s="2" t="s">
        <v>220</v>
      </c>
      <c r="B1" s="28" t="s">
        <v>218</v>
      </c>
      <c r="C1" s="29" t="s">
        <v>67</v>
      </c>
      <c r="D1" s="10" t="s">
        <v>219</v>
      </c>
    </row>
    <row r="2" spans="1:4" x14ac:dyDescent="0.2">
      <c r="A2" s="2" t="s">
        <v>69</v>
      </c>
    </row>
    <row r="3" spans="1:4" x14ac:dyDescent="0.2">
      <c r="A3" s="3" t="s">
        <v>70</v>
      </c>
    </row>
    <row r="4" spans="1:4" x14ac:dyDescent="0.2">
      <c r="A4" s="4" t="s">
        <v>71</v>
      </c>
    </row>
    <row r="5" spans="1:4" x14ac:dyDescent="0.2">
      <c r="A5" s="4" t="s">
        <v>72</v>
      </c>
    </row>
    <row r="6" spans="1:4" x14ac:dyDescent="0.2">
      <c r="A6" s="4" t="s">
        <v>73</v>
      </c>
    </row>
    <row r="7" spans="1:4" x14ac:dyDescent="0.2">
      <c r="A7" s="4" t="s">
        <v>74</v>
      </c>
    </row>
    <row r="8" spans="1:4" x14ac:dyDescent="0.2">
      <c r="A8" s="5" t="s">
        <v>75</v>
      </c>
    </row>
    <row r="9" spans="1:4" x14ac:dyDescent="0.2">
      <c r="A9" s="5" t="s">
        <v>76</v>
      </c>
    </row>
    <row r="10" spans="1:4" x14ac:dyDescent="0.2">
      <c r="A10" s="5" t="s">
        <v>77</v>
      </c>
    </row>
    <row r="11" spans="1:4" x14ac:dyDescent="0.2">
      <c r="A11" s="5" t="s">
        <v>78</v>
      </c>
    </row>
    <row r="12" spans="1:4" x14ac:dyDescent="0.2">
      <c r="A12" s="5" t="s">
        <v>79</v>
      </c>
    </row>
    <row r="13" spans="1:4" x14ac:dyDescent="0.2">
      <c r="A13" s="5" t="s">
        <v>80</v>
      </c>
    </row>
    <row r="14" spans="1:4" x14ac:dyDescent="0.2">
      <c r="A14" s="4" t="s">
        <v>81</v>
      </c>
    </row>
    <row r="15" spans="1:4" x14ac:dyDescent="0.2">
      <c r="A15" s="4" t="s">
        <v>82</v>
      </c>
    </row>
    <row r="16" spans="1:4" x14ac:dyDescent="0.2">
      <c r="A16" s="5" t="s">
        <v>83</v>
      </c>
    </row>
    <row r="17" spans="1:1" x14ac:dyDescent="0.2">
      <c r="A17" s="5" t="s">
        <v>84</v>
      </c>
    </row>
    <row r="18" spans="1:1" x14ac:dyDescent="0.2">
      <c r="A18" s="4" t="s">
        <v>85</v>
      </c>
    </row>
    <row r="19" spans="1:1" x14ac:dyDescent="0.2">
      <c r="A19" s="4" t="s">
        <v>86</v>
      </c>
    </row>
    <row r="20" spans="1:1" x14ac:dyDescent="0.2">
      <c r="A20" s="4" t="s">
        <v>87</v>
      </c>
    </row>
    <row r="21" spans="1:1" x14ac:dyDescent="0.2">
      <c r="A21" s="5" t="s">
        <v>88</v>
      </c>
    </row>
    <row r="22" spans="1:1" x14ac:dyDescent="0.2">
      <c r="A22" s="5" t="s">
        <v>89</v>
      </c>
    </row>
    <row r="23" spans="1:1" x14ac:dyDescent="0.2">
      <c r="A23" s="6" t="s">
        <v>90</v>
      </c>
    </row>
    <row r="24" spans="1:1" x14ac:dyDescent="0.2">
      <c r="A24" s="7" t="s">
        <v>91</v>
      </c>
    </row>
    <row r="25" spans="1:1" x14ac:dyDescent="0.2">
      <c r="A25" s="8" t="s">
        <v>92</v>
      </c>
    </row>
    <row r="26" spans="1:1" x14ac:dyDescent="0.2">
      <c r="A26" s="8" t="s">
        <v>93</v>
      </c>
    </row>
    <row r="27" spans="1:1" x14ac:dyDescent="0.2">
      <c r="A27" s="4"/>
    </row>
    <row r="28" spans="1:1" x14ac:dyDescent="0.2">
      <c r="A28" s="4"/>
    </row>
    <row r="29" spans="1:1" x14ac:dyDescent="0.2">
      <c r="A29" s="3" t="s">
        <v>94</v>
      </c>
    </row>
    <row r="30" spans="1:1" x14ac:dyDescent="0.2">
      <c r="A30" s="4" t="s">
        <v>95</v>
      </c>
    </row>
    <row r="31" spans="1:1" x14ac:dyDescent="0.2">
      <c r="A31" s="4" t="s">
        <v>96</v>
      </c>
    </row>
    <row r="32" spans="1:1" x14ac:dyDescent="0.2">
      <c r="A32" s="4" t="s">
        <v>97</v>
      </c>
    </row>
    <row r="33" spans="1:1" x14ac:dyDescent="0.2">
      <c r="A33" s="4" t="s">
        <v>98</v>
      </c>
    </row>
    <row r="34" spans="1:1" x14ac:dyDescent="0.2">
      <c r="A34" s="4" t="s">
        <v>99</v>
      </c>
    </row>
    <row r="35" spans="1:1" x14ac:dyDescent="0.2">
      <c r="A35" s="4" t="s">
        <v>100</v>
      </c>
    </row>
    <row r="36" spans="1:1" x14ac:dyDescent="0.2">
      <c r="A36" s="4" t="s">
        <v>101</v>
      </c>
    </row>
    <row r="37" spans="1:1" x14ac:dyDescent="0.2">
      <c r="A37" s="4" t="s">
        <v>102</v>
      </c>
    </row>
    <row r="38" spans="1:1" x14ac:dyDescent="0.2">
      <c r="A38" s="4" t="s">
        <v>103</v>
      </c>
    </row>
    <row r="39" spans="1:1" x14ac:dyDescent="0.2">
      <c r="A39" s="4" t="s">
        <v>104</v>
      </c>
    </row>
    <row r="40" spans="1:1" x14ac:dyDescent="0.2">
      <c r="A40" s="4" t="s">
        <v>105</v>
      </c>
    </row>
    <row r="41" spans="1:1" x14ac:dyDescent="0.2">
      <c r="A41" s="4" t="s">
        <v>106</v>
      </c>
    </row>
    <row r="42" spans="1:1" x14ac:dyDescent="0.2">
      <c r="A42" s="4" t="s">
        <v>107</v>
      </c>
    </row>
    <row r="43" spans="1:1" x14ac:dyDescent="0.2">
      <c r="A43" s="9" t="s">
        <v>108</v>
      </c>
    </row>
    <row r="44" spans="1:1" x14ac:dyDescent="0.2">
      <c r="A44" s="7" t="s">
        <v>109</v>
      </c>
    </row>
    <row r="45" spans="1:1" x14ac:dyDescent="0.2">
      <c r="A45" s="7" t="s">
        <v>110</v>
      </c>
    </row>
    <row r="46" spans="1:1" x14ac:dyDescent="0.2">
      <c r="A46" s="7" t="s">
        <v>111</v>
      </c>
    </row>
    <row r="47" spans="1:1" x14ac:dyDescent="0.2">
      <c r="A47" s="7" t="s">
        <v>112</v>
      </c>
    </row>
    <row r="48" spans="1:1" x14ac:dyDescent="0.2">
      <c r="A48" s="10"/>
    </row>
    <row r="49" spans="1:1" x14ac:dyDescent="0.2">
      <c r="A49" s="11" t="s">
        <v>113</v>
      </c>
    </row>
    <row r="50" spans="1:1" x14ac:dyDescent="0.2">
      <c r="A50" s="11" t="s">
        <v>114</v>
      </c>
    </row>
    <row r="51" spans="1:1" x14ac:dyDescent="0.2">
      <c r="A51" s="4"/>
    </row>
    <row r="52" spans="1:1" x14ac:dyDescent="0.2">
      <c r="A52" s="11" t="s">
        <v>115</v>
      </c>
    </row>
    <row r="53" spans="1:1" x14ac:dyDescent="0.2">
      <c r="A53" s="11" t="s">
        <v>64</v>
      </c>
    </row>
    <row r="54" spans="1:1" x14ac:dyDescent="0.2">
      <c r="A54" s="12" t="s">
        <v>116</v>
      </c>
    </row>
    <row r="55" spans="1:1" x14ac:dyDescent="0.2">
      <c r="A55" s="13" t="s">
        <v>117</v>
      </c>
    </row>
    <row r="56" spans="1:1" x14ac:dyDescent="0.2">
      <c r="A56" s="4"/>
    </row>
    <row r="57" spans="1:1" x14ac:dyDescent="0.2">
      <c r="A57" s="11" t="s">
        <v>118</v>
      </c>
    </row>
    <row r="58" spans="1:1" x14ac:dyDescent="0.2">
      <c r="A58" s="11" t="s">
        <v>119</v>
      </c>
    </row>
    <row r="59" spans="1:1" x14ac:dyDescent="0.2">
      <c r="A59" s="4"/>
    </row>
    <row r="60" spans="1:1" x14ac:dyDescent="0.2">
      <c r="A60" s="3" t="s">
        <v>120</v>
      </c>
    </row>
    <row r="61" spans="1:1" x14ac:dyDescent="0.2">
      <c r="A61" s="2" t="s">
        <v>121</v>
      </c>
    </row>
    <row r="62" spans="1:1" x14ac:dyDescent="0.2">
      <c r="A62" s="5" t="s">
        <v>122</v>
      </c>
    </row>
    <row r="63" spans="1:1" x14ac:dyDescent="0.2">
      <c r="A63" s="5" t="s">
        <v>123</v>
      </c>
    </row>
    <row r="64" spans="1:1" x14ac:dyDescent="0.2">
      <c r="A64" s="5" t="s">
        <v>124</v>
      </c>
    </row>
    <row r="65" spans="1:1" x14ac:dyDescent="0.2">
      <c r="A65" s="5" t="s">
        <v>125</v>
      </c>
    </row>
    <row r="66" spans="1:1" x14ac:dyDescent="0.2">
      <c r="A66" s="5" t="s">
        <v>126</v>
      </c>
    </row>
    <row r="67" spans="1:1" x14ac:dyDescent="0.2">
      <c r="A67" s="5" t="s">
        <v>127</v>
      </c>
    </row>
    <row r="68" spans="1:1" x14ac:dyDescent="0.2">
      <c r="A68" s="5" t="s">
        <v>128</v>
      </c>
    </row>
    <row r="69" spans="1:1" x14ac:dyDescent="0.2">
      <c r="A69" s="5" t="s">
        <v>129</v>
      </c>
    </row>
    <row r="70" spans="1:1" x14ac:dyDescent="0.2">
      <c r="A70" s="5" t="s">
        <v>130</v>
      </c>
    </row>
    <row r="71" spans="1:1" x14ac:dyDescent="0.2">
      <c r="A71" s="14" t="s">
        <v>131</v>
      </c>
    </row>
    <row r="72" spans="1:1" x14ac:dyDescent="0.2">
      <c r="A72" s="14" t="s">
        <v>132</v>
      </c>
    </row>
    <row r="73" spans="1:1" x14ac:dyDescent="0.2">
      <c r="A73" s="14" t="s">
        <v>133</v>
      </c>
    </row>
    <row r="74" spans="1:1" x14ac:dyDescent="0.2">
      <c r="A74" s="4"/>
    </row>
    <row r="75" spans="1:1" x14ac:dyDescent="0.2">
      <c r="A75" s="3" t="s">
        <v>134</v>
      </c>
    </row>
    <row r="76" spans="1:1" x14ac:dyDescent="0.2">
      <c r="A76" s="2" t="s">
        <v>135</v>
      </c>
    </row>
    <row r="77" spans="1:1" x14ac:dyDescent="0.2">
      <c r="A77" s="4" t="s">
        <v>122</v>
      </c>
    </row>
    <row r="78" spans="1:1" x14ac:dyDescent="0.2">
      <c r="A78" s="4" t="s">
        <v>136</v>
      </c>
    </row>
    <row r="79" spans="1:1" x14ac:dyDescent="0.2">
      <c r="A79" s="4" t="s">
        <v>137</v>
      </c>
    </row>
    <row r="80" spans="1:1" x14ac:dyDescent="0.2">
      <c r="A80" s="4" t="s">
        <v>138</v>
      </c>
    </row>
    <row r="81" spans="1:1" x14ac:dyDescent="0.2">
      <c r="A81" s="4" t="s">
        <v>139</v>
      </c>
    </row>
    <row r="82" spans="1:1" x14ac:dyDescent="0.2">
      <c r="A82" s="14" t="s">
        <v>140</v>
      </c>
    </row>
    <row r="83" spans="1:1" x14ac:dyDescent="0.2">
      <c r="A83" s="14" t="s">
        <v>133</v>
      </c>
    </row>
    <row r="84" spans="1:1" x14ac:dyDescent="0.2">
      <c r="A84" s="4"/>
    </row>
    <row r="85" spans="1:1" x14ac:dyDescent="0.2">
      <c r="A85" s="15" t="s">
        <v>141</v>
      </c>
    </row>
    <row r="86" spans="1:1" x14ac:dyDescent="0.2">
      <c r="A86" s="16" t="s">
        <v>142</v>
      </c>
    </row>
    <row r="87" spans="1:1" ht="17" x14ac:dyDescent="0.2">
      <c r="A87" s="17" t="s">
        <v>143</v>
      </c>
    </row>
    <row r="88" spans="1:1" ht="17" x14ac:dyDescent="0.2">
      <c r="A88" s="17" t="s">
        <v>144</v>
      </c>
    </row>
    <row r="89" spans="1:1" x14ac:dyDescent="0.2">
      <c r="A89" s="4" t="s">
        <v>145</v>
      </c>
    </row>
    <row r="90" spans="1:1" x14ac:dyDescent="0.2">
      <c r="A90" s="4" t="s">
        <v>146</v>
      </c>
    </row>
    <row r="91" spans="1:1" x14ac:dyDescent="0.2">
      <c r="A91" s="4" t="s">
        <v>146</v>
      </c>
    </row>
    <row r="92" spans="1:1" x14ac:dyDescent="0.2">
      <c r="A92" s="4" t="s">
        <v>147</v>
      </c>
    </row>
    <row r="93" spans="1:1" x14ac:dyDescent="0.2">
      <c r="A93" s="4" t="s">
        <v>148</v>
      </c>
    </row>
    <row r="94" spans="1:1" x14ac:dyDescent="0.2">
      <c r="A94" s="4" t="s">
        <v>149</v>
      </c>
    </row>
    <row r="95" spans="1:1" x14ac:dyDescent="0.2">
      <c r="A95" s="4" t="s">
        <v>150</v>
      </c>
    </row>
    <row r="96" spans="1:1" x14ac:dyDescent="0.2">
      <c r="A96" s="4" t="s">
        <v>151</v>
      </c>
    </row>
    <row r="97" spans="1:1" x14ac:dyDescent="0.2">
      <c r="A97" s="4" t="s">
        <v>152</v>
      </c>
    </row>
    <row r="98" spans="1:1" x14ac:dyDescent="0.2">
      <c r="A98" s="4" t="s">
        <v>153</v>
      </c>
    </row>
    <row r="99" spans="1:1" x14ac:dyDescent="0.2">
      <c r="A99" s="4" t="s">
        <v>154</v>
      </c>
    </row>
    <row r="100" spans="1:1" x14ac:dyDescent="0.2">
      <c r="A100" s="4" t="s">
        <v>155</v>
      </c>
    </row>
    <row r="101" spans="1:1" x14ac:dyDescent="0.2">
      <c r="A101" s="4" t="s">
        <v>156</v>
      </c>
    </row>
    <row r="102" spans="1:1" x14ac:dyDescent="0.2">
      <c r="A102" s="4" t="s">
        <v>157</v>
      </c>
    </row>
    <row r="103" spans="1:1" x14ac:dyDescent="0.2">
      <c r="A103" s="4" t="s">
        <v>158</v>
      </c>
    </row>
    <row r="104" spans="1:1" x14ac:dyDescent="0.2">
      <c r="A104" s="4" t="s">
        <v>159</v>
      </c>
    </row>
    <row r="105" spans="1:1" x14ac:dyDescent="0.2">
      <c r="A105" s="4" t="s">
        <v>160</v>
      </c>
    </row>
    <row r="106" spans="1:1" x14ac:dyDescent="0.2">
      <c r="A106" s="4" t="s">
        <v>161</v>
      </c>
    </row>
    <row r="107" spans="1:1" x14ac:dyDescent="0.2">
      <c r="A107" s="4" t="s">
        <v>162</v>
      </c>
    </row>
    <row r="108" spans="1:1" x14ac:dyDescent="0.2">
      <c r="A108" s="4" t="s">
        <v>163</v>
      </c>
    </row>
    <row r="109" spans="1:1" x14ac:dyDescent="0.2">
      <c r="A109" s="4" t="s">
        <v>164</v>
      </c>
    </row>
    <row r="110" spans="1:1" x14ac:dyDescent="0.2">
      <c r="A110" s="4" t="s">
        <v>165</v>
      </c>
    </row>
    <row r="111" spans="1:1" x14ac:dyDescent="0.2">
      <c r="A111" s="4" t="s">
        <v>166</v>
      </c>
    </row>
    <row r="112" spans="1:1" x14ac:dyDescent="0.2">
      <c r="A112" s="4" t="s">
        <v>167</v>
      </c>
    </row>
    <row r="113" spans="1:1" x14ac:dyDescent="0.2">
      <c r="A113" s="14" t="s">
        <v>168</v>
      </c>
    </row>
    <row r="114" spans="1:1" x14ac:dyDescent="0.2">
      <c r="A114" s="14" t="s">
        <v>169</v>
      </c>
    </row>
    <row r="115" spans="1:1" x14ac:dyDescent="0.2">
      <c r="A115" s="14" t="s">
        <v>133</v>
      </c>
    </row>
    <row r="116" spans="1:1" x14ac:dyDescent="0.2">
      <c r="A116" s="4"/>
    </row>
    <row r="117" spans="1:1" x14ac:dyDescent="0.2">
      <c r="A117" s="3" t="s">
        <v>170</v>
      </c>
    </row>
    <row r="118" spans="1:1" ht="17" x14ac:dyDescent="0.2">
      <c r="A118" s="17" t="s">
        <v>171</v>
      </c>
    </row>
    <row r="119" spans="1:1" x14ac:dyDescent="0.2">
      <c r="A119" s="4" t="s">
        <v>172</v>
      </c>
    </row>
    <row r="120" spans="1:1" x14ac:dyDescent="0.2">
      <c r="A120" s="4" t="s">
        <v>173</v>
      </c>
    </row>
    <row r="121" spans="1:1" x14ac:dyDescent="0.2">
      <c r="A121" s="4" t="s">
        <v>174</v>
      </c>
    </row>
    <row r="122" spans="1:1" x14ac:dyDescent="0.2">
      <c r="A122" s="4" t="s">
        <v>175</v>
      </c>
    </row>
    <row r="123" spans="1:1" x14ac:dyDescent="0.2">
      <c r="A123" s="18" t="s">
        <v>140</v>
      </c>
    </row>
    <row r="124" spans="1:1" x14ac:dyDescent="0.2">
      <c r="A124" s="18" t="s">
        <v>133</v>
      </c>
    </row>
    <row r="125" spans="1:1" x14ac:dyDescent="0.2">
      <c r="A125" s="2"/>
    </row>
    <row r="126" spans="1:1" x14ac:dyDescent="0.2">
      <c r="A126" s="3" t="s">
        <v>176</v>
      </c>
    </row>
    <row r="127" spans="1:1" x14ac:dyDescent="0.2">
      <c r="A127" s="4" t="s">
        <v>177</v>
      </c>
    </row>
    <row r="128" spans="1:1" x14ac:dyDescent="0.2">
      <c r="A128" s="4" t="s">
        <v>178</v>
      </c>
    </row>
    <row r="129" spans="1:1" x14ac:dyDescent="0.2">
      <c r="A129" s="4" t="s">
        <v>179</v>
      </c>
    </row>
    <row r="130" spans="1:1" x14ac:dyDescent="0.2">
      <c r="A130" s="4" t="s">
        <v>180</v>
      </c>
    </row>
    <row r="131" spans="1:1" x14ac:dyDescent="0.2">
      <c r="A131" s="4" t="s">
        <v>181</v>
      </c>
    </row>
    <row r="132" spans="1:1" x14ac:dyDescent="0.2">
      <c r="A132" s="4" t="s">
        <v>182</v>
      </c>
    </row>
    <row r="133" spans="1:1" x14ac:dyDescent="0.2">
      <c r="A133" s="19" t="s">
        <v>183</v>
      </c>
    </row>
    <row r="134" spans="1:1" x14ac:dyDescent="0.2">
      <c r="A134" s="20" t="s">
        <v>184</v>
      </c>
    </row>
    <row r="135" spans="1:1" x14ac:dyDescent="0.2">
      <c r="A135" s="20" t="s">
        <v>185</v>
      </c>
    </row>
    <row r="136" spans="1:1" x14ac:dyDescent="0.2">
      <c r="A136" s="20" t="s">
        <v>186</v>
      </c>
    </row>
    <row r="137" spans="1:1" x14ac:dyDescent="0.2">
      <c r="A137" s="20" t="s">
        <v>187</v>
      </c>
    </row>
    <row r="138" spans="1:1" x14ac:dyDescent="0.2">
      <c r="A138" s="21" t="s">
        <v>188</v>
      </c>
    </row>
    <row r="139" spans="1:1" x14ac:dyDescent="0.2">
      <c r="A139" s="20" t="s">
        <v>189</v>
      </c>
    </row>
    <row r="140" spans="1:1" x14ac:dyDescent="0.2">
      <c r="A140" s="20" t="s">
        <v>190</v>
      </c>
    </row>
    <row r="141" spans="1:1" x14ac:dyDescent="0.2">
      <c r="A141" s="20" t="s">
        <v>191</v>
      </c>
    </row>
    <row r="142" spans="1:1" x14ac:dyDescent="0.2">
      <c r="A142" s="20" t="s">
        <v>192</v>
      </c>
    </row>
    <row r="143" spans="1:1" x14ac:dyDescent="0.2">
      <c r="A143" s="21" t="s">
        <v>193</v>
      </c>
    </row>
    <row r="144" spans="1:1" x14ac:dyDescent="0.2">
      <c r="A144" s="4" t="s">
        <v>194</v>
      </c>
    </row>
    <row r="145" spans="1:1" x14ac:dyDescent="0.2">
      <c r="A145" s="4" t="s">
        <v>195</v>
      </c>
    </row>
    <row r="146" spans="1:1" x14ac:dyDescent="0.2">
      <c r="A146" s="4" t="s">
        <v>196</v>
      </c>
    </row>
    <row r="147" spans="1:1" x14ac:dyDescent="0.2">
      <c r="A147" s="14" t="s">
        <v>140</v>
      </c>
    </row>
    <row r="148" spans="1:1" x14ac:dyDescent="0.2">
      <c r="A148" s="14" t="s">
        <v>133</v>
      </c>
    </row>
    <row r="149" spans="1:1" x14ac:dyDescent="0.2">
      <c r="A149" s="4"/>
    </row>
    <row r="150" spans="1:1" x14ac:dyDescent="0.2">
      <c r="A150" s="3" t="s">
        <v>197</v>
      </c>
    </row>
    <row r="151" spans="1:1" ht="17" x14ac:dyDescent="0.2">
      <c r="A151" s="17" t="s">
        <v>198</v>
      </c>
    </row>
    <row r="152" spans="1:1" x14ac:dyDescent="0.2">
      <c r="A152" s="4" t="s">
        <v>199</v>
      </c>
    </row>
    <row r="153" spans="1:1" x14ac:dyDescent="0.2">
      <c r="A153" s="4" t="s">
        <v>200</v>
      </c>
    </row>
    <row r="154" spans="1:1" x14ac:dyDescent="0.2">
      <c r="A154" s="4" t="s">
        <v>201</v>
      </c>
    </row>
    <row r="155" spans="1:1" x14ac:dyDescent="0.2">
      <c r="A155" s="18" t="s">
        <v>140</v>
      </c>
    </row>
    <row r="156" spans="1:1" x14ac:dyDescent="0.2">
      <c r="A156" s="18" t="s">
        <v>133</v>
      </c>
    </row>
    <row r="157" spans="1:1" x14ac:dyDescent="0.2">
      <c r="A157" s="4"/>
    </row>
    <row r="158" spans="1:1" x14ac:dyDescent="0.2">
      <c r="A158" s="3" t="s">
        <v>202</v>
      </c>
    </row>
    <row r="159" spans="1:1" x14ac:dyDescent="0.2">
      <c r="A159" s="4" t="s">
        <v>203</v>
      </c>
    </row>
    <row r="160" spans="1:1" x14ac:dyDescent="0.2">
      <c r="A160" s="4" t="s">
        <v>204</v>
      </c>
    </row>
    <row r="161" spans="1:1" x14ac:dyDescent="0.2">
      <c r="A161" s="4" t="s">
        <v>205</v>
      </c>
    </row>
    <row r="162" spans="1:1" x14ac:dyDescent="0.2">
      <c r="A162" s="14" t="s">
        <v>206</v>
      </c>
    </row>
    <row r="163" spans="1:1" x14ac:dyDescent="0.2">
      <c r="A163" s="14" t="s">
        <v>133</v>
      </c>
    </row>
    <row r="164" spans="1:1" x14ac:dyDescent="0.2">
      <c r="A164" s="4"/>
    </row>
    <row r="165" spans="1:1" x14ac:dyDescent="0.2">
      <c r="A165" s="3" t="s">
        <v>207</v>
      </c>
    </row>
    <row r="166" spans="1:1" x14ac:dyDescent="0.2">
      <c r="A166" s="4" t="s">
        <v>208</v>
      </c>
    </row>
    <row r="167" spans="1:1" x14ac:dyDescent="0.2">
      <c r="A167" s="4" t="s">
        <v>209</v>
      </c>
    </row>
    <row r="168" spans="1:1" x14ac:dyDescent="0.2">
      <c r="A168" s="4" t="s">
        <v>210</v>
      </c>
    </row>
    <row r="169" spans="1:1" x14ac:dyDescent="0.2">
      <c r="A169" s="14" t="s">
        <v>140</v>
      </c>
    </row>
    <row r="170" spans="1:1" x14ac:dyDescent="0.2">
      <c r="A170" s="14" t="s">
        <v>133</v>
      </c>
    </row>
    <row r="171" spans="1:1" x14ac:dyDescent="0.2">
      <c r="A171" s="4"/>
    </row>
    <row r="172" spans="1:1" x14ac:dyDescent="0.2">
      <c r="A172" s="4"/>
    </row>
    <row r="173" spans="1:1" ht="17" thickBot="1" x14ac:dyDescent="0.25"/>
    <row r="174" spans="1:1" ht="17" thickBot="1" x14ac:dyDescent="0.25">
      <c r="A174" s="22"/>
    </row>
    <row r="175" spans="1:1" x14ac:dyDescent="0.2">
      <c r="A175" s="23" t="s">
        <v>211</v>
      </c>
    </row>
    <row r="176" spans="1:1" x14ac:dyDescent="0.2">
      <c r="A176" s="24" t="s">
        <v>212</v>
      </c>
    </row>
    <row r="177" spans="1:1" x14ac:dyDescent="0.2">
      <c r="A177" s="24" t="s">
        <v>213</v>
      </c>
    </row>
    <row r="178" spans="1:1" x14ac:dyDescent="0.2">
      <c r="A178" s="24" t="s">
        <v>214</v>
      </c>
    </row>
    <row r="179" spans="1:1" x14ac:dyDescent="0.2">
      <c r="A179" s="25"/>
    </row>
    <row r="180" spans="1:1" x14ac:dyDescent="0.2">
      <c r="A180" s="26" t="s">
        <v>215</v>
      </c>
    </row>
    <row r="181" spans="1:1" x14ac:dyDescent="0.2">
      <c r="A181" s="24" t="s">
        <v>216</v>
      </c>
    </row>
    <row r="182" spans="1:1" x14ac:dyDescent="0.2">
      <c r="A182" s="25"/>
    </row>
    <row r="183" spans="1:1" ht="17" thickBot="1" x14ac:dyDescent="0.25">
      <c r="A183" s="27" t="s">
        <v>217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7"/>
  <sheetViews>
    <sheetView workbookViewId="0">
      <pane xSplit="1" ySplit="2" topLeftCell="B3" activePane="bottomRight" state="frozen"/>
      <selection pane="topRight" activeCell="B1" sqref="B1"/>
      <selection pane="bottomLeft" activeCell="A3" sqref="A3"/>
      <selection pane="bottomRight"/>
    </sheetView>
  </sheetViews>
  <sheetFormatPr baseColWidth="10" defaultColWidth="8.83203125" defaultRowHeight="15" x14ac:dyDescent="0.2"/>
  <cols>
    <col min="1" max="1" width="23.33203125" bestFit="1" customWidth="1"/>
    <col min="6" max="6" width="8.83203125" style="38"/>
    <col min="7" max="7" width="8.83203125" style="39"/>
  </cols>
  <sheetData>
    <row r="1" spans="1:8" ht="16" x14ac:dyDescent="0.2">
      <c r="A1" s="31" t="s">
        <v>221</v>
      </c>
    </row>
    <row r="2" spans="1:8" ht="16" x14ac:dyDescent="0.2">
      <c r="A2" s="32" t="s">
        <v>0</v>
      </c>
      <c r="B2" s="33" t="s">
        <v>222</v>
      </c>
      <c r="C2" s="34" t="s">
        <v>223</v>
      </c>
      <c r="D2" s="34" t="s">
        <v>224</v>
      </c>
      <c r="E2" s="34"/>
      <c r="F2" s="40" t="s">
        <v>218</v>
      </c>
      <c r="G2" s="41" t="s">
        <v>67</v>
      </c>
      <c r="H2" s="37" t="s">
        <v>225</v>
      </c>
    </row>
    <row r="3" spans="1:8" x14ac:dyDescent="0.2">
      <c r="A3" t="s">
        <v>30</v>
      </c>
      <c r="B3">
        <v>7</v>
      </c>
      <c r="C3">
        <v>10</v>
      </c>
      <c r="D3">
        <v>4</v>
      </c>
      <c r="F3" s="38">
        <v>7.52</v>
      </c>
      <c r="H3" t="s">
        <v>31</v>
      </c>
    </row>
    <row r="4" spans="1:8" x14ac:dyDescent="0.2">
      <c r="A4" t="s">
        <v>30</v>
      </c>
      <c r="B4">
        <v>0</v>
      </c>
      <c r="C4">
        <v>0</v>
      </c>
      <c r="D4">
        <v>0</v>
      </c>
      <c r="F4" s="38">
        <v>0</v>
      </c>
      <c r="H4" t="s">
        <v>32</v>
      </c>
    </row>
    <row r="5" spans="1:8" x14ac:dyDescent="0.2">
      <c r="A5" t="s">
        <v>30</v>
      </c>
      <c r="B5">
        <v>7</v>
      </c>
      <c r="C5">
        <v>10</v>
      </c>
      <c r="D5">
        <v>4</v>
      </c>
      <c r="F5" s="38">
        <v>7.52</v>
      </c>
      <c r="H5" t="s">
        <v>33</v>
      </c>
    </row>
    <row r="6" spans="1:8" x14ac:dyDescent="0.2">
      <c r="A6" t="s">
        <v>30</v>
      </c>
      <c r="F6" s="38">
        <v>7.52</v>
      </c>
      <c r="G6" s="39">
        <v>0</v>
      </c>
      <c r="H6" t="s">
        <v>68</v>
      </c>
    </row>
    <row r="8" spans="1:8" x14ac:dyDescent="0.2">
      <c r="A8" t="s">
        <v>34</v>
      </c>
      <c r="B8">
        <v>0</v>
      </c>
      <c r="C8">
        <v>0</v>
      </c>
      <c r="D8">
        <v>0.5</v>
      </c>
      <c r="F8" s="38">
        <f>B8+C8/20+D8/240</f>
        <v>2.0833333333333333E-3</v>
      </c>
      <c r="H8" t="s">
        <v>230</v>
      </c>
    </row>
    <row r="9" spans="1:8" x14ac:dyDescent="0.2">
      <c r="A9" t="s">
        <v>34</v>
      </c>
      <c r="B9">
        <v>0</v>
      </c>
      <c r="C9">
        <v>0</v>
      </c>
      <c r="D9">
        <v>0</v>
      </c>
      <c r="F9" s="38">
        <v>0</v>
      </c>
      <c r="H9" t="s">
        <v>36</v>
      </c>
    </row>
    <row r="10" spans="1:8" x14ac:dyDescent="0.2">
      <c r="A10" t="s">
        <v>34</v>
      </c>
      <c r="F10" s="38">
        <v>0</v>
      </c>
      <c r="G10" s="39">
        <v>0</v>
      </c>
      <c r="H10" t="s">
        <v>68</v>
      </c>
    </row>
    <row r="12" spans="1:8" x14ac:dyDescent="0.2">
      <c r="A12" t="s">
        <v>37</v>
      </c>
      <c r="B12">
        <v>7</v>
      </c>
      <c r="C12">
        <v>10</v>
      </c>
      <c r="D12">
        <v>4.5</v>
      </c>
      <c r="F12" s="38">
        <v>7.52</v>
      </c>
      <c r="H12" t="s">
        <v>38</v>
      </c>
    </row>
    <row r="13" spans="1:8" x14ac:dyDescent="0.2">
      <c r="A13" t="s">
        <v>37</v>
      </c>
      <c r="F13" s="38">
        <v>7.52</v>
      </c>
      <c r="G13" s="39">
        <f>F13-F12</f>
        <v>0</v>
      </c>
      <c r="H13" t="s">
        <v>68</v>
      </c>
    </row>
    <row r="15" spans="1:8" x14ac:dyDescent="0.2">
      <c r="A15" t="s">
        <v>39</v>
      </c>
      <c r="B15">
        <v>0</v>
      </c>
      <c r="C15">
        <v>1</v>
      </c>
      <c r="D15">
        <v>0</v>
      </c>
      <c r="F15" s="38">
        <f>B15+C15/20+D15/240</f>
        <v>0.05</v>
      </c>
      <c r="H15" t="s">
        <v>229</v>
      </c>
    </row>
    <row r="16" spans="1:8" x14ac:dyDescent="0.2">
      <c r="A16" t="s">
        <v>39</v>
      </c>
      <c r="B16">
        <v>0</v>
      </c>
      <c r="C16">
        <v>1</v>
      </c>
      <c r="D16">
        <v>0</v>
      </c>
      <c r="F16" s="38">
        <f>B16+C16/20+D16/240</f>
        <v>0.05</v>
      </c>
      <c r="H16" t="s">
        <v>228</v>
      </c>
    </row>
    <row r="17" spans="1:8" x14ac:dyDescent="0.2">
      <c r="A17" t="s">
        <v>39</v>
      </c>
      <c r="B17">
        <v>0</v>
      </c>
      <c r="C17">
        <v>0</v>
      </c>
      <c r="D17">
        <v>2</v>
      </c>
      <c r="F17" s="38">
        <f>B17+C17/20+D17/240</f>
        <v>8.3333333333333332E-3</v>
      </c>
      <c r="H17" t="s">
        <v>226</v>
      </c>
    </row>
    <row r="18" spans="1:8" x14ac:dyDescent="0.2">
      <c r="B18">
        <v>0</v>
      </c>
      <c r="C18">
        <v>2</v>
      </c>
      <c r="D18">
        <v>2</v>
      </c>
      <c r="F18" s="38">
        <v>0.11</v>
      </c>
      <c r="H18" t="s">
        <v>227</v>
      </c>
    </row>
    <row r="19" spans="1:8" x14ac:dyDescent="0.2">
      <c r="A19" t="s">
        <v>39</v>
      </c>
      <c r="F19" s="38">
        <f>SUM(F15:F17)</f>
        <v>0.10833333333333334</v>
      </c>
      <c r="G19" s="39">
        <f>F19-F18</f>
        <v>-1.6666666666666635E-3</v>
      </c>
      <c r="H19" t="s">
        <v>68</v>
      </c>
    </row>
    <row r="21" spans="1:8" x14ac:dyDescent="0.2">
      <c r="A21" t="s">
        <v>44</v>
      </c>
      <c r="B21">
        <v>7</v>
      </c>
      <c r="C21">
        <v>8</v>
      </c>
      <c r="D21">
        <v>2.5</v>
      </c>
      <c r="F21" s="38">
        <v>7.41</v>
      </c>
      <c r="H21" t="s">
        <v>45</v>
      </c>
    </row>
    <row r="22" spans="1:8" x14ac:dyDescent="0.2">
      <c r="A22" t="s">
        <v>44</v>
      </c>
      <c r="F22" s="38">
        <v>7.41</v>
      </c>
      <c r="G22" s="39">
        <f>F22-F21</f>
        <v>0</v>
      </c>
      <c r="H22" t="s">
        <v>68</v>
      </c>
    </row>
    <row r="24" spans="1:8" x14ac:dyDescent="0.2">
      <c r="A24" t="s">
        <v>50</v>
      </c>
      <c r="B24">
        <v>0</v>
      </c>
      <c r="C24">
        <v>0</v>
      </c>
      <c r="D24">
        <v>3</v>
      </c>
      <c r="F24" s="38">
        <v>0.01</v>
      </c>
      <c r="H24" t="s">
        <v>51</v>
      </c>
    </row>
    <row r="25" spans="1:8" x14ac:dyDescent="0.2">
      <c r="A25" t="s">
        <v>50</v>
      </c>
      <c r="B25">
        <v>0</v>
      </c>
      <c r="C25">
        <v>0</v>
      </c>
      <c r="D25">
        <v>3</v>
      </c>
      <c r="F25" s="38">
        <v>0.01</v>
      </c>
      <c r="H25" t="s">
        <v>52</v>
      </c>
    </row>
    <row r="26" spans="1:8" x14ac:dyDescent="0.2">
      <c r="A26" t="s">
        <v>50</v>
      </c>
      <c r="B26">
        <v>0</v>
      </c>
      <c r="C26">
        <v>0</v>
      </c>
      <c r="D26">
        <v>3</v>
      </c>
      <c r="F26" s="38">
        <v>0.01</v>
      </c>
      <c r="H26" t="s">
        <v>53</v>
      </c>
    </row>
    <row r="27" spans="1:8" x14ac:dyDescent="0.2">
      <c r="A27" t="s">
        <v>50</v>
      </c>
      <c r="B27">
        <v>0</v>
      </c>
      <c r="C27">
        <v>0</v>
      </c>
      <c r="D27">
        <v>6</v>
      </c>
      <c r="F27" s="38">
        <v>0.03</v>
      </c>
      <c r="H27" t="s">
        <v>54</v>
      </c>
    </row>
    <row r="28" spans="1:8" x14ac:dyDescent="0.2">
      <c r="A28" t="s">
        <v>50</v>
      </c>
      <c r="B28">
        <v>0</v>
      </c>
      <c r="C28">
        <v>4</v>
      </c>
      <c r="D28">
        <v>6</v>
      </c>
      <c r="F28" s="38">
        <v>0.23</v>
      </c>
      <c r="H28" t="s">
        <v>55</v>
      </c>
    </row>
    <row r="29" spans="1:8" x14ac:dyDescent="0.2">
      <c r="A29" t="s">
        <v>50</v>
      </c>
      <c r="B29">
        <v>0</v>
      </c>
      <c r="C29">
        <v>0</v>
      </c>
      <c r="D29">
        <v>6</v>
      </c>
      <c r="F29" s="38">
        <v>0.03</v>
      </c>
      <c r="H29" t="s">
        <v>56</v>
      </c>
    </row>
    <row r="30" spans="1:8" x14ac:dyDescent="0.2">
      <c r="A30" t="s">
        <v>50</v>
      </c>
      <c r="B30">
        <v>0</v>
      </c>
      <c r="C30">
        <v>0</v>
      </c>
      <c r="D30">
        <v>3</v>
      </c>
      <c r="F30" s="38">
        <v>0.01</v>
      </c>
      <c r="H30" t="s">
        <v>57</v>
      </c>
    </row>
    <row r="31" spans="1:8" x14ac:dyDescent="0.2">
      <c r="A31" t="s">
        <v>50</v>
      </c>
      <c r="B31">
        <v>0</v>
      </c>
      <c r="C31">
        <v>0</v>
      </c>
      <c r="D31">
        <v>3</v>
      </c>
      <c r="F31" s="38">
        <v>0.01</v>
      </c>
      <c r="H31" t="s">
        <v>58</v>
      </c>
    </row>
    <row r="32" spans="1:8" x14ac:dyDescent="0.2">
      <c r="A32" t="s">
        <v>50</v>
      </c>
      <c r="B32">
        <v>0</v>
      </c>
      <c r="C32">
        <v>6</v>
      </c>
      <c r="D32">
        <v>9</v>
      </c>
      <c r="F32" s="38">
        <v>0.34</v>
      </c>
      <c r="H32" t="s">
        <v>59</v>
      </c>
    </row>
    <row r="34" spans="1:8" x14ac:dyDescent="0.2">
      <c r="A34" t="s">
        <v>50</v>
      </c>
      <c r="B34">
        <v>0</v>
      </c>
      <c r="C34">
        <v>9</v>
      </c>
      <c r="D34">
        <v>3</v>
      </c>
      <c r="F34" s="38">
        <v>0.46</v>
      </c>
      <c r="H34" t="s">
        <v>60</v>
      </c>
    </row>
    <row r="36" spans="1:8" x14ac:dyDescent="0.2">
      <c r="A36" t="s">
        <v>61</v>
      </c>
      <c r="B36">
        <v>7</v>
      </c>
      <c r="C36">
        <v>17</v>
      </c>
      <c r="D36">
        <v>5.5</v>
      </c>
      <c r="F36" s="38">
        <v>7.87</v>
      </c>
      <c r="H36" t="s">
        <v>62</v>
      </c>
    </row>
    <row r="37" spans="1:8" x14ac:dyDescent="0.2">
      <c r="A37" t="s">
        <v>61</v>
      </c>
      <c r="B37">
        <v>0</v>
      </c>
      <c r="C37">
        <v>0</v>
      </c>
      <c r="D37">
        <v>0</v>
      </c>
      <c r="F37" s="38">
        <v>0</v>
      </c>
      <c r="H37" t="s">
        <v>63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
  <sheetViews>
    <sheetView workbookViewId="0">
      <pane xSplit="1" ySplit="2" topLeftCell="B3" activePane="bottomRight" state="frozen"/>
      <selection pane="topRight" activeCell="B1" sqref="B1"/>
      <selection pane="bottomLeft" activeCell="A3" sqref="A3"/>
      <selection pane="bottomRight" activeCell="J21" sqref="J21"/>
    </sheetView>
  </sheetViews>
  <sheetFormatPr baseColWidth="10" defaultColWidth="8.83203125" defaultRowHeight="15" x14ac:dyDescent="0.2"/>
  <cols>
    <col min="1" max="1" width="20" bestFit="1" customWidth="1"/>
    <col min="7" max="7" width="8.83203125" style="30"/>
  </cols>
  <sheetData>
    <row r="1" spans="1:8" ht="16" x14ac:dyDescent="0.2">
      <c r="A1" s="31" t="s">
        <v>231</v>
      </c>
    </row>
    <row r="2" spans="1:8" ht="16" x14ac:dyDescent="0.2">
      <c r="A2" s="32" t="s">
        <v>0</v>
      </c>
      <c r="B2" s="33" t="s">
        <v>222</v>
      </c>
      <c r="C2" s="34" t="s">
        <v>223</v>
      </c>
      <c r="D2" s="34" t="s">
        <v>224</v>
      </c>
      <c r="E2" s="34"/>
      <c r="F2" s="35" t="s">
        <v>218</v>
      </c>
      <c r="G2" s="36" t="s">
        <v>67</v>
      </c>
      <c r="H2" s="37" t="s">
        <v>225</v>
      </c>
    </row>
    <row r="3" spans="1:8" x14ac:dyDescent="0.2">
      <c r="A3" t="s">
        <v>64</v>
      </c>
      <c r="B3">
        <v>7</v>
      </c>
      <c r="C3">
        <v>17</v>
      </c>
      <c r="D3">
        <v>5.5</v>
      </c>
      <c r="F3">
        <v>7.87</v>
      </c>
      <c r="H3" t="s">
        <v>65</v>
      </c>
    </row>
    <row r="4" spans="1:8" x14ac:dyDescent="0.2">
      <c r="A4" t="s">
        <v>64</v>
      </c>
      <c r="B4">
        <v>0</v>
      </c>
      <c r="C4">
        <v>0</v>
      </c>
      <c r="D4">
        <v>0</v>
      </c>
      <c r="F4">
        <v>0</v>
      </c>
      <c r="H4" t="s">
        <v>66</v>
      </c>
    </row>
    <row r="5" spans="1:8" x14ac:dyDescent="0.2">
      <c r="A5" t="s">
        <v>64</v>
      </c>
      <c r="F5">
        <v>7.87</v>
      </c>
      <c r="G5" s="30">
        <v>7.87</v>
      </c>
      <c r="H5" t="s">
        <v>68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A2" sqref="A2"/>
    </sheetView>
  </sheetViews>
  <sheetFormatPr baseColWidth="10" defaultColWidth="8.83203125" defaultRowHeight="15" x14ac:dyDescent="0.2"/>
  <sheetData>
    <row r="1" spans="1:1" x14ac:dyDescent="0.2">
      <c r="A1" t="s">
        <v>232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abSelected="1" workbookViewId="0">
      <selection activeCell="A2" sqref="A2"/>
    </sheetView>
  </sheetViews>
  <sheetFormatPr baseColWidth="10" defaultColWidth="8.83203125" defaultRowHeight="15" x14ac:dyDescent="0.2"/>
  <sheetData>
    <row r="1" spans="1:1" x14ac:dyDescent="0.2">
      <c r="A1" t="s">
        <v>233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0"/>
  <sheetViews>
    <sheetView workbookViewId="0">
      <selection activeCell="D27" sqref="D27:F28"/>
    </sheetView>
  </sheetViews>
  <sheetFormatPr baseColWidth="10" defaultColWidth="8.83203125" defaultRowHeight="15" x14ac:dyDescent="0.2"/>
  <cols>
    <col min="1" max="1" width="23.33203125" bestFit="1" customWidth="1"/>
  </cols>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t="s">
        <v>31</v>
      </c>
      <c r="C2">
        <v>7.52</v>
      </c>
      <c r="D2">
        <v>7</v>
      </c>
      <c r="E2">
        <v>10</v>
      </c>
      <c r="F2">
        <v>4</v>
      </c>
      <c r="H2">
        <v>0</v>
      </c>
      <c r="I2">
        <v>0</v>
      </c>
      <c r="J2">
        <v>0</v>
      </c>
      <c r="K2">
        <v>0</v>
      </c>
      <c r="L2">
        <v>0</v>
      </c>
      <c r="M2">
        <v>0</v>
      </c>
      <c r="N2">
        <v>0</v>
      </c>
    </row>
    <row r="3" spans="1:30" x14ac:dyDescent="0.2">
      <c r="A3" t="s">
        <v>30</v>
      </c>
      <c r="B3" t="s">
        <v>32</v>
      </c>
      <c r="C3">
        <v>0</v>
      </c>
      <c r="D3">
        <v>0</v>
      </c>
      <c r="E3">
        <v>0</v>
      </c>
      <c r="F3">
        <v>0</v>
      </c>
      <c r="H3">
        <v>0</v>
      </c>
      <c r="I3">
        <v>0</v>
      </c>
      <c r="J3">
        <v>0</v>
      </c>
      <c r="K3">
        <v>0</v>
      </c>
      <c r="L3">
        <v>0</v>
      </c>
      <c r="M3">
        <v>0</v>
      </c>
      <c r="N3">
        <v>0</v>
      </c>
    </row>
    <row r="4" spans="1:30" x14ac:dyDescent="0.2">
      <c r="A4" t="s">
        <v>30</v>
      </c>
      <c r="B4" t="s">
        <v>33</v>
      </c>
      <c r="C4">
        <v>7.52</v>
      </c>
      <c r="D4">
        <v>7</v>
      </c>
      <c r="E4">
        <v>10</v>
      </c>
      <c r="F4">
        <v>4</v>
      </c>
      <c r="H4">
        <v>0</v>
      </c>
      <c r="I4">
        <v>0</v>
      </c>
      <c r="J4">
        <v>0</v>
      </c>
      <c r="K4">
        <v>0</v>
      </c>
      <c r="L4">
        <v>0</v>
      </c>
      <c r="M4">
        <v>0</v>
      </c>
      <c r="N4">
        <v>0</v>
      </c>
    </row>
    <row r="5" spans="1:30" x14ac:dyDescent="0.2">
      <c r="A5" t="s">
        <v>34</v>
      </c>
      <c r="B5" t="s">
        <v>35</v>
      </c>
      <c r="C5">
        <v>0</v>
      </c>
      <c r="D5">
        <v>0</v>
      </c>
      <c r="E5">
        <v>0</v>
      </c>
      <c r="F5">
        <v>0</v>
      </c>
      <c r="H5">
        <v>0</v>
      </c>
      <c r="I5">
        <v>0</v>
      </c>
      <c r="J5">
        <v>0</v>
      </c>
      <c r="K5">
        <v>0</v>
      </c>
      <c r="L5">
        <v>0</v>
      </c>
      <c r="M5">
        <v>0</v>
      </c>
      <c r="N5">
        <v>0</v>
      </c>
    </row>
    <row r="6" spans="1:30" x14ac:dyDescent="0.2">
      <c r="A6" t="s">
        <v>34</v>
      </c>
      <c r="B6" t="s">
        <v>36</v>
      </c>
      <c r="C6">
        <v>0</v>
      </c>
      <c r="D6">
        <v>0</v>
      </c>
      <c r="E6">
        <v>0</v>
      </c>
      <c r="F6">
        <v>0</v>
      </c>
      <c r="H6">
        <v>0</v>
      </c>
      <c r="I6">
        <v>0</v>
      </c>
      <c r="J6">
        <v>0</v>
      </c>
      <c r="K6">
        <v>0</v>
      </c>
      <c r="L6">
        <v>0</v>
      </c>
      <c r="M6">
        <v>0</v>
      </c>
      <c r="N6">
        <v>0</v>
      </c>
    </row>
    <row r="7" spans="1:30" x14ac:dyDescent="0.2">
      <c r="A7" t="s">
        <v>37</v>
      </c>
      <c r="B7" t="s">
        <v>38</v>
      </c>
      <c r="C7">
        <v>7.52</v>
      </c>
      <c r="D7">
        <v>7</v>
      </c>
      <c r="E7">
        <v>10</v>
      </c>
      <c r="F7">
        <v>4.5</v>
      </c>
      <c r="H7">
        <v>0</v>
      </c>
      <c r="I7">
        <v>0</v>
      </c>
      <c r="J7">
        <v>0</v>
      </c>
      <c r="K7">
        <v>0</v>
      </c>
      <c r="L7">
        <v>0</v>
      </c>
      <c r="M7">
        <v>0</v>
      </c>
      <c r="N7">
        <v>0</v>
      </c>
    </row>
    <row r="8" spans="1:30" x14ac:dyDescent="0.2">
      <c r="A8" t="s">
        <v>39</v>
      </c>
      <c r="B8" t="s">
        <v>40</v>
      </c>
      <c r="C8">
        <v>0</v>
      </c>
      <c r="D8">
        <v>0</v>
      </c>
      <c r="E8">
        <v>0</v>
      </c>
      <c r="F8">
        <v>0</v>
      </c>
      <c r="H8">
        <v>0</v>
      </c>
      <c r="I8">
        <v>0</v>
      </c>
      <c r="J8">
        <v>0</v>
      </c>
      <c r="K8">
        <v>0</v>
      </c>
      <c r="L8">
        <v>0</v>
      </c>
      <c r="M8">
        <v>0</v>
      </c>
      <c r="N8">
        <v>0</v>
      </c>
    </row>
    <row r="9" spans="1:30" x14ac:dyDescent="0.2">
      <c r="A9" t="s">
        <v>39</v>
      </c>
      <c r="B9" t="s">
        <v>41</v>
      </c>
      <c r="C9">
        <v>0</v>
      </c>
      <c r="D9">
        <v>0</v>
      </c>
      <c r="E9">
        <v>0</v>
      </c>
      <c r="F9">
        <v>0</v>
      </c>
      <c r="H9">
        <v>0</v>
      </c>
      <c r="I9">
        <v>0</v>
      </c>
      <c r="J9">
        <v>0</v>
      </c>
      <c r="K9">
        <v>0</v>
      </c>
      <c r="L9">
        <v>0</v>
      </c>
      <c r="M9">
        <v>0</v>
      </c>
      <c r="N9">
        <v>0</v>
      </c>
    </row>
    <row r="10" spans="1:30" x14ac:dyDescent="0.2">
      <c r="A10" t="s">
        <v>39</v>
      </c>
      <c r="B10" t="s">
        <v>42</v>
      </c>
      <c r="C10">
        <v>0</v>
      </c>
      <c r="D10">
        <v>0</v>
      </c>
      <c r="E10">
        <v>0</v>
      </c>
      <c r="F10">
        <v>0</v>
      </c>
      <c r="H10">
        <v>0</v>
      </c>
      <c r="I10">
        <v>0</v>
      </c>
      <c r="J10">
        <v>0</v>
      </c>
      <c r="K10">
        <v>0</v>
      </c>
      <c r="L10">
        <v>0</v>
      </c>
      <c r="M10">
        <v>0</v>
      </c>
      <c r="N10">
        <v>0</v>
      </c>
    </row>
    <row r="11" spans="1:30" x14ac:dyDescent="0.2">
      <c r="A11" t="s">
        <v>39</v>
      </c>
      <c r="B11" t="s">
        <v>41</v>
      </c>
      <c r="C11">
        <v>0</v>
      </c>
      <c r="D11">
        <v>0</v>
      </c>
      <c r="E11">
        <v>0</v>
      </c>
      <c r="F11">
        <v>0</v>
      </c>
      <c r="H11">
        <v>0</v>
      </c>
      <c r="I11">
        <v>0</v>
      </c>
      <c r="J11">
        <v>0</v>
      </c>
      <c r="K11">
        <v>0</v>
      </c>
      <c r="L11">
        <v>0</v>
      </c>
      <c r="M11">
        <v>0</v>
      </c>
      <c r="N11">
        <v>0</v>
      </c>
    </row>
    <row r="12" spans="1:30" x14ac:dyDescent="0.2">
      <c r="A12" t="s">
        <v>39</v>
      </c>
      <c r="B12" t="s">
        <v>43</v>
      </c>
      <c r="C12">
        <v>0.11</v>
      </c>
      <c r="D12">
        <v>0</v>
      </c>
      <c r="E12">
        <v>2</v>
      </c>
      <c r="F12">
        <v>2</v>
      </c>
      <c r="H12">
        <v>0</v>
      </c>
      <c r="I12">
        <v>0</v>
      </c>
      <c r="J12">
        <v>0</v>
      </c>
      <c r="K12">
        <v>0</v>
      </c>
      <c r="L12">
        <v>0</v>
      </c>
      <c r="M12">
        <v>0</v>
      </c>
      <c r="N12">
        <v>0</v>
      </c>
    </row>
    <row r="13" spans="1:30" x14ac:dyDescent="0.2">
      <c r="A13" t="s">
        <v>44</v>
      </c>
      <c r="B13" t="s">
        <v>45</v>
      </c>
      <c r="C13">
        <v>7.41</v>
      </c>
      <c r="D13">
        <v>7</v>
      </c>
      <c r="E13">
        <v>8</v>
      </c>
      <c r="F13">
        <v>2.5</v>
      </c>
      <c r="H13">
        <v>0</v>
      </c>
      <c r="I13">
        <v>0</v>
      </c>
      <c r="J13">
        <v>0</v>
      </c>
      <c r="K13">
        <v>0</v>
      </c>
      <c r="L13">
        <v>0</v>
      </c>
      <c r="M13">
        <v>0</v>
      </c>
      <c r="N13">
        <v>0</v>
      </c>
    </row>
    <row r="14" spans="1:30" x14ac:dyDescent="0.2">
      <c r="A14" t="s">
        <v>46</v>
      </c>
      <c r="B14" t="s">
        <v>47</v>
      </c>
      <c r="C14">
        <v>0.1</v>
      </c>
      <c r="D14">
        <v>0</v>
      </c>
      <c r="E14">
        <v>2</v>
      </c>
      <c r="F14">
        <v>0</v>
      </c>
      <c r="H14">
        <v>0</v>
      </c>
      <c r="I14">
        <v>0</v>
      </c>
      <c r="J14">
        <v>0</v>
      </c>
      <c r="K14">
        <v>0</v>
      </c>
      <c r="L14">
        <v>0</v>
      </c>
      <c r="M14">
        <v>0</v>
      </c>
      <c r="N14">
        <v>0</v>
      </c>
    </row>
    <row r="15" spans="1:30" x14ac:dyDescent="0.2">
      <c r="A15" t="s">
        <v>46</v>
      </c>
      <c r="B15" t="s">
        <v>48</v>
      </c>
      <c r="C15">
        <v>0.03</v>
      </c>
      <c r="D15">
        <v>0</v>
      </c>
      <c r="E15">
        <v>0</v>
      </c>
      <c r="F15">
        <v>6</v>
      </c>
      <c r="H15">
        <v>0</v>
      </c>
      <c r="I15">
        <v>0</v>
      </c>
      <c r="J15">
        <v>0</v>
      </c>
      <c r="K15">
        <v>0</v>
      </c>
      <c r="L15">
        <v>0</v>
      </c>
      <c r="M15">
        <v>0</v>
      </c>
      <c r="N15">
        <v>0</v>
      </c>
    </row>
    <row r="16" spans="1:30" x14ac:dyDescent="0.2">
      <c r="A16" t="s">
        <v>46</v>
      </c>
      <c r="B16" t="s">
        <v>49</v>
      </c>
      <c r="C16">
        <v>0.12</v>
      </c>
      <c r="D16">
        <v>0</v>
      </c>
      <c r="E16">
        <v>2</v>
      </c>
      <c r="F16">
        <v>6</v>
      </c>
      <c r="H16">
        <v>0</v>
      </c>
      <c r="I16">
        <v>0</v>
      </c>
      <c r="J16">
        <v>0</v>
      </c>
      <c r="K16">
        <v>0</v>
      </c>
      <c r="L16">
        <v>0</v>
      </c>
      <c r="M16">
        <v>0</v>
      </c>
      <c r="N16">
        <v>0</v>
      </c>
    </row>
    <row r="17" spans="1:14" x14ac:dyDescent="0.2">
      <c r="A17" t="s">
        <v>50</v>
      </c>
      <c r="B17" t="s">
        <v>51</v>
      </c>
      <c r="C17">
        <v>0.01</v>
      </c>
      <c r="D17">
        <v>0</v>
      </c>
      <c r="E17">
        <v>0</v>
      </c>
      <c r="F17">
        <v>3</v>
      </c>
      <c r="H17">
        <v>0</v>
      </c>
      <c r="I17">
        <v>0</v>
      </c>
      <c r="J17">
        <v>0</v>
      </c>
      <c r="K17">
        <v>0</v>
      </c>
      <c r="L17">
        <v>0</v>
      </c>
      <c r="M17">
        <v>0</v>
      </c>
      <c r="N17">
        <v>0</v>
      </c>
    </row>
    <row r="18" spans="1:14" x14ac:dyDescent="0.2">
      <c r="A18" t="s">
        <v>50</v>
      </c>
      <c r="B18" t="s">
        <v>52</v>
      </c>
      <c r="C18">
        <v>0.01</v>
      </c>
      <c r="D18">
        <v>0</v>
      </c>
      <c r="E18">
        <v>0</v>
      </c>
      <c r="F18">
        <v>3</v>
      </c>
      <c r="H18">
        <v>0</v>
      </c>
      <c r="I18">
        <v>0</v>
      </c>
      <c r="J18">
        <v>0</v>
      </c>
      <c r="K18">
        <v>0</v>
      </c>
      <c r="L18">
        <v>0</v>
      </c>
      <c r="M18">
        <v>0</v>
      </c>
      <c r="N18">
        <v>0</v>
      </c>
    </row>
    <row r="19" spans="1:14" x14ac:dyDescent="0.2">
      <c r="A19" t="s">
        <v>50</v>
      </c>
      <c r="B19" t="s">
        <v>53</v>
      </c>
      <c r="C19">
        <v>0.01</v>
      </c>
      <c r="D19">
        <v>0</v>
      </c>
      <c r="E19">
        <v>0</v>
      </c>
      <c r="F19">
        <v>3</v>
      </c>
      <c r="H19">
        <v>0</v>
      </c>
      <c r="I19">
        <v>0</v>
      </c>
      <c r="J19">
        <v>0</v>
      </c>
      <c r="K19">
        <v>0</v>
      </c>
      <c r="L19">
        <v>0</v>
      </c>
      <c r="M19">
        <v>0</v>
      </c>
      <c r="N19">
        <v>0</v>
      </c>
    </row>
    <row r="20" spans="1:14" x14ac:dyDescent="0.2">
      <c r="A20" t="s">
        <v>50</v>
      </c>
      <c r="B20" t="s">
        <v>54</v>
      </c>
      <c r="C20">
        <v>0.03</v>
      </c>
      <c r="D20">
        <v>0</v>
      </c>
      <c r="E20">
        <v>0</v>
      </c>
      <c r="F20">
        <v>6</v>
      </c>
      <c r="H20">
        <v>0</v>
      </c>
      <c r="I20">
        <v>0</v>
      </c>
      <c r="J20">
        <v>0</v>
      </c>
      <c r="K20">
        <v>0</v>
      </c>
      <c r="L20">
        <v>0</v>
      </c>
      <c r="M20">
        <v>0</v>
      </c>
      <c r="N20">
        <v>0</v>
      </c>
    </row>
    <row r="21" spans="1:14" x14ac:dyDescent="0.2">
      <c r="A21" t="s">
        <v>50</v>
      </c>
      <c r="B21" t="s">
        <v>55</v>
      </c>
      <c r="C21">
        <v>0.23</v>
      </c>
      <c r="D21">
        <v>0</v>
      </c>
      <c r="E21">
        <v>4</v>
      </c>
      <c r="F21">
        <v>6</v>
      </c>
      <c r="H21">
        <v>0</v>
      </c>
      <c r="I21">
        <v>0</v>
      </c>
      <c r="J21">
        <v>0</v>
      </c>
      <c r="K21">
        <v>0</v>
      </c>
      <c r="L21">
        <v>0</v>
      </c>
      <c r="M21">
        <v>0</v>
      </c>
      <c r="N21">
        <v>0</v>
      </c>
    </row>
    <row r="22" spans="1:14" x14ac:dyDescent="0.2">
      <c r="A22" t="s">
        <v>50</v>
      </c>
      <c r="B22" t="s">
        <v>56</v>
      </c>
      <c r="C22">
        <v>0.03</v>
      </c>
      <c r="D22">
        <v>0</v>
      </c>
      <c r="E22">
        <v>0</v>
      </c>
      <c r="F22">
        <v>6</v>
      </c>
      <c r="H22">
        <v>0</v>
      </c>
      <c r="I22">
        <v>0</v>
      </c>
      <c r="J22">
        <v>0</v>
      </c>
      <c r="K22">
        <v>0</v>
      </c>
      <c r="L22">
        <v>0</v>
      </c>
      <c r="M22">
        <v>0</v>
      </c>
      <c r="N22">
        <v>0</v>
      </c>
    </row>
    <row r="23" spans="1:14" x14ac:dyDescent="0.2">
      <c r="A23" t="s">
        <v>50</v>
      </c>
      <c r="B23" t="s">
        <v>57</v>
      </c>
      <c r="C23">
        <v>0.01</v>
      </c>
      <c r="D23">
        <v>0</v>
      </c>
      <c r="E23">
        <v>0</v>
      </c>
      <c r="F23">
        <v>3</v>
      </c>
      <c r="H23">
        <v>0</v>
      </c>
      <c r="I23">
        <v>0</v>
      </c>
      <c r="J23">
        <v>0</v>
      </c>
      <c r="K23">
        <v>0</v>
      </c>
      <c r="L23">
        <v>0</v>
      </c>
      <c r="M23">
        <v>0</v>
      </c>
      <c r="N23">
        <v>0</v>
      </c>
    </row>
    <row r="24" spans="1:14" x14ac:dyDescent="0.2">
      <c r="A24" t="s">
        <v>50</v>
      </c>
      <c r="B24" t="s">
        <v>58</v>
      </c>
      <c r="C24">
        <v>0.01</v>
      </c>
      <c r="D24">
        <v>0</v>
      </c>
      <c r="E24">
        <v>0</v>
      </c>
      <c r="F24">
        <v>3</v>
      </c>
      <c r="H24">
        <v>0</v>
      </c>
      <c r="I24">
        <v>0</v>
      </c>
      <c r="J24">
        <v>0</v>
      </c>
      <c r="K24">
        <v>0</v>
      </c>
      <c r="L24">
        <v>0</v>
      </c>
      <c r="M24">
        <v>0</v>
      </c>
      <c r="N24">
        <v>0</v>
      </c>
    </row>
    <row r="25" spans="1:14" x14ac:dyDescent="0.2">
      <c r="A25" t="s">
        <v>50</v>
      </c>
      <c r="B25" t="s">
        <v>59</v>
      </c>
      <c r="C25">
        <v>0.34</v>
      </c>
      <c r="D25">
        <v>0</v>
      </c>
      <c r="E25">
        <v>6</v>
      </c>
      <c r="F25">
        <v>9</v>
      </c>
      <c r="H25">
        <v>0</v>
      </c>
      <c r="I25">
        <v>0</v>
      </c>
      <c r="J25">
        <v>0</v>
      </c>
      <c r="K25">
        <v>0</v>
      </c>
      <c r="L25">
        <v>0</v>
      </c>
      <c r="M25">
        <v>0</v>
      </c>
      <c r="N25">
        <v>0</v>
      </c>
    </row>
    <row r="26" spans="1:14" x14ac:dyDescent="0.2">
      <c r="A26" t="s">
        <v>50</v>
      </c>
      <c r="B26" t="s">
        <v>60</v>
      </c>
      <c r="C26">
        <v>0.46</v>
      </c>
      <c r="D26">
        <v>0</v>
      </c>
      <c r="E26">
        <v>9</v>
      </c>
      <c r="F26">
        <v>3</v>
      </c>
      <c r="H26">
        <v>0</v>
      </c>
      <c r="I26">
        <v>0</v>
      </c>
      <c r="J26">
        <v>0</v>
      </c>
      <c r="K26">
        <v>0</v>
      </c>
      <c r="L26">
        <v>0</v>
      </c>
      <c r="M26">
        <v>0</v>
      </c>
      <c r="N26">
        <v>0</v>
      </c>
    </row>
    <row r="27" spans="1:14" x14ac:dyDescent="0.2">
      <c r="A27" t="s">
        <v>61</v>
      </c>
      <c r="B27" t="s">
        <v>62</v>
      </c>
      <c r="C27">
        <v>7.87</v>
      </c>
      <c r="D27">
        <v>7</v>
      </c>
      <c r="E27">
        <v>17</v>
      </c>
      <c r="F27">
        <v>5.5</v>
      </c>
      <c r="H27">
        <v>0</v>
      </c>
      <c r="I27">
        <v>0</v>
      </c>
      <c r="J27">
        <v>0</v>
      </c>
      <c r="K27">
        <v>0</v>
      </c>
      <c r="L27">
        <v>0</v>
      </c>
      <c r="M27">
        <v>0</v>
      </c>
      <c r="N27">
        <v>0</v>
      </c>
    </row>
    <row r="28" spans="1:14" x14ac:dyDescent="0.2">
      <c r="A28" t="s">
        <v>61</v>
      </c>
      <c r="B28" t="s">
        <v>63</v>
      </c>
      <c r="C28">
        <v>0</v>
      </c>
      <c r="D28">
        <v>0</v>
      </c>
      <c r="E28">
        <v>0</v>
      </c>
      <c r="F28">
        <v>0</v>
      </c>
      <c r="H28">
        <v>0</v>
      </c>
      <c r="I28">
        <v>0</v>
      </c>
      <c r="J28">
        <v>0</v>
      </c>
      <c r="K28">
        <v>0</v>
      </c>
      <c r="L28">
        <v>0</v>
      </c>
      <c r="M28">
        <v>0</v>
      </c>
      <c r="N28">
        <v>0</v>
      </c>
    </row>
    <row r="29" spans="1:14" x14ac:dyDescent="0.2">
      <c r="A29" t="s">
        <v>64</v>
      </c>
      <c r="B29" t="s">
        <v>65</v>
      </c>
      <c r="C29">
        <v>7.87</v>
      </c>
      <c r="D29">
        <v>7</v>
      </c>
      <c r="E29">
        <v>17</v>
      </c>
      <c r="F29">
        <v>5.5</v>
      </c>
      <c r="H29">
        <v>0</v>
      </c>
      <c r="I29">
        <v>0</v>
      </c>
      <c r="J29">
        <v>0</v>
      </c>
      <c r="K29">
        <v>0</v>
      </c>
      <c r="L29">
        <v>0</v>
      </c>
      <c r="M29">
        <v>0</v>
      </c>
      <c r="N29">
        <v>0</v>
      </c>
    </row>
    <row r="30" spans="1:14" x14ac:dyDescent="0.2">
      <c r="A30" t="s">
        <v>64</v>
      </c>
      <c r="B30" t="s">
        <v>66</v>
      </c>
      <c r="C30">
        <v>0</v>
      </c>
      <c r="D30">
        <v>0</v>
      </c>
      <c r="E30">
        <v>0</v>
      </c>
      <c r="F30">
        <v>0</v>
      </c>
      <c r="H30">
        <v>0</v>
      </c>
      <c r="I30">
        <v>0</v>
      </c>
      <c r="J30">
        <v>0</v>
      </c>
      <c r="K30">
        <v>0</v>
      </c>
      <c r="L30">
        <v>0</v>
      </c>
      <c r="M30">
        <v>0</v>
      </c>
      <c r="N3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Receipts</vt:lpstr>
      <vt:lpstr>Expenses</vt:lpstr>
      <vt:lpstr>Issues of the Grange</vt:lpstr>
      <vt:lpstr>Issues of the Mills</vt:lpstr>
      <vt:lpstr>Stock</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Victoria Gierok</cp:lastModifiedBy>
  <dcterms:created xsi:type="dcterms:W3CDTF">2024-04-19T11:10:15Z</dcterms:created>
  <dcterms:modified xsi:type="dcterms:W3CDTF">2025-08-29T13:43:20Z</dcterms:modified>
</cp:coreProperties>
</file>
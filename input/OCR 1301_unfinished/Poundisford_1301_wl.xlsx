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45B96D00-514C-F146-9461-A4E8D3BD6B63}" xr6:coauthVersionLast="47" xr6:coauthVersionMax="47" xr10:uidLastSave="{00000000-0000-0000-0000-000000000000}"/>
  <bookViews>
    <workbookView xWindow="6440" yWindow="500" windowWidth="20800" windowHeight="16600" activeTab="5"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1" i="4" l="1"/>
  <c r="R65" i="4"/>
  <c r="O14" i="4"/>
  <c r="O15" i="4"/>
  <c r="O18" i="4"/>
  <c r="O26" i="4"/>
  <c r="O12" i="4"/>
  <c r="O44" i="4"/>
  <c r="O46" i="4"/>
  <c r="O47" i="4"/>
  <c r="O43" i="4"/>
  <c r="R47" i="4"/>
  <c r="R46" i="4"/>
  <c r="R44" i="4"/>
  <c r="R43" i="4"/>
  <c r="R26" i="4"/>
  <c r="R18" i="4"/>
  <c r="R15" i="4"/>
  <c r="R14" i="4"/>
  <c r="I14" i="4"/>
  <c r="L6" i="4"/>
  <c r="L7" i="4"/>
  <c r="L8" i="4"/>
  <c r="L12" i="4"/>
  <c r="L13" i="4"/>
  <c r="L14" i="4"/>
  <c r="L15" i="4"/>
  <c r="L16" i="4"/>
  <c r="L17" i="4"/>
  <c r="L18" i="4"/>
  <c r="L19" i="4"/>
  <c r="L26" i="4"/>
  <c r="L27" i="4"/>
  <c r="L28" i="4"/>
  <c r="L5" i="4"/>
  <c r="R12" i="4"/>
  <c r="O10" i="11"/>
  <c r="O9" i="11"/>
  <c r="N10" i="11"/>
  <c r="N9" i="11"/>
  <c r="L10" i="11"/>
  <c r="L9" i="11"/>
  <c r="E10" i="11"/>
  <c r="E9" i="11"/>
  <c r="K10" i="11"/>
  <c r="K9" i="11"/>
  <c r="I9" i="11"/>
  <c r="B10" i="11"/>
  <c r="B9" i="11"/>
  <c r="I3" i="11"/>
  <c r="I2" i="11"/>
  <c r="G3" i="11"/>
  <c r="G2" i="11"/>
  <c r="I28" i="4"/>
  <c r="C28" i="4"/>
  <c r="J15" i="4"/>
  <c r="C14" i="4"/>
  <c r="C12" i="4"/>
  <c r="G58" i="3"/>
  <c r="F53" i="3"/>
  <c r="F55" i="3" s="1"/>
  <c r="F54" i="3"/>
  <c r="F41" i="3"/>
  <c r="G42" i="3" s="1"/>
  <c r="F134" i="2"/>
  <c r="F137" i="2" s="1"/>
  <c r="G137" i="2" s="1"/>
  <c r="F85" i="2"/>
  <c r="G86" i="2" s="1"/>
  <c r="F52" i="2"/>
  <c r="F54" i="2" s="1"/>
  <c r="G54" i="2" s="1"/>
  <c r="F24" i="2"/>
  <c r="G24" i="2" s="1"/>
  <c r="F19" i="2"/>
  <c r="F12" i="2"/>
  <c r="F14" i="2" s="1"/>
  <c r="G14" i="2" s="1"/>
  <c r="G55" i="3" l="1"/>
  <c r="G1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8" authorId="0" shapeId="0" xr:uid="{070490DB-17E6-CA47-9753-2C16569A516B}">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407F5374-4E66-7040-80B6-338B93243788}">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63D382FA-F25F-5147-ADD8-663966A68CA4}">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<sst xmlns="http://schemas.openxmlformats.org/spreadsheetml/2006/main" count="1419" uniqueCount="632">
  <si>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</si>
  <si>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</si>
  <si>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</si>
  <si>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</si>
  <si>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</si>
  <si>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</si>
  <si>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</si>
  <si>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</si>
  <si>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</si>
  <si>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</si>
  <si>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</si>
  <si>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</si>
  <si>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</si>
  <si>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</si>
  <si>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</si>
  <si>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</si>
  <si>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</si>
  <si>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</si>
  <si>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</si>
  <si>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</si>
  <si>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</si>
  <si>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</si>
  <si>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</si>
  <si>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</si>
  <si>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</si>
  <si>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</si>
  <si>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</si>
  <si>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</si>
  <si>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</si>
  <si>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</si>
  <si>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</si>
  <si>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</si>
  <si>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</si>
  <si>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</si>
  <si>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Rents</t>
  </si>
  <si>
    <t>The same renders account for £38 13 shilling 3.25pence for rents of assize at Christmas, Easter (22 April), the Nativity of the blessed John the Baptist (24 June), and Michaelmas (29 September), in equal portions.</t>
  </si>
  <si>
    <t>Total, £38 13 shilling 3.25pence</t>
  </si>
  <si>
    <t>Quittances</t>
  </si>
  <si>
    <t>In quittance of one ploughman at Corfe for the year and six workers working 2 days a week for three terms of the year and everyday at harvest-time except Saturday 14 shilling, or 2 shilling each.</t>
  </si>
  <si>
    <t>1 ploughman and 1 worker working for' year as above 2 shilling.</t>
  </si>
  <si>
    <t>1 worker working 1 day a week for 3 terms of the year and two days a week at harvest-time 1 shilling.</t>
  </si>
  <si>
    <t>2 ploughmen, 1 beadle and 4 workers at Poundisford working 2 days a week for 3 terms of the year and everyday at harvest-time except Saturday 8 shilling 9pence, or 1 shilling 3pence each.</t>
  </si>
  <si>
    <t>3 cottars working 1 day a week for 3 terms of the year and 3 days a week at harvest-time 1 shilling 10.5pence, or 7.5pence each.</t>
  </si>
  <si>
    <t>1 cottar working 1 day a week for 3 terms of the year and two days a week at harvest-time 3.25pence Total, £1 7 shilling 11.25pence</t>
  </si>
  <si>
    <t>Defaults of rent</t>
  </si>
  <si>
    <t>In default of the land drawn into the park, that is, 104 acres and one perch, which the Prior of Taunton, Adam Sydewyn', Richard Cadel, Aelnerius, Richard le Wastur, Ingolf, Walter Tottyng, German Molendinarius, Hugh de Clyve, William Faber, William Cnap, Richard Gore, Richard Suvenoke, William Cuttyng, Cngermins de Fuleford, Osbert de Amnyngeford, Roger Cherd', Robert Dun, Richard Brice, Roger Spyryng, William Frensh', Philip Spyryng, Roger Cherd, Stephen de Canesgrove, Robert Faber, Christina, widow of Roger de Annyngeford, and Adam de Annyngeford held, 15 shilling 9.5pence.</t>
  </si>
  <si>
    <t>2 cottages (cotell') similarly drawn into the park 2 shilling 6pence.</t>
  </si>
  <si>
    <t>the land of Adam de Dudeleston', that is, 9 acres, similarly drawn into demesne 1 shilling Total of defaults of rent, 19 shilling 3.5pence</t>
  </si>
  <si>
    <t>Total of quittances and defaults of rent, £2 7 shilling 2.75pence</t>
  </si>
  <si>
    <t>Total of rents remaining, £36 6 shilling 0.5pence</t>
  </si>
  <si>
    <t>Issues of the manor</t>
  </si>
  <si>
    <t>The same renders account for £1 16 shilling 9.5pence from pannage of pigs this year.</t>
  </si>
  <si>
    <t>£1 3 shilling 10pence from hundredpenny.</t>
  </si>
  <si>
    <t>12 shilling from the pasturage of Holemere and Rededon' sold in winter and summer.</t>
  </si>
  <si>
    <t>nothing from the pasturage of Dyhfulrlong, Esterdon' and Westeredon' this year because they were sown with wheat.</t>
  </si>
  <si>
    <t>wheat</t>
  </si>
  <si>
    <t>3 shilling from the pasturage of Corfmor sold in winter.</t>
  </si>
  <si>
    <t>nothing from the pasturage of Lakemed this year because it was pastured with the lord's livestock.</t>
  </si>
  <si>
    <t>1 shilling 6pence from the pasturage of Fenalre and Fenhurst sold in winter.</t>
  </si>
  <si>
    <t>£3 1 shilling from 5 oxen sold, at 12 shilling 3pence each for 4, and 12 shilling for one.</t>
  </si>
  <si>
    <t>£3 18 shilling from 13 cows sold before breeding, at 6 shilling each.</t>
  </si>
  <si>
    <t>2 shilling 6pence from the moiety of 1 cow from the heriot of Henry Abel sold.</t>
  </si>
  <si>
    <t>4 shilling from 1 steer sold.</t>
  </si>
  <si>
    <t>£1 2 shilling from 22 suckling calves sold, at 1 shilling each.</t>
  </si>
  <si>
    <t>£11 9 shilling from 69 pigs sold, at 2 shilling each for 15, 2 shilling 6pence each for 10, 3 shilling 6pence each for 4, and 4 shilling each for 40.</t>
  </si>
  <si>
    <t>4 shilling 9pence from the hides sold of two oxen dead from murrain soon after Christmas.</t>
  </si>
  <si>
    <t>3 shilling 6pence from the hide and flesh sold of 1 cow dead from murrain before breeding.</t>
  </si>
  <si>
    <t>1 shilling from the hide sold of 1 cow dead from murrain before breeding.</t>
  </si>
  <si>
    <t>1 shilling 5pence from the hide sold of 1 cow dead from murrain after breeding.</t>
  </si>
  <si>
    <t>1 shilling 11pence from the hides sold of 2 steers dead from murrain.</t>
  </si>
  <si>
    <t>1 shilling 1pence from the hide sold of 1 ox dead from murrain.</t>
  </si>
  <si>
    <t>nothing from bark and loppings this year.</t>
  </si>
  <si>
    <t>1 shilling 2pence from the residue of Peter's pence at Corfe.</t>
  </si>
  <si>
    <t>£6 4 shilling 5.5pence from portions of labour services sold this year.</t>
  </si>
  <si>
    <t>1 shilling 9pence from 3.5 lb of wax from recognizances sold, at 6pence a lb.</t>
  </si>
  <si>
    <t>nothing from cheese and butter this year because the dairy is at Nailsbourne.</t>
  </si>
  <si>
    <t>12 shilling 6pence from woodway.</t>
  </si>
  <si>
    <t>6pence from the heriot of Edith la Webbe because she did not have 1 beast.</t>
  </si>
  <si>
    <t>6 shilling from the moiety of 1 ox solpence Total, £31 13 shilling 8pence</t>
  </si>
  <si>
    <t>Sale of corn</t>
  </si>
  <si>
    <t>The same renders account for £15 16 shilling 3.5pence from 46.5 quarters of wheat sold, at 6 shilling 8pence a quarters for 8 quarters 6 bushels, and 6 shilling 10pence a quarters for 37 quarters 6 bushels sold to customary tenants.</t>
  </si>
  <si>
    <t>£13 9 shilling 6pence from 154 quarters of oats sold to customary tenants, at 1 shilling 9pence a quarters.</t>
  </si>
  <si>
    <t>oats</t>
  </si>
  <si>
    <t>Total, £29 5 shilling 9.5pence</t>
  </si>
  <si>
    <t>Entry and marriage fines</t>
  </si>
  <si>
    <t>The same renders account for £1 13 shilling 4pence from John Goddey to have Gunilda attare Balke with her land.</t>
  </si>
  <si>
    <t>6 shilling 8pence from Gunilda, who was wife of Henry Abel, to retain 1 messuage and 5 acres of land which belonged to the aforesaid Henry her husband.</t>
  </si>
  <si>
    <t>6 shilling 8pence from John, son of Walter de Fuleford, to have 1 house which belonged to Henry de Fuleford in South Trendle.</t>
  </si>
  <si>
    <t>£1 6 shilling 8pence from Walter de Fuleford' to have 5 acres of land and 1 plot containing about 3 perches which belonged to the aforesaid Henry.</t>
  </si>
  <si>
    <t>6 shilling 8pence from Walter Bach' to have half acre of meadow which belonged to Henry de Fuleford'.</t>
  </si>
  <si>
    <t>1 shilling from Edmund Parcarius to have the moiety of 1 house which belonged to Adam le Whyttere in Poundisford.</t>
  </si>
  <si>
    <t>4 shilling from Matilda, who was wife of Stephen le Hopere, to retain 1 messuage and 7 acres of land which belonged to the aforesaid Stephen her husband.</t>
  </si>
  <si>
    <t>£6 from Roger Aylwyn' to have 1 messuage and' virgate by surrender of Alice his mother.</t>
  </si>
  <si>
    <t>2 shilling from Hugh Dun to have one house in South Trendle by surrender of Geoffrey Pope.</t>
  </si>
  <si>
    <t>£1 10 shilling from Stephen le Kyng to have 1 messuage and 1 ferling of land by surrender of Lucy his mother.</t>
  </si>
  <si>
    <t>3 shilling from Richard de Canesgrove to have Agnes, who was wife of William Roberd, with her land.</t>
  </si>
  <si>
    <t>4 shilling from John Sweyt to have 1 house in Canesgrove.</t>
  </si>
  <si>
    <t>5 shilling from Hugh de Annyngeford to have 1 house in Annyngeford by surrender of William de Annyngeford.</t>
  </si>
  <si>
    <t>6 shilling 8pence from Walter de Suvenok' for marrying Matilda his daughter outside.</t>
  </si>
  <si>
    <t>2 shilling from Christina de Suvenok for marrying Christina her daughter within.</t>
  </si>
  <si>
    <t>10 shilling from William Gulye to have the moiety of a certain house in South Trendle which came into the lord's hands for want of an heir.</t>
  </si>
  <si>
    <t>1 shilling from John Gor' to have 1 day-work (daena) of land by surrender of John Hata.</t>
  </si>
  <si>
    <t>5 shilling from Walter de Suvenok to have 5 acres of land by surrender of John le Archer.</t>
  </si>
  <si>
    <t>13 shilling 4pence from John Weu for marrying Agnes his daughter outside.</t>
  </si>
  <si>
    <t>2 shilling from Gunilda de Suetehegh' for marrying Edith her daughter within.</t>
  </si>
  <si>
    <t>2 shilling from Walter le White for marrying Christina his daughter within.</t>
  </si>
  <si>
    <t>2 shilling from Juliana, daughter of John le Suytht of Leigh, to have 1 day-work of land by surrender of William le Suyht.</t>
  </si>
  <si>
    <t>5 shilling from the communal fine on Hockday (hockedayeswyte) at Corfe.</t>
  </si>
  <si>
    <t>£2 from the same at Poundisforpence Total, £16 18 shilling</t>
  </si>
  <si>
    <t>Perquisites</t>
  </si>
  <si>
    <t>The same renders account for 6pence from John de Orchard for trespass of pasture.</t>
  </si>
  <si>
    <t>6pence from William Coffyn for the same.</t>
  </si>
  <si>
    <t>8pence from Margery de Orchard for the same.</t>
  </si>
  <si>
    <t>1 shilling from John de Treyburth' for the same.</t>
  </si>
  <si>
    <t>1 shilling from Richard Polruel for the same.</t>
  </si>
  <si>
    <t>6pence from John Godard for trespass of wood.</t>
  </si>
  <si>
    <t>6pence from John Amnuret because he did not produce in court the individual whom he had pledged.</t>
  </si>
  <si>
    <t>3pence from John de Swetehegh' for false complaint.</t>
  </si>
  <si>
    <t>1 shilling from Simon de Ralegh' for licence to come to an agreement.</t>
  </si>
  <si>
    <t>3pence from William de Hughelegh' because he did not come to an inquest.</t>
  </si>
  <si>
    <t>6pence from William Hardgrey for trespass of pasture.</t>
  </si>
  <si>
    <t>3pence from John de Chilkepath' for contempt.</t>
  </si>
  <si>
    <t>6pence from Henry le Sweyn for trespass of wood.</t>
  </si>
  <si>
    <t>3pence from Roger atte Wuderne for unjustly withholding a debt.</t>
  </si>
  <si>
    <t>6pence from Richard de Apsweye for trespass of wood.</t>
  </si>
  <si>
    <t>6pence from Christina atte Heggynge for the same.</t>
  </si>
  <si>
    <t>6pence from Richard Mouf for the same.</t>
  </si>
  <si>
    <t>2 shilling from Henry Sweyn and 3 of his neighbours for the same.</t>
  </si>
  <si>
    <t>1 shilling from Adam le Mounk for the same.</t>
  </si>
  <si>
    <t>3pence from John Goddey for contempt.</t>
  </si>
  <si>
    <t>3pence from John Puke for trespass of corn.</t>
  </si>
  <si>
    <t>1 shilling from the tithing of Leigh for an inadequate presentment.</t>
  </si>
  <si>
    <t>3pence from Roger Aylwyn' for unjustly withholding a debt.</t>
  </si>
  <si>
    <t>6pence from Richard, the lord's swineherd, for keeping the pigs badly.</t>
  </si>
  <si>
    <t>5 shilling from Nicholas Ay1m' and 9 of his neighbours for trespass of wood.</t>
  </si>
  <si>
    <t>1 shilling 6pence from Thomas Ay1m' for attachment of his goats in Pykeryge.</t>
  </si>
  <si>
    <t>1 shilling from Gilbert le Mounk for the same.</t>
  </si>
  <si>
    <t>1 shilling from William Fryn for the same.</t>
  </si>
  <si>
    <t>1 shilling from Walter de Fokgrove for the same.</t>
  </si>
  <si>
    <t>3pence from Bricell' de Blaked' for attachment of his goats in Abbecumb'.</t>
  </si>
  <si>
    <t>3pence from William Godard for licence to come to an agreement.</t>
  </si>
  <si>
    <t>1 shilling from the reeve of Poundisford because he often allowed the oxherds to be idle after dinner.</t>
  </si>
  <si>
    <t>2pence from Walter Bagh' and Walter Sprut for transgression against their neighbour.</t>
  </si>
  <si>
    <t>2 shilling from John Goddey for trespass of corn.</t>
  </si>
  <si>
    <t>6pence from Roger Gillyng for the same.</t>
  </si>
  <si>
    <t>3pence from Walter le Whyte because he did not come to carry hay.</t>
  </si>
  <si>
    <t>6pence from the reeve and beadle for their negligence.</t>
  </si>
  <si>
    <t>1 shilling from Walter de Fuleford and William Gulye for transgression against their neighbour.</t>
  </si>
  <si>
    <t>6pence from the lord's oxherds for their negligence.</t>
  </si>
  <si>
    <t>2 shilling from the tithing of Dudeleston' for a bad presentment.</t>
  </si>
  <si>
    <t>1 shilling from the same tithing for concealing landless men outside the tithing.</t>
  </si>
  <si>
    <t>1 shilling from the tithing of South Trendle for the same.</t>
  </si>
  <si>
    <t>1 shilling from the tithing of South Fulford for the same.</t>
  </si>
  <si>
    <t>2pence from Walter Hatherich, beadle of Corfe, because he performed his office less well in the presence of the steward.</t>
  </si>
  <si>
    <t>17 shilling from those who brewed ale this year for breaking the assize of ale.</t>
  </si>
  <si>
    <t>Total, £2 13 shilling 4pence</t>
  </si>
  <si>
    <t>Total of both, £19 11 shilling 4pence</t>
  </si>
  <si>
    <t>Total of all receipts</t>
  </si>
  <si>
    <t>Total of all receipts, £116 16 shilling 10pence</t>
  </si>
  <si>
    <t>Cost of ploughs</t>
  </si>
  <si>
    <t>In iron and steel for making and repairing the ironwork of 4 ploughs for the year 15 shilling 11pence.</t>
  </si>
  <si>
    <t>stipend of the smith making and repairing the said ironwork for the year 3 shilling 10pence.</t>
  </si>
  <si>
    <t>4 ploughshares bought 2 shilling 4pence.</t>
  </si>
  <si>
    <t>boon-works of 42 ploughmen ploughing 2 full days in winter and as many full days in Lent at Corfe and Poundisford 7 shilling, at 0.5pence a ploughman a day.</t>
  </si>
  <si>
    <t>.</t>
  </si>
  <si>
    <t>trimming and sawing timber for ploughs, yokes and wooden halters 1 shilling 6.5pence.</t>
  </si>
  <si>
    <t>making 4 new ploughs 6pence.</t>
  </si>
  <si>
    <t>repairing the old ploughs many times during the year 1 shilling 2pence.</t>
  </si>
  <si>
    <t>making yokes and wooden halters 5pence.</t>
  </si>
  <si>
    <t>food for two beadles and 4 ploughmen according to custom at Christmas and Easter 1 shilling.</t>
  </si>
  <si>
    <t>food for 8 workers according to the same custom 8pence.</t>
  </si>
  <si>
    <t>stipend of 4 oxherds and 1 swineherd for the year 12 shilling 6pence, or 2 shilling 6pence each.</t>
  </si>
  <si>
    <t>stipend of 1 park-keeper and hayward for the year 6 shilling 8pence.</t>
  </si>
  <si>
    <t>quittance of the ploughmen of Corfe for 10 Saturday ploughings 1 shilling 3pence, at 1.5pence a Saturday.</t>
  </si>
  <si>
    <t>quittance of the ploughmen and beadle of Poundisford for 32 Saturday ploughings 4 shilling, at 1.5pence a Saturday.</t>
  </si>
  <si>
    <t>21 quarters of charcoal made for making and repairing the ironwork of 4 ploughs for the year 2 shilling 7.5pence.</t>
  </si>
  <si>
    <t>shoeing I plough-horse harrowing at two sowings 5pence.</t>
  </si>
  <si>
    <t>37 quarters 6 bushels of wheat bought for forage from customary tenants 6 shilling 3.5pence, at 2pence a quarters of forage.</t>
  </si>
  <si>
    <t>64 quarters of oats bought for forage from the same customary tenants 5 shilling 3.5pence, at 1pence a quarters of forage.</t>
  </si>
  <si>
    <t>Total, £3 13 shilling 5.5pence</t>
  </si>
  <si>
    <t>Purchase of corn</t>
  </si>
  <si>
    <t>In 19 quarters 6.5 bushels of maslin bought £3 16 shilling 7pence, at 3 shilling 4pence a quarters for 4 quarters, and 4 shilling a quarters for 15 quarters 6.5 bushels.</t>
  </si>
  <si>
    <t>maslin</t>
  </si>
  <si>
    <t>75 quarters of oats bought from customary tenants according to custom £5 12 shilling 6pence, at 1 shilling 6pence a quarters.</t>
  </si>
  <si>
    <t>Total, £9 9 shilling 1pence</t>
  </si>
  <si>
    <t>Cost of wagons</t>
  </si>
  <si>
    <t>In 1 pair of wheels 4 shilling 11pence.</t>
  </si>
  <si>
    <t>fitting 1 new binding (ligatura) to the same wheels 8 shilling 0.25pence.</t>
  </si>
  <si>
    <t>stipend of the smith fitting the aforesaid wheels with the aforesaid binding 6pence.</t>
  </si>
  <si>
    <t>60 large nails for mending the old wagons 10pence.</t>
  </si>
  <si>
    <t>fitting the wagons and dung-carts (corm') with axles 4pence.</t>
  </si>
  <si>
    <t>20 clouts with nails bought 2 shilling 8pence.</t>
  </si>
  <si>
    <t>grease for the wagons and dung-carts 4pence.</t>
  </si>
  <si>
    <t>trimming and sawing timber for wagons and axles 6pence.</t>
  </si>
  <si>
    <t>making one new pair of cart-shafts and repairing wagons in preparation for harvest-time 6pence.</t>
  </si>
  <si>
    <t>1 hemp rope bought 1 shilling Total, 19 shilling 7.25pence</t>
  </si>
  <si>
    <t>Purchase of stock</t>
  </si>
  <si>
    <t>In 3 cows bought before breeding £1 6 shilling 3pence, at 8 shilling 9pence each.</t>
  </si>
  <si>
    <t>two cows bought after</t>
  </si>
  <si>
    <t>breeding 16 shilling 9pence, at 8 shilling for one, and 8 shilling 9pence for the other.</t>
  </si>
  <si>
    <t>Total, £2 3 shilling</t>
  </si>
  <si>
    <t>Repair of buildings with small expenses</t>
  </si>
  <si>
    <t>In re-roofing the larger barn in places 10pence.</t>
  </si>
  <si>
    <t>1 lock bought for the door of the same barn 4pence.</t>
  </si>
  <si>
    <t>one three-pronged dung-fork fitted with iron 3pence.</t>
  </si>
  <si>
    <t>making well (sanand') 32 female piglets 10pence.</t>
  </si>
  <si>
    <t>clearing dung from the curia to the fields 2 shilling 10pence.</t>
  </si>
  <si>
    <t>digging 12 perches of ditches beside la Westered' 9pence, at 0.75pence a perch.</t>
  </si>
  <si>
    <t>digging 20 perches of ditches there 1 shilling 8pence Total, 7 shilling 6pence</t>
  </si>
  <si>
    <t>Threshing of corn</t>
  </si>
  <si>
    <t>In threshing 20 quarters 6 bushels of wheat by piece-work 4 shilling 4pence, at 2.5pence a heaped quarter.</t>
  </si>
  <si>
    <t>Total, 4 shilling 4pence</t>
  </si>
  <si>
    <t>Cost of mills</t>
  </si>
  <si>
    <t>In repairing the collar of the spindle of the mill of Pitminster with iron bought for the same 6.5pence.</t>
  </si>
  <si>
    <t>1 iron hoop for putting in the hole of the millstone lying in the same mill 4.5pence.</t>
  </si>
  <si>
    <t>2 baskets bought in which to measure corn at both mills 4pence.</t>
  </si>
  <si>
    <t>toll of one rester of ale (uno tolsester) at the mill of Trull 1pence.</t>
  </si>
  <si>
    <t>iron and steel for renewing the bills of both mills with the stipend of the smith 1 shilling 1pence.</t>
  </si>
  <si>
    <t>sharpening the same bills for the year 6pence Total, 2 shilling 11pence</t>
  </si>
  <si>
    <t>Cost of the harvest</t>
  </si>
  <si>
    <t>In customary payment for the mowing of 17 acres of meadow at Corfe 6pence.</t>
  </si>
  <si>
    <t>mowing 1 acre of meadow which belonged to the Prior of Taunton there 5pence.</t>
  </si>
  <si>
    <t>customary payment for the mowing of 13 acres of meadow at Poundisford 6pence.</t>
  </si>
  <si>
    <t>customary payment for the boon-reaping at Corfe 5pence.</t>
  </si>
  <si>
    <t>customary payment for the boon-reaping at Poundisford 9pence.</t>
  </si>
  <si>
    <t>covering one haycock 6pence Total, 3 shilling 1pence</t>
  </si>
  <si>
    <t>Total of all expenses</t>
  </si>
  <si>
    <t>Total of all expenses, £17 2 shilling 11.25pence</t>
  </si>
  <si>
    <t>Cash deliveries</t>
  </si>
  <si>
    <t>Delivered to Walter de Buddelye, reeve of Taunton, £99 13 shilling 10.25pence</t>
  </si>
  <si>
    <t>Wheat</t>
  </si>
  <si>
    <t>{yield: two-and-a-half-fold less 5.5 bushels}</t>
  </si>
  <si>
    <t>The same renders account for 83 quarters 0.5 bushels from the whole issue of wheat by struck</t>
  </si>
  <si>
    <t>measure.</t>
  </si>
  <si>
    <t>Sown over 111.5 acres at Poundisford and Corfe, 26 quarters 2 bushels.</t>
  </si>
  <si>
    <t>that is, 2 bushels an acre, less 1 quarters 5 bushels in all.</t>
  </si>
  <si>
    <t>Also sown at Poundisford by the villeins according to custom, 26.5 acres.1 Delivered to the park-keeper for the year, 4 quarters 2.5 bushels, taking a quarter every 12 weeks.</t>
  </si>
  <si>
    <t>Mixed below for the liveries of the manorial servants, 6 quarters.</t>
  </si>
  <si>
    <t>Sold, 46.5 quarters.</t>
  </si>
  <si>
    <t>Total, 83 quarters 0.5 bushels It balances.</t>
  </si>
  <si>
    <t>Oats</t>
  </si>
  <si>
    <t>{yield: two-fold plus 6 quarters 6 bushels}</t>
  </si>
  <si>
    <t>The same renders account for 127 quarters 6 bushels from the whole issue of oats by struck measure.</t>
  </si>
  <si>
    <t>75 quarters bought.</t>
  </si>
  <si>
    <t>Total, 202 quarters 6 bushels</t>
  </si>
  <si>
    <t>Sown over 119.5 acres at Poundisford and Corfe, 48 quarters 6 bushels.</t>
  </si>
  <si>
    <t>that is, 4 bushels an acre, less 11 quarters in all.</t>
  </si>
  <si>
    <t>Also sown at Poundisford by the villeins according to custom, 26.5 acres.</t>
  </si>
  <si>
    <t>Sold, 154 quarters.</t>
  </si>
  <si>
    <t>Total, 202 quarters 6 bushels It balances.</t>
  </si>
  <si>
    <t>Proof of liveries</t>
  </si>
  <si>
    <t>The same renders account for 6 quarters received above from wheat.</t>
  </si>
  <si>
    <t>19 quarters 6.5 bushels bought.</t>
  </si>
  <si>
    <t>Total, 25 quarters 6.5 bushels Delivered to 4 oxherds and one swineherd for the year, 21 quarters 4.5 bushels, taking a quarter every 12 weeks.</t>
  </si>
  <si>
    <t>Delivered to one cowherd for 15 weeks, 1 quarters 2 bushels, taking a quarter every 12 weeks.</t>
  </si>
  <si>
    <t>customary payment for the boon-reaping at Poundisford and Corfe, 3 quarters.</t>
  </si>
  <si>
    <t>Total, 25 quarters 6.5 bushels It balances.</t>
  </si>
  <si>
    <t>Stock</t>
  </si>
  <si>
    <t>Plough-horses: 1 female remains from the previous year.</t>
  </si>
  <si>
    <t>it remains.</t>
  </si>
  <si>
    <t>Colts: 1 one-year-old female remains from the previous year's offspring.</t>
  </si>
  <si>
    <t>it remains. 1 male from the offspring of the said plough-horse this year.</t>
  </si>
  <si>
    <t>Oxen: 44 remain from the previous year.</t>
  </si>
  <si>
    <t>3 added from steers.</t>
  </si>
  <si>
    <t>1 from the heriot of Alice, who was wife of Alwyn de Esttrete.</t>
  </si>
  <si>
    <t>the moiety of 1 from the heriot of Lucy le Kyng.</t>
  </si>
  <si>
    <t>Total, 48 and a moiety. 2 in murrain.</t>
  </si>
  <si>
    <t>5 and a moiety sold.</t>
  </si>
  <si>
    <t>41 remain.</t>
  </si>
  <si>
    <t>Cows: 47 remain from the previous year.</t>
  </si>
  <si>
    <t>1 from the reeve of Nailsboume before breeding.</t>
  </si>
  <si>
    <t>1 from strays before breeding.</t>
  </si>
  <si>
    <t>3 bought before breeding.</t>
  </si>
  <si>
    <t>1 from the reeve of Staplegrove before breeding.</t>
  </si>
  <si>
    <t>1 from the heriot of Stephen le Hopere after breeding.</t>
  </si>
  <si>
    <t>2 bought after breeding.</t>
  </si>
  <si>
    <t>the moiety of 1 from the heriot of Henry Abel.</t>
  </si>
  <si>
    <t>Total, 59 and a moiety. 2 in murrain before breeding, 1 after breeding.</t>
  </si>
  <si>
    <t>13 before breeding and a moiety solpence Total, 16 and a moiety. 43 remain.</t>
  </si>
  <si>
    <t>Bulls: 3 remain from the previous year.</t>
  </si>
  <si>
    <t>they remain.</t>
  </si>
  <si>
    <t>Steers: 10 remain from the previous year's bullocks.</t>
  </si>
  <si>
    <t>3 in murrain.</t>
  </si>
  <si>
    <t>1 sold.</t>
  </si>
  <si>
    <t>3 added to oxen, 3 to cows.</t>
  </si>
  <si>
    <t>none remain.</t>
  </si>
  <si>
    <t>Bullocks: 16 remain from the previous year's yearlings.</t>
  </si>
  <si>
    <t>16 remain.</t>
  </si>
  <si>
    <t>Yearlings: 8 remain from the previous year's calves.</t>
  </si>
  <si>
    <t>1 in murrain.</t>
  </si>
  <si>
    <t>7 remain.</t>
  </si>
  <si>
    <t>Calves: 35 produced by the said cows this year, and not more because 6 were sterile. 3 in tithe.</t>
  </si>
  <si>
    <t>22 solpence Total, 25. 10 remain.</t>
  </si>
  <si>
    <t>Wethers: 1 from the heriot of Henry de Fuleford which is delivered to the reeve of Nailsbourne before shearing.</t>
  </si>
  <si>
    <t>Pigs: 82 remain from the previous year.</t>
  </si>
  <si>
    <t>40 added from hoggets.</t>
  </si>
  <si>
    <t>Total, 122. 69 sold.</t>
  </si>
  <si>
    <t>53 remain, 3 of them old sows.</t>
  </si>
  <si>
    <t>Hoggets: 46 remain from the previous year's piglets.</t>
  </si>
  <si>
    <t>6 in murrain.</t>
  </si>
  <si>
    <t>40 added to pigs.</t>
  </si>
  <si>
    <t>Piglets: 18 farrowed before Christmas.</t>
  </si>
  <si>
    <t>22 farrowed in Lent.</t>
  </si>
  <si>
    <t>18 farrowed in autumn.</t>
  </si>
  <si>
    <t>Total, 58. 5 in murrain.</t>
  </si>
  <si>
    <t>5 in tithe.</t>
  </si>
  <si>
    <t>Total, 10. 48 remain.</t>
  </si>
  <si>
    <t>Hides: 2 from oxen, 3 from cows, 3 from steers, and 1 from a yearling, dead from murrain.</t>
  </si>
  <si>
    <t>Total, 9. 8 sold as made clear within.</t>
  </si>
  <si>
    <t>1 from a yearling of no value in repair of 1 cart saddle.</t>
  </si>
  <si>
    <t>Recognizance wax: .5 lb from Robert Tudeman.</t>
  </si>
  <si>
    <t>.5 lb from Richard, son of Walter de la Quarere.</t>
  </si>
  <si>
    <t>1 lb from Richard Smorenoghel.</t>
  </si>
  <si>
    <t>.5 lb from Walter son of Clarice.</t>
  </si>
  <si>
    <t>½ lb from William Bacon.</t>
  </si>
  <si>
    <t>.5 lb from Roger le Coliar'.</t>
  </si>
  <si>
    <t>Total, 3 lb, which were sold as made clear within.</t>
  </si>
  <si>
    <t>none remains.</t>
  </si>
  <si>
    <t>Charcoal: 21 quarters made from the manor's own wood (de proprio bosco) this year which were used in making and repairing the ironwork of 4 ploughs for the year.</t>
  </si>
  <si>
    <t>Error</t>
  </si>
  <si>
    <t>Total</t>
  </si>
  <si>
    <t>The same renders account for £15 16 shilling 3.5pence from 46.5 quarters of wheat sold, at 6 shilling 8pence a qr for 8 quarters 6 bushels, and 6 shilling 10pence a qr for 37 quarters 6 bushels sold to customary tenants.</t>
  </si>
  <si>
    <t>£13 9 shilling 6pence from 154 quarters of oats sold to customary tenants, at 1 shilling 9pence a qr.</t>
  </si>
  <si>
    <t>37 quarters 6 bushels of wheat bought for forage from customary tenants 6 shilling 3.5pence, at 2pence a qr of forage.</t>
  </si>
  <si>
    <t>64 quarters of oats bought for forage from the same customary tenants 5 shilling 3.5pence, at 1pence a qr of forage.</t>
  </si>
  <si>
    <t>In 19 quarters 6.5 bushels of maslin bought £3 16 shilling 7pence, at 3 shilling 4pence a qr for 4 quarters, and 4 shilling a qr for 15 quarters 6.5 bushels.</t>
  </si>
  <si>
    <t>75 quarters of oats bought from customary tenants according to custom £5 12 shilling 6pence, at 1 shilling 6pence a qr.</t>
  </si>
  <si>
    <t>added</t>
  </si>
  <si>
    <t>sold</t>
  </si>
  <si>
    <t>Oxen</t>
  </si>
  <si>
    <t>Cows</t>
  </si>
  <si>
    <t>Bulls</t>
  </si>
  <si>
    <t>Steers</t>
  </si>
  <si>
    <t>Bullocks</t>
  </si>
  <si>
    <t>Yearlings</t>
  </si>
  <si>
    <t>Calves</t>
  </si>
  <si>
    <t>Wethers</t>
  </si>
  <si>
    <t>Pigs</t>
  </si>
  <si>
    <t>Hoggets</t>
  </si>
  <si>
    <t>Piglets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</si>
  <si>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</si>
  <si>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</si>
  <si>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</si>
  <si>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</si>
  <si>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</si>
  <si>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</si>
  <si>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</si>
  <si>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</si>
  <si>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</si>
  <si>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</si>
  <si>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</si>
  <si>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</si>
  <si>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</si>
  <si>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</si>
  <si>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</si>
  <si>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</si>
  <si>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</si>
  <si>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</si>
  <si>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</si>
  <si>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</si>
  <si>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</si>
  <si>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</si>
  <si>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</si>
  <si>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that is, 2 bushels an acre, less 1 qr 5 bushels in all.</t>
  </si>
  <si>
    <t>Gross Output</t>
  </si>
  <si>
    <t>Difference Produced+Bought-Sold</t>
  </si>
  <si>
    <t>Weighted Average Price per Quarter</t>
  </si>
  <si>
    <t>Non-Weighted Average Price per Quarter</t>
  </si>
  <si>
    <t>Value of Total Production weighted</t>
  </si>
  <si>
    <t>Maslin</t>
  </si>
  <si>
    <t>Barley</t>
  </si>
  <si>
    <t>Peas</t>
  </si>
  <si>
    <t>Oatmeal</t>
  </si>
  <si>
    <t>Vetches</t>
  </si>
  <si>
    <t>Rye</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</si>
  <si>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</si>
  <si>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</si>
  <si>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</si>
  <si>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</si>
  <si>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</si>
  <si>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</si>
  <si>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</si>
  <si>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</si>
  <si>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</si>
  <si>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</si>
  <si>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</si>
  <si>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</si>
  <si>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</si>
  <si>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</si>
  <si>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</si>
  <si>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</si>
  <si>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</si>
  <si>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</si>
  <si>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</si>
  <si>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</si>
  <si>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</si>
  <si>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</si>
  <si>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</si>
  <si>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</si>
  <si>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</si>
  <si>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</si>
  <si>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</si>
  <si>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</si>
  <si>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</si>
  <si>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</si>
  <si>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</si>
  <si>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</si>
  <si>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</si>
  <si>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</si>
  <si>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</si>
  <si>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</si>
  <si>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</si>
  <si>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</si>
  <si>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</si>
  <si>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</si>
  <si>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</si>
  <si>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</si>
  <si>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</si>
  <si>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</si>
  <si>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</si>
  <si>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</si>
  <si>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</si>
  <si>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</si>
  <si>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</si>
  <si>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</si>
  <si>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</si>
  <si>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</si>
  <si>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</si>
  <si>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</si>
  <si>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</si>
  <si>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</si>
  <si>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</si>
  <si>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</si>
  <si>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</si>
  <si>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</si>
  <si>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</si>
  <si>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</si>
  <si>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Dredge</t>
  </si>
  <si>
    <t>Curall</t>
  </si>
  <si>
    <t>Beans</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</si>
  <si>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</si>
  <si>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</si>
  <si>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</si>
  <si>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</si>
  <si>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</si>
  <si>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</si>
  <si>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</si>
  <si>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</si>
  <si>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</si>
  <si>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</si>
  <si>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Cart-horses</t>
  </si>
  <si>
    <t>Mares</t>
  </si>
  <si>
    <t>Plough horses</t>
  </si>
  <si>
    <t>Colts (2 years)</t>
  </si>
  <si>
    <t>Colts (1 year)</t>
  </si>
  <si>
    <t>Foals</t>
  </si>
  <si>
    <t>Rams</t>
  </si>
  <si>
    <t>Ewes</t>
  </si>
  <si>
    <t>Hoggs</t>
  </si>
  <si>
    <t>Lambs</t>
  </si>
  <si>
    <t>Boars</t>
  </si>
  <si>
    <t>Sows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</si>
  <si>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</si>
  <si>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</si>
  <si>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</si>
  <si>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</si>
  <si>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</si>
  <si>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</si>
  <si>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</si>
  <si>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</si>
  <si>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</si>
  <si>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</si>
  <si>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</si>
  <si>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</si>
  <si>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</si>
  <si>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</si>
  <si>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</si>
  <si>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</si>
  <si>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</si>
  <si>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</si>
  <si>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</si>
  <si>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</si>
  <si>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</si>
  <si>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</si>
  <si>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</si>
  <si>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</si>
  <si>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</si>
  <si>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</si>
  <si>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</si>
  <si>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</si>
  <si>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</si>
  <si>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</si>
  <si>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</si>
  <si>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</si>
  <si>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</si>
  <si>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</si>
  <si>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</si>
  <si>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</si>
  <si>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</si>
  <si>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</si>
  <si>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</si>
  <si>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</si>
  <si>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</si>
  <si>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</si>
  <si>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</si>
  <si>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</si>
  <si>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</si>
  <si>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</si>
  <si>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</si>
  <si>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</si>
  <si>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</si>
  <si>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</si>
  <si>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</si>
  <si>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</si>
  <si>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POUNDISFORD</t>
  </si>
  <si>
    <t>Total in £</t>
  </si>
  <si>
    <t>Note</t>
  </si>
  <si>
    <t>POUNDSIFORD RECEIPTS</t>
  </si>
  <si>
    <t>£</t>
  </si>
  <si>
    <t xml:space="preserve">s </t>
  </si>
  <si>
    <t>d</t>
  </si>
  <si>
    <t>Notes</t>
  </si>
  <si>
    <t>POUNDSIFORD EXPENSES</t>
  </si>
  <si>
    <t xml:space="preserve">1 cottar working 1 day a week for 3 terms of the year and two days a week at harvest-time 3.25pence </t>
  </si>
  <si>
    <t>Total, £1 7 shilling 11.25pence</t>
  </si>
  <si>
    <t xml:space="preserve">the land of Adam de Dudeleston', that is, 9 acres, similarly drawn into demesne 1 shilling </t>
  </si>
  <si>
    <t>Total of defaults of rent, 19 shilling 3.5pence</t>
  </si>
  <si>
    <t>Total of rents remaining</t>
  </si>
  <si>
    <t xml:space="preserve">6 shilling from the moiety of 1 ox solpence </t>
  </si>
  <si>
    <t>Total, £31 13 shilling 8pence</t>
  </si>
  <si>
    <t xml:space="preserve">£2 from the same at Poundisforpence </t>
  </si>
  <si>
    <t>Total, £16 18 shilling</t>
  </si>
  <si>
    <t>two cows bought after breeding 16 shilling 9pence, at 8 shilling for one, and 8 shilling 9pence for the other.</t>
  </si>
  <si>
    <t>digging 20 perches of ditches there 1 shilling 8pence</t>
  </si>
  <si>
    <t>Total, 7 shilling 6pence</t>
  </si>
  <si>
    <t>covering one haycock 6pence</t>
  </si>
  <si>
    <t xml:space="preserve"> Total, 3 shilling 1pence</t>
  </si>
  <si>
    <t>Colts (unspecified years)</t>
  </si>
  <si>
    <t>Total Value</t>
  </si>
  <si>
    <t>Total wool</t>
  </si>
  <si>
    <t>Mare</t>
  </si>
  <si>
    <t>Steer</t>
  </si>
  <si>
    <t>calves</t>
  </si>
  <si>
    <t>pigs</t>
  </si>
  <si>
    <t>wethers</t>
  </si>
  <si>
    <t>rams</t>
  </si>
  <si>
    <t>ewes</t>
  </si>
  <si>
    <t>hoggs</t>
  </si>
  <si>
    <t>Bareskins</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</si>
  <si>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</si>
  <si>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</si>
  <si>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</si>
  <si>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</si>
  <si>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</si>
  <si>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</si>
  <si>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</si>
  <si>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</si>
  <si>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</si>
  <si>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</si>
  <si>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</si>
  <si>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</si>
  <si>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</si>
  <si>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</si>
  <si>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</si>
  <si>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</si>
  <si>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</si>
  <si>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</si>
  <si>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</si>
  <si>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</si>
  <si>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</si>
  <si>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</si>
  <si>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</si>
  <si>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</si>
  <si>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</si>
  <si>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</si>
  <si>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</si>
  <si>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</si>
  <si>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</si>
  <si>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</si>
  <si>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</si>
  <si>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</si>
  <si>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</si>
  <si>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</si>
  <si>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</si>
  <si>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</si>
  <si>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</si>
  <si>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</si>
  <si>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</si>
  <si>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</si>
  <si>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</si>
  <si>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</si>
  <si>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</si>
  <si>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</si>
  <si>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</si>
  <si>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</si>
  <si>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</si>
  <si>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</si>
  <si>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</si>
  <si>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</si>
  <si>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</si>
  <si>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</si>
  <si>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</si>
  <si>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</si>
  <si>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</si>
  <si>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</si>
  <si>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</si>
  <si>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</si>
  <si>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POUNDISFORD STOCK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</si>
  <si>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</si>
  <si>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</si>
  <si>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</si>
  <si>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</si>
  <si>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</si>
  <si>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</si>
  <si>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</si>
  <si>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</si>
  <si>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</si>
  <si>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</si>
  <si>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</si>
  <si>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</si>
  <si>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</si>
  <si>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</si>
  <si>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</si>
  <si>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</si>
  <si>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</si>
  <si>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</si>
  <si>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</si>
  <si>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</si>
  <si>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cow</t>
  </si>
  <si>
    <t>Woolskins</t>
  </si>
  <si>
    <t xml:space="preserve">Lambskins </t>
  </si>
  <si>
    <t>yearling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</si>
</sst>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s>
  <cellStyleXfs count="1">
    <xf numFmtId="0" fontId="0" fillId="0" borderId="0"/>
  </cellStyleXfs>
  <cellXfs count="70">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0" fillId="0" borderId="0" xfId="0" applyFont="1"/>
    <xf numFmtId="0" fontId="12" fillId="0" borderId="0" xfId="0" applyFont="1" applyAlignment="1">
      <alignment horizontal="center" vertical="top"/>
    </xf>
    <xf numFmtId="4" fontId="10" fillId="0" borderId="0" xfId="0" applyNumberFormat="1" applyFont="1" applyAlignment="1">
      <alignment horizontal="right"/>
    </xf>
    <xf numFmtId="0" fontId="10" fillId="0" borderId="0" xfId="0" applyFont="1" applyAlignment="1">
      <alignment horizontal="right"/>
    </xf>
    <xf numFmtId="0" fontId="12" fillId="0" borderId="0" xfId="0" applyFont="1" applyAlignment="1">
      <alignment horizontal="left" vertical="top"/>
    </xf>
    <xf numFmtId="0" fontId="2" fillId="0" borderId="0" xfId="0" applyFont="1" applyAlignment="1">
      <alignment horizontal="center" vertical="top"/>
    </xf>
    <xf numFmtId="2" fontId="0" fillId="0" borderId="0" xfId="0" applyNumberFormat="1"/>
    <xf numFmtId="2" fontId="11" fillId="0" borderId="0" xfId="0" applyNumberFormat="1" applyFont="1"/>
    <xf numFmtId="2" fontId="3" fillId="0" borderId="0" xfId="0" applyNumberFormat="1" applyFont="1" applyAlignment="1">
      <alignment horizontal="center"/>
    </xf>
    <xf numFmtId="2" fontId="13" fillId="0" borderId="0" xfId="0" applyNumberFormat="1" applyFont="1" applyAlignment="1">
      <alignment horizontal="center" vertical="top"/>
    </xf>
    <xf numFmtId="0" fontId="0" fillId="0" borderId="0" xfId="0" applyAlignment="1">
      <alignment wrapText="1"/>
    </xf>
    <xf numFmtId="0" fontId="3" fillId="0" borderId="0" xfId="0" applyFont="1" applyAlignment="1">
      <alignment wrapText="1"/>
    </xf>
    <xf numFmtId="0" fontId="14"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4" fillId="3" borderId="0" xfId="0" applyFont="1" applyFill="1"/>
    <xf numFmtId="0" fontId="14" fillId="0" borderId="0" xfId="0" applyFont="1"/>
    <xf numFmtId="2" fontId="0" fillId="0" borderId="0" xfId="0" applyNumberFormat="1" applyAlignment="1">
      <alignment wrapText="1"/>
    </xf>
    <xf numFmtId="0" fontId="3" fillId="0" borderId="0" xfId="0" applyFont="1" applyAlignment="1">
      <alignment horizontal="right" wrapText="1"/>
    </xf>
    <xf numFmtId="2" fontId="3" fillId="0" borderId="0" xfId="0" applyNumberFormat="1" applyFont="1" applyAlignment="1">
      <alignment wrapText="1"/>
    </xf>
    <xf numFmtId="2" fontId="4" fillId="0" borderId="0" xfId="0" applyNumberFormat="1" applyFont="1" applyAlignment="1">
      <alignment horizontal="left" vertical="center" wrapText="1"/>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17" fillId="0" borderId="0" xfId="0" applyFont="1"/>
    <xf numFmtId="0" fontId="17" fillId="0" borderId="0" xfId="0" applyFont="1" applyAlignment="1">
      <alignment horizontal="right" wrapText="1"/>
    </xf>
    <xf numFmtId="0" fontId="17" fillId="0" borderId="0" xfId="0" applyFont="1" applyAlignment="1">
      <alignment wrapText="1"/>
    </xf>
    <xf numFmtId="0" fontId="18" fillId="0" borderId="10" xfId="0" applyFont="1" applyBorder="1" applyAlignment="1">
      <alignment wrapText="1"/>
    </xf>
    <xf numFmtId="2" fontId="17" fillId="0" borderId="0" xfId="0" applyNumberFormat="1" applyFont="1" applyAlignment="1">
      <alignment horizontal="right" wrapText="1"/>
    </xf>
    <xf numFmtId="0" fontId="0" fillId="9" borderId="0" xfId="0" applyFill="1"/>
    <xf numFmtId="0" fontId="0" fillId="10" borderId="0" xfId="0" applyFill="1"/>
    <xf numFmtId="0" fontId="0" fillId="0" borderId="10" xfId="0" applyBorder="1"/>
    <xf numFmtId="0" fontId="0" fillId="7" borderId="0" xfId="0" applyFill="1"/>
    <xf numFmtId="2" fontId="3" fillId="0" borderId="0" xfId="0" applyNumberFormat="1" applyFont="1" applyAlignment="1">
      <alignment horizontal="right" wrapText="1"/>
    </xf>
    <xf numFmtId="2" fontId="0" fillId="7" borderId="0" xfId="0" applyNumberFormat="1" applyFill="1"/>
    <xf numFmtId="0" fontId="0" fillId="0" borderId="0" xfId="0" applyAlignment="1">
      <alignment horizontal="center" wrapText="1"/>
    </xf>
    <xf numFmtId="0" fontId="0" fillId="0" borderId="9" xfId="0"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3"/>
  <sheetViews>
    <sheetView workbookViewId="0">
      <pane xSplit="1" ySplit="1" topLeftCell="B2" activePane="bottomRight" state="frozen"/>
      <selection pane="topRight" activeCell="B1" sqref="B1"/>
      <selection pane="bottomLeft" activeCell="A2" sqref="A2"/>
      <selection pane="bottomRight" activeCell="E13" sqref="E13"/>
    </sheetView>
  </sheetViews>
  <sheetFormatPr baseColWidth="10" defaultColWidth="8.83203125" defaultRowHeight="16" x14ac:dyDescent="0.2"/>
  <cols>
    <col min="1" max="1" width="80" style="5" bestFit="1" customWidth="1"/>
  </cols>
  <sheetData>
    <row r="1" spans="1:4" x14ac:dyDescent="0.2">
      <c r="A1" s="2" t="s">
        <v>514</v>
      </c>
      <c r="B1" s="28" t="s">
        <v>515</v>
      </c>
      <c r="C1" s="29" t="s">
        <v>319</v>
      </c>
      <c r="D1" s="10" t="s">
        <v>516</v>
      </c>
    </row>
    <row r="2" spans="1:4" x14ac:dyDescent="0.2">
      <c r="A2" s="2" t="s">
        <v>384</v>
      </c>
    </row>
    <row r="3" spans="1:4" x14ac:dyDescent="0.2">
      <c r="A3" s="3" t="s">
        <v>385</v>
      </c>
    </row>
    <row r="4" spans="1:4" x14ac:dyDescent="0.2">
      <c r="A4" s="4" t="s">
        <v>386</v>
      </c>
    </row>
    <row r="5" spans="1:4" x14ac:dyDescent="0.2">
      <c r="A5" s="4" t="s">
        <v>387</v>
      </c>
    </row>
    <row r="6" spans="1:4" x14ac:dyDescent="0.2">
      <c r="A6" s="4" t="s">
        <v>388</v>
      </c>
    </row>
    <row r="7" spans="1:4" x14ac:dyDescent="0.2">
      <c r="A7" s="4" t="s">
        <v>389</v>
      </c>
    </row>
    <row r="8" spans="1:4" x14ac:dyDescent="0.2">
      <c r="A8" s="5" t="s">
        <v>390</v>
      </c>
    </row>
    <row r="9" spans="1:4" x14ac:dyDescent="0.2">
      <c r="A9" s="5" t="s">
        <v>391</v>
      </c>
    </row>
    <row r="10" spans="1:4" x14ac:dyDescent="0.2">
      <c r="A10" s="5" t="s">
        <v>392</v>
      </c>
    </row>
    <row r="11" spans="1:4" x14ac:dyDescent="0.2">
      <c r="A11" s="5" t="s">
        <v>393</v>
      </c>
    </row>
    <row r="12" spans="1:4" x14ac:dyDescent="0.2">
      <c r="A12" s="5" t="s">
        <v>394</v>
      </c>
    </row>
    <row r="13" spans="1:4" x14ac:dyDescent="0.2">
      <c r="A13" s="5" t="s">
        <v>395</v>
      </c>
    </row>
    <row r="14" spans="1:4" x14ac:dyDescent="0.2">
      <c r="A14" s="4" t="s">
        <v>396</v>
      </c>
    </row>
    <row r="15" spans="1:4" x14ac:dyDescent="0.2">
      <c r="A15" s="4" t="s">
        <v>397</v>
      </c>
    </row>
    <row r="16" spans="1:4" x14ac:dyDescent="0.2">
      <c r="A16" s="5" t="s">
        <v>398</v>
      </c>
    </row>
    <row r="17" spans="1:1" x14ac:dyDescent="0.2">
      <c r="A17" s="5" t="s">
        <v>399</v>
      </c>
    </row>
    <row r="18" spans="1:1" x14ac:dyDescent="0.2">
      <c r="A18" s="4" t="s">
        <v>400</v>
      </c>
    </row>
    <row r="19" spans="1:1" x14ac:dyDescent="0.2">
      <c r="A19" s="4" t="s">
        <v>401</v>
      </c>
    </row>
    <row r="20" spans="1:1" x14ac:dyDescent="0.2">
      <c r="A20" s="4" t="s">
        <v>402</v>
      </c>
    </row>
    <row r="21" spans="1:1" x14ac:dyDescent="0.2">
      <c r="A21" s="5" t="s">
        <v>403</v>
      </c>
    </row>
    <row r="22" spans="1:1" x14ac:dyDescent="0.2">
      <c r="A22" s="5" t="s">
        <v>404</v>
      </c>
    </row>
    <row r="23" spans="1:1" x14ac:dyDescent="0.2">
      <c r="A23" s="6" t="s">
        <v>405</v>
      </c>
    </row>
    <row r="24" spans="1:1" x14ac:dyDescent="0.2">
      <c r="A24" s="7" t="s">
        <v>406</v>
      </c>
    </row>
    <row r="25" spans="1:1" x14ac:dyDescent="0.2">
      <c r="A25" s="8" t="s">
        <v>407</v>
      </c>
    </row>
    <row r="26" spans="1:1" x14ac:dyDescent="0.2">
      <c r="A26" s="8" t="s">
        <v>408</v>
      </c>
    </row>
    <row r="27" spans="1:1" x14ac:dyDescent="0.2">
      <c r="A27" s="4"/>
    </row>
    <row r="28" spans="1:1" x14ac:dyDescent="0.2">
      <c r="A28" s="4"/>
    </row>
    <row r="29" spans="1:1" x14ac:dyDescent="0.2">
      <c r="A29" s="3" t="s">
        <v>409</v>
      </c>
    </row>
    <row r="30" spans="1:1" x14ac:dyDescent="0.2">
      <c r="A30" s="4" t="s">
        <v>410</v>
      </c>
    </row>
    <row r="31" spans="1:1" x14ac:dyDescent="0.2">
      <c r="A31" s="4" t="s">
        <v>411</v>
      </c>
    </row>
    <row r="32" spans="1:1" x14ac:dyDescent="0.2">
      <c r="A32" s="4" t="s">
        <v>412</v>
      </c>
    </row>
    <row r="33" spans="1:1" x14ac:dyDescent="0.2">
      <c r="A33" s="4" t="s">
        <v>413</v>
      </c>
    </row>
    <row r="34" spans="1:1" x14ac:dyDescent="0.2">
      <c r="A34" s="4" t="s">
        <v>414</v>
      </c>
    </row>
    <row r="35" spans="1:1" x14ac:dyDescent="0.2">
      <c r="A35" s="4" t="s">
        <v>415</v>
      </c>
    </row>
    <row r="36" spans="1:1" x14ac:dyDescent="0.2">
      <c r="A36" s="4" t="s">
        <v>416</v>
      </c>
    </row>
    <row r="37" spans="1:1" x14ac:dyDescent="0.2">
      <c r="A37" s="4" t="s">
        <v>417</v>
      </c>
    </row>
    <row r="38" spans="1:1" x14ac:dyDescent="0.2">
      <c r="A38" s="4" t="s">
        <v>418</v>
      </c>
    </row>
    <row r="39" spans="1:1" x14ac:dyDescent="0.2">
      <c r="A39" s="4" t="s">
        <v>419</v>
      </c>
    </row>
    <row r="40" spans="1:1" x14ac:dyDescent="0.2">
      <c r="A40" s="4" t="s">
        <v>420</v>
      </c>
    </row>
    <row r="41" spans="1:1" x14ac:dyDescent="0.2">
      <c r="A41" s="4" t="s">
        <v>421</v>
      </c>
    </row>
    <row r="42" spans="1:1" x14ac:dyDescent="0.2">
      <c r="A42" s="4" t="s">
        <v>422</v>
      </c>
    </row>
    <row r="43" spans="1:1" x14ac:dyDescent="0.2">
      <c r="A43" s="9" t="s">
        <v>423</v>
      </c>
    </row>
    <row r="44" spans="1:1" x14ac:dyDescent="0.2">
      <c r="A44" s="7" t="s">
        <v>424</v>
      </c>
    </row>
    <row r="45" spans="1:1" x14ac:dyDescent="0.2">
      <c r="A45" s="7" t="s">
        <v>425</v>
      </c>
    </row>
    <row r="46" spans="1:1" x14ac:dyDescent="0.2">
      <c r="A46" s="7" t="s">
        <v>426</v>
      </c>
    </row>
    <row r="47" spans="1:1" x14ac:dyDescent="0.2">
      <c r="A47" s="7" t="s">
        <v>427</v>
      </c>
    </row>
    <row r="48" spans="1:1" x14ac:dyDescent="0.2">
      <c r="A48" s="10"/>
    </row>
    <row r="49" spans="1:1" x14ac:dyDescent="0.2">
      <c r="A49" s="11" t="s">
        <v>428</v>
      </c>
    </row>
    <row r="50" spans="1:1" x14ac:dyDescent="0.2">
      <c r="A50" s="11" t="s">
        <v>429</v>
      </c>
    </row>
    <row r="51" spans="1:1" x14ac:dyDescent="0.2">
      <c r="A51" s="4"/>
    </row>
    <row r="52" spans="1:1" x14ac:dyDescent="0.2">
      <c r="A52" s="11" t="s">
        <v>430</v>
      </c>
    </row>
    <row r="53" spans="1:1" x14ac:dyDescent="0.2">
      <c r="A53" s="11" t="s">
        <v>228</v>
      </c>
    </row>
    <row r="54" spans="1:1" x14ac:dyDescent="0.2">
      <c r="A54" s="12" t="s">
        <v>431</v>
      </c>
    </row>
    <row r="55" spans="1:1" x14ac:dyDescent="0.2">
      <c r="A55" s="13" t="s">
        <v>432</v>
      </c>
    </row>
    <row r="56" spans="1:1" x14ac:dyDescent="0.2">
      <c r="A56" s="4"/>
    </row>
    <row r="57" spans="1:1" x14ac:dyDescent="0.2">
      <c r="A57" s="11" t="s">
        <v>433</v>
      </c>
    </row>
    <row r="58" spans="1:1" x14ac:dyDescent="0.2">
      <c r="A58" s="11" t="s">
        <v>434</v>
      </c>
    </row>
    <row r="59" spans="1:1" x14ac:dyDescent="0.2">
      <c r="A59" s="4"/>
    </row>
    <row r="60" spans="1:1" x14ac:dyDescent="0.2">
      <c r="A60" s="3" t="s">
        <v>435</v>
      </c>
    </row>
    <row r="61" spans="1:1" x14ac:dyDescent="0.2">
      <c r="A61" s="2" t="s">
        <v>436</v>
      </c>
    </row>
    <row r="62" spans="1:1" x14ac:dyDescent="0.2">
      <c r="A62" s="5" t="s">
        <v>230</v>
      </c>
    </row>
    <row r="63" spans="1:1" x14ac:dyDescent="0.2">
      <c r="A63" s="5" t="s">
        <v>374</v>
      </c>
    </row>
    <row r="64" spans="1:1" x14ac:dyDescent="0.2">
      <c r="A64" s="5" t="s">
        <v>437</v>
      </c>
    </row>
    <row r="65" spans="1:1" x14ac:dyDescent="0.2">
      <c r="A65" s="5" t="s">
        <v>438</v>
      </c>
    </row>
    <row r="66" spans="1:1" x14ac:dyDescent="0.2">
      <c r="A66" s="5" t="s">
        <v>370</v>
      </c>
    </row>
    <row r="67" spans="1:1" x14ac:dyDescent="0.2">
      <c r="A67" s="5" t="s">
        <v>240</v>
      </c>
    </row>
    <row r="68" spans="1:1" x14ac:dyDescent="0.2">
      <c r="A68" s="5" t="s">
        <v>439</v>
      </c>
    </row>
    <row r="69" spans="1:1" x14ac:dyDescent="0.2">
      <c r="A69" s="5" t="s">
        <v>371</v>
      </c>
    </row>
    <row r="70" spans="1:1" x14ac:dyDescent="0.2">
      <c r="A70" s="5" t="s">
        <v>373</v>
      </c>
    </row>
    <row r="71" spans="1:1" x14ac:dyDescent="0.2">
      <c r="A71" s="14" t="s">
        <v>440</v>
      </c>
    </row>
    <row r="72" spans="1:1" x14ac:dyDescent="0.2">
      <c r="A72" s="14" t="s">
        <v>441</v>
      </c>
    </row>
    <row r="73" spans="1:1" x14ac:dyDescent="0.2">
      <c r="A73" s="14" t="s">
        <v>442</v>
      </c>
    </row>
    <row r="74" spans="1:1" x14ac:dyDescent="0.2">
      <c r="A74" s="4"/>
    </row>
    <row r="75" spans="1:1" x14ac:dyDescent="0.2">
      <c r="A75" s="3" t="s">
        <v>443</v>
      </c>
    </row>
    <row r="76" spans="1:1" x14ac:dyDescent="0.2">
      <c r="A76" s="2" t="s">
        <v>444</v>
      </c>
    </row>
    <row r="77" spans="1:1" x14ac:dyDescent="0.2">
      <c r="A77" s="4" t="s">
        <v>230</v>
      </c>
    </row>
    <row r="78" spans="1:1" x14ac:dyDescent="0.2">
      <c r="A78" s="4" t="s">
        <v>372</v>
      </c>
    </row>
    <row r="79" spans="1:1" x14ac:dyDescent="0.2">
      <c r="A79" s="4" t="s">
        <v>445</v>
      </c>
    </row>
    <row r="80" spans="1:1" x14ac:dyDescent="0.2">
      <c r="A80" s="4" t="s">
        <v>446</v>
      </c>
    </row>
    <row r="81" spans="1:1" x14ac:dyDescent="0.2">
      <c r="A81" s="4" t="s">
        <v>369</v>
      </c>
    </row>
    <row r="82" spans="1:1" x14ac:dyDescent="0.2">
      <c r="A82" s="14" t="s">
        <v>447</v>
      </c>
    </row>
    <row r="83" spans="1:1" x14ac:dyDescent="0.2">
      <c r="A83" s="14" t="s">
        <v>442</v>
      </c>
    </row>
    <row r="84" spans="1:1" x14ac:dyDescent="0.2">
      <c r="A84" s="4"/>
    </row>
    <row r="85" spans="1:1" x14ac:dyDescent="0.2">
      <c r="A85" s="15" t="s">
        <v>448</v>
      </c>
    </row>
    <row r="86" spans="1:1" x14ac:dyDescent="0.2">
      <c r="A86" s="16" t="s">
        <v>449</v>
      </c>
    </row>
    <row r="87" spans="1:1" ht="17" x14ac:dyDescent="0.2">
      <c r="A87" s="17" t="s">
        <v>450</v>
      </c>
    </row>
    <row r="88" spans="1:1" ht="17" x14ac:dyDescent="0.2">
      <c r="A88" s="17" t="s">
        <v>451</v>
      </c>
    </row>
    <row r="89" spans="1:1" x14ac:dyDescent="0.2">
      <c r="A89" s="4" t="s">
        <v>452</v>
      </c>
    </row>
    <row r="90" spans="1:1" x14ac:dyDescent="0.2">
      <c r="A90" s="4" t="s">
        <v>453</v>
      </c>
    </row>
    <row r="91" spans="1:1" x14ac:dyDescent="0.2">
      <c r="A91" s="4" t="s">
        <v>453</v>
      </c>
    </row>
    <row r="92" spans="1:1" x14ac:dyDescent="0.2">
      <c r="A92" s="4" t="s">
        <v>454</v>
      </c>
    </row>
    <row r="93" spans="1:1" x14ac:dyDescent="0.2">
      <c r="A93" s="4" t="s">
        <v>455</v>
      </c>
    </row>
    <row r="94" spans="1:1" x14ac:dyDescent="0.2">
      <c r="A94" s="4" t="s">
        <v>329</v>
      </c>
    </row>
    <row r="95" spans="1:1" x14ac:dyDescent="0.2">
      <c r="A95" s="4" t="s">
        <v>331</v>
      </c>
    </row>
    <row r="96" spans="1:1" x14ac:dyDescent="0.2">
      <c r="A96" s="4" t="s">
        <v>330</v>
      </c>
    </row>
    <row r="97" spans="1:1" x14ac:dyDescent="0.2">
      <c r="A97" s="4" t="s">
        <v>332</v>
      </c>
    </row>
    <row r="98" spans="1:1" x14ac:dyDescent="0.2">
      <c r="A98" s="4" t="s">
        <v>333</v>
      </c>
    </row>
    <row r="99" spans="1:1" x14ac:dyDescent="0.2">
      <c r="A99" s="4" t="s">
        <v>334</v>
      </c>
    </row>
    <row r="100" spans="1:1" x14ac:dyDescent="0.2">
      <c r="A100" s="4" t="s">
        <v>335</v>
      </c>
    </row>
    <row r="101" spans="1:1" x14ac:dyDescent="0.2">
      <c r="A101" s="4" t="s">
        <v>336</v>
      </c>
    </row>
    <row r="102" spans="1:1" x14ac:dyDescent="0.2">
      <c r="A102" s="4" t="s">
        <v>456</v>
      </c>
    </row>
    <row r="103" spans="1:1" x14ac:dyDescent="0.2">
      <c r="A103" s="4" t="s">
        <v>457</v>
      </c>
    </row>
    <row r="104" spans="1:1" x14ac:dyDescent="0.2">
      <c r="A104" s="4" t="s">
        <v>458</v>
      </c>
    </row>
    <row r="105" spans="1:1" x14ac:dyDescent="0.2">
      <c r="A105" s="4" t="s">
        <v>459</v>
      </c>
    </row>
    <row r="106" spans="1:1" x14ac:dyDescent="0.2">
      <c r="A106" s="4" t="s">
        <v>460</v>
      </c>
    </row>
    <row r="107" spans="1:1" x14ac:dyDescent="0.2">
      <c r="A107" s="4" t="s">
        <v>461</v>
      </c>
    </row>
    <row r="108" spans="1:1" x14ac:dyDescent="0.2">
      <c r="A108" s="4" t="s">
        <v>337</v>
      </c>
    </row>
    <row r="109" spans="1:1" x14ac:dyDescent="0.2">
      <c r="A109" s="4" t="s">
        <v>338</v>
      </c>
    </row>
    <row r="110" spans="1:1" x14ac:dyDescent="0.2">
      <c r="A110" s="4" t="s">
        <v>339</v>
      </c>
    </row>
    <row r="111" spans="1:1" x14ac:dyDescent="0.2">
      <c r="A111" s="4" t="s">
        <v>462</v>
      </c>
    </row>
    <row r="112" spans="1:1" x14ac:dyDescent="0.2">
      <c r="A112" s="4" t="s">
        <v>463</v>
      </c>
    </row>
    <row r="113" spans="1:1" x14ac:dyDescent="0.2">
      <c r="A113" s="14" t="s">
        <v>464</v>
      </c>
    </row>
    <row r="114" spans="1:1" x14ac:dyDescent="0.2">
      <c r="A114" s="14" t="s">
        <v>465</v>
      </c>
    </row>
    <row r="115" spans="1:1" x14ac:dyDescent="0.2">
      <c r="A115" s="14" t="s">
        <v>442</v>
      </c>
    </row>
    <row r="116" spans="1:1" x14ac:dyDescent="0.2">
      <c r="A116" s="4"/>
    </row>
    <row r="117" spans="1:1" x14ac:dyDescent="0.2">
      <c r="A117" s="3" t="s">
        <v>466</v>
      </c>
    </row>
    <row r="118" spans="1:1" ht="17" x14ac:dyDescent="0.2">
      <c r="A118" s="17" t="s">
        <v>467</v>
      </c>
    </row>
    <row r="119" spans="1:1" x14ac:dyDescent="0.2">
      <c r="A119" s="4" t="s">
        <v>468</v>
      </c>
    </row>
    <row r="120" spans="1:1" x14ac:dyDescent="0.2">
      <c r="A120" s="4" t="s">
        <v>469</v>
      </c>
    </row>
    <row r="121" spans="1:1" x14ac:dyDescent="0.2">
      <c r="A121" s="4" t="s">
        <v>470</v>
      </c>
    </row>
    <row r="122" spans="1:1" x14ac:dyDescent="0.2">
      <c r="A122" s="4" t="s">
        <v>471</v>
      </c>
    </row>
    <row r="123" spans="1:1" x14ac:dyDescent="0.2">
      <c r="A123" s="18" t="s">
        <v>447</v>
      </c>
    </row>
    <row r="124" spans="1:1" x14ac:dyDescent="0.2">
      <c r="A124" s="18" t="s">
        <v>442</v>
      </c>
    </row>
    <row r="125" spans="1:1" x14ac:dyDescent="0.2">
      <c r="A125" s="2"/>
    </row>
    <row r="126" spans="1:1" x14ac:dyDescent="0.2">
      <c r="A126" s="3" t="s">
        <v>472</v>
      </c>
    </row>
    <row r="127" spans="1:1" x14ac:dyDescent="0.2">
      <c r="A127" s="4" t="s">
        <v>473</v>
      </c>
    </row>
    <row r="128" spans="1:1" x14ac:dyDescent="0.2">
      <c r="A128" s="4" t="s">
        <v>474</v>
      </c>
    </row>
    <row r="129" spans="1:1" x14ac:dyDescent="0.2">
      <c r="A129" s="4" t="s">
        <v>475</v>
      </c>
    </row>
    <row r="130" spans="1:1" x14ac:dyDescent="0.2">
      <c r="A130" s="4" t="s">
        <v>476</v>
      </c>
    </row>
    <row r="131" spans="1:1" x14ac:dyDescent="0.2">
      <c r="A131" s="4" t="s">
        <v>477</v>
      </c>
    </row>
    <row r="132" spans="1:1" x14ac:dyDescent="0.2">
      <c r="A132" s="4" t="s">
        <v>478</v>
      </c>
    </row>
    <row r="133" spans="1:1" x14ac:dyDescent="0.2">
      <c r="A133" s="19" t="s">
        <v>479</v>
      </c>
    </row>
    <row r="134" spans="1:1" x14ac:dyDescent="0.2">
      <c r="A134" s="20" t="s">
        <v>480</v>
      </c>
    </row>
    <row r="135" spans="1:1" x14ac:dyDescent="0.2">
      <c r="A135" s="20" t="s">
        <v>481</v>
      </c>
    </row>
    <row r="136" spans="1:1" x14ac:dyDescent="0.2">
      <c r="A136" s="20" t="s">
        <v>482</v>
      </c>
    </row>
    <row r="137" spans="1:1" x14ac:dyDescent="0.2">
      <c r="A137" s="20" t="s">
        <v>483</v>
      </c>
    </row>
    <row r="138" spans="1:1" x14ac:dyDescent="0.2">
      <c r="A138" s="21" t="s">
        <v>484</v>
      </c>
    </row>
    <row r="139" spans="1:1" x14ac:dyDescent="0.2">
      <c r="A139" s="20" t="s">
        <v>485</v>
      </c>
    </row>
    <row r="140" spans="1:1" x14ac:dyDescent="0.2">
      <c r="A140" s="20" t="s">
        <v>486</v>
      </c>
    </row>
    <row r="141" spans="1:1" x14ac:dyDescent="0.2">
      <c r="A141" s="20" t="s">
        <v>487</v>
      </c>
    </row>
    <row r="142" spans="1:1" x14ac:dyDescent="0.2">
      <c r="A142" s="20" t="s">
        <v>488</v>
      </c>
    </row>
    <row r="143" spans="1:1" x14ac:dyDescent="0.2">
      <c r="A143" s="21" t="s">
        <v>489</v>
      </c>
    </row>
    <row r="144" spans="1:1" x14ac:dyDescent="0.2">
      <c r="A144" s="4" t="s">
        <v>490</v>
      </c>
    </row>
    <row r="145" spans="1:1" x14ac:dyDescent="0.2">
      <c r="A145" s="4" t="s">
        <v>491</v>
      </c>
    </row>
    <row r="146" spans="1:1" x14ac:dyDescent="0.2">
      <c r="A146" s="4" t="s">
        <v>492</v>
      </c>
    </row>
    <row r="147" spans="1:1" x14ac:dyDescent="0.2">
      <c r="A147" s="14" t="s">
        <v>447</v>
      </c>
    </row>
    <row r="148" spans="1:1" x14ac:dyDescent="0.2">
      <c r="A148" s="14" t="s">
        <v>442</v>
      </c>
    </row>
    <row r="149" spans="1:1" x14ac:dyDescent="0.2">
      <c r="A149" s="4"/>
    </row>
    <row r="150" spans="1:1" x14ac:dyDescent="0.2">
      <c r="A150" s="3" t="s">
        <v>493</v>
      </c>
    </row>
    <row r="151" spans="1:1" ht="17" x14ac:dyDescent="0.2">
      <c r="A151" s="17" t="s">
        <v>494</v>
      </c>
    </row>
    <row r="152" spans="1:1" x14ac:dyDescent="0.2">
      <c r="A152" s="4" t="s">
        <v>495</v>
      </c>
    </row>
    <row r="153" spans="1:1" x14ac:dyDescent="0.2">
      <c r="A153" s="4" t="s">
        <v>496</v>
      </c>
    </row>
    <row r="154" spans="1:1" x14ac:dyDescent="0.2">
      <c r="A154" s="4" t="s">
        <v>497</v>
      </c>
    </row>
    <row r="155" spans="1:1" x14ac:dyDescent="0.2">
      <c r="A155" s="18" t="s">
        <v>447</v>
      </c>
    </row>
    <row r="156" spans="1:1" x14ac:dyDescent="0.2">
      <c r="A156" s="18" t="s">
        <v>442</v>
      </c>
    </row>
    <row r="157" spans="1:1" x14ac:dyDescent="0.2">
      <c r="A157" s="4"/>
    </row>
    <row r="158" spans="1:1" x14ac:dyDescent="0.2">
      <c r="A158" s="3" t="s">
        <v>498</v>
      </c>
    </row>
    <row r="159" spans="1:1" x14ac:dyDescent="0.2">
      <c r="A159" s="4" t="s">
        <v>499</v>
      </c>
    </row>
    <row r="160" spans="1:1" x14ac:dyDescent="0.2">
      <c r="A160" s="4" t="s">
        <v>500</v>
      </c>
    </row>
    <row r="161" spans="1:1" x14ac:dyDescent="0.2">
      <c r="A161" s="4" t="s">
        <v>501</v>
      </c>
    </row>
    <row r="162" spans="1:1" x14ac:dyDescent="0.2">
      <c r="A162" s="14" t="s">
        <v>502</v>
      </c>
    </row>
    <row r="163" spans="1:1" x14ac:dyDescent="0.2">
      <c r="A163" s="14" t="s">
        <v>442</v>
      </c>
    </row>
    <row r="164" spans="1:1" x14ac:dyDescent="0.2">
      <c r="A164" s="4"/>
    </row>
    <row r="165" spans="1:1" x14ac:dyDescent="0.2">
      <c r="A165" s="3" t="s">
        <v>503</v>
      </c>
    </row>
    <row r="166" spans="1:1" x14ac:dyDescent="0.2">
      <c r="A166" s="4" t="s">
        <v>504</v>
      </c>
    </row>
    <row r="167" spans="1:1" x14ac:dyDescent="0.2">
      <c r="A167" s="4" t="s">
        <v>505</v>
      </c>
    </row>
    <row r="168" spans="1:1" x14ac:dyDescent="0.2">
      <c r="A168" s="4" t="s">
        <v>506</v>
      </c>
    </row>
    <row r="169" spans="1:1" x14ac:dyDescent="0.2">
      <c r="A169" s="14" t="s">
        <v>447</v>
      </c>
    </row>
    <row r="170" spans="1:1" x14ac:dyDescent="0.2">
      <c r="A170" s="14" t="s">
        <v>442</v>
      </c>
    </row>
    <row r="171" spans="1:1" x14ac:dyDescent="0.2">
      <c r="A171" s="4"/>
    </row>
    <row r="172" spans="1:1" x14ac:dyDescent="0.2">
      <c r="A172" s="4"/>
    </row>
    <row r="173" spans="1:1" ht="17" thickBot="1" x14ac:dyDescent="0.25"/>
    <row r="174" spans="1:1" ht="17" thickBot="1" x14ac:dyDescent="0.25">
      <c r="A174" s="22"/>
    </row>
    <row r="175" spans="1:1" x14ac:dyDescent="0.2">
      <c r="A175" s="23" t="s">
        <v>507</v>
      </c>
    </row>
    <row r="176" spans="1:1" x14ac:dyDescent="0.2">
      <c r="A176" s="24" t="s">
        <v>508</v>
      </c>
    </row>
    <row r="177" spans="1:1" x14ac:dyDescent="0.2">
      <c r="A177" s="24" t="s">
        <v>509</v>
      </c>
    </row>
    <row r="178" spans="1:1" x14ac:dyDescent="0.2">
      <c r="A178" s="24" t="s">
        <v>510</v>
      </c>
    </row>
    <row r="179" spans="1:1" x14ac:dyDescent="0.2">
      <c r="A179" s="25"/>
    </row>
    <row r="180" spans="1:1" x14ac:dyDescent="0.2">
      <c r="A180" s="26" t="s">
        <v>511</v>
      </c>
    </row>
    <row r="181" spans="1:1" x14ac:dyDescent="0.2">
      <c r="A181" s="24" t="s">
        <v>512</v>
      </c>
    </row>
    <row r="182" spans="1:1" x14ac:dyDescent="0.2">
      <c r="A182" s="25"/>
    </row>
    <row r="183" spans="1:1" ht="17" thickBot="1" x14ac:dyDescent="0.25">
      <c r="A183" s="27" t="s">
        <v>513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9"/>
  <sheetViews>
    <sheetView workbookViewId="0">
      <pane xSplit="1" ySplit="2" topLeftCell="B12" activePane="bottomRight" state="frozen"/>
      <selection pane="topRight" activeCell="B1" sqref="B1"/>
      <selection pane="bottomLeft" activeCell="A3" sqref="A3"/>
      <selection pane="bottomRight" activeCell="H143" sqref="H143"/>
    </sheetView>
  </sheetViews>
  <sheetFormatPr baseColWidth="10" defaultColWidth="8.83203125" defaultRowHeight="15" x14ac:dyDescent="0.2"/>
  <cols>
    <col min="1" max="1" width="22.33203125" bestFit="1" customWidth="1"/>
    <col min="6" max="6" width="8.83203125" style="36"/>
    <col min="7" max="7" width="8.83203125" style="37"/>
  </cols>
  <sheetData>
    <row r="1" spans="1:8" ht="16" x14ac:dyDescent="0.2">
      <c r="A1" s="30" t="s">
        <v>517</v>
      </c>
    </row>
    <row r="2" spans="1:8" ht="16" x14ac:dyDescent="0.2">
      <c r="A2" s="31" t="s">
        <v>0</v>
      </c>
      <c r="B2" s="32" t="s">
        <v>518</v>
      </c>
      <c r="C2" s="33" t="s">
        <v>519</v>
      </c>
      <c r="D2" s="33" t="s">
        <v>520</v>
      </c>
      <c r="E2" s="33"/>
      <c r="F2" s="38" t="s">
        <v>515</v>
      </c>
      <c r="G2" s="39" t="s">
        <v>319</v>
      </c>
      <c r="H2" s="34" t="s">
        <v>521</v>
      </c>
    </row>
    <row r="3" spans="1:8" x14ac:dyDescent="0.2">
      <c r="A3" t="s">
        <v>34</v>
      </c>
      <c r="B3">
        <v>38</v>
      </c>
      <c r="C3">
        <v>13</v>
      </c>
      <c r="D3">
        <v>3.25</v>
      </c>
      <c r="F3" s="36">
        <v>38.659999999999997</v>
      </c>
      <c r="H3" t="s">
        <v>35</v>
      </c>
    </row>
    <row r="4" spans="1:8" x14ac:dyDescent="0.2">
      <c r="A4" t="s">
        <v>34</v>
      </c>
      <c r="B4">
        <v>38</v>
      </c>
      <c r="C4">
        <v>13</v>
      </c>
      <c r="D4">
        <v>3.25</v>
      </c>
      <c r="F4" s="36">
        <v>38.659999999999997</v>
      </c>
      <c r="H4" t="s">
        <v>36</v>
      </c>
    </row>
    <row r="5" spans="1:8" x14ac:dyDescent="0.2">
      <c r="A5" t="s">
        <v>34</v>
      </c>
      <c r="F5" s="36">
        <v>38.659999999999997</v>
      </c>
      <c r="G5" s="37">
        <v>0</v>
      </c>
      <c r="H5" t="s">
        <v>320</v>
      </c>
    </row>
    <row r="7" spans="1:8" x14ac:dyDescent="0.2">
      <c r="A7" t="s">
        <v>37</v>
      </c>
      <c r="B7">
        <v>0</v>
      </c>
      <c r="C7">
        <v>14</v>
      </c>
      <c r="D7">
        <v>0</v>
      </c>
      <c r="F7" s="36">
        <v>0.7</v>
      </c>
      <c r="H7" t="s">
        <v>38</v>
      </c>
    </row>
    <row r="8" spans="1:8" x14ac:dyDescent="0.2">
      <c r="A8" t="s">
        <v>37</v>
      </c>
      <c r="B8">
        <v>0</v>
      </c>
      <c r="C8">
        <v>2</v>
      </c>
      <c r="D8">
        <v>0</v>
      </c>
      <c r="F8" s="36">
        <v>0.1</v>
      </c>
      <c r="H8" t="s">
        <v>39</v>
      </c>
    </row>
    <row r="9" spans="1:8" x14ac:dyDescent="0.2">
      <c r="A9" t="s">
        <v>37</v>
      </c>
      <c r="B9">
        <v>0</v>
      </c>
      <c r="C9">
        <v>1</v>
      </c>
      <c r="D9">
        <v>0</v>
      </c>
      <c r="F9" s="36">
        <v>0.05</v>
      </c>
      <c r="H9" t="s">
        <v>40</v>
      </c>
    </row>
    <row r="10" spans="1:8" x14ac:dyDescent="0.2">
      <c r="A10" t="s">
        <v>37</v>
      </c>
      <c r="B10">
        <v>0</v>
      </c>
      <c r="C10">
        <v>8</v>
      </c>
      <c r="D10">
        <v>9</v>
      </c>
      <c r="F10" s="36">
        <v>0.44</v>
      </c>
      <c r="H10" t="s">
        <v>41</v>
      </c>
    </row>
    <row r="11" spans="1:8" x14ac:dyDescent="0.2">
      <c r="A11" t="s">
        <v>37</v>
      </c>
      <c r="B11">
        <v>0</v>
      </c>
      <c r="C11">
        <v>1</v>
      </c>
      <c r="D11">
        <v>10.5</v>
      </c>
      <c r="F11" s="36">
        <v>0.09</v>
      </c>
      <c r="H11" t="s">
        <v>42</v>
      </c>
    </row>
    <row r="12" spans="1:8" x14ac:dyDescent="0.2">
      <c r="A12" t="s">
        <v>37</v>
      </c>
      <c r="B12">
        <v>0</v>
      </c>
      <c r="C12">
        <v>0</v>
      </c>
      <c r="D12">
        <v>3.25</v>
      </c>
      <c r="F12" s="36">
        <f>B12+C12/20+D12/240</f>
        <v>1.3541666666666667E-2</v>
      </c>
      <c r="H12" t="s">
        <v>523</v>
      </c>
    </row>
    <row r="13" spans="1:8" x14ac:dyDescent="0.2">
      <c r="A13" t="s">
        <v>37</v>
      </c>
      <c r="B13">
        <v>1</v>
      </c>
      <c r="C13">
        <v>7</v>
      </c>
      <c r="D13">
        <v>11.25</v>
      </c>
      <c r="F13" s="36">
        <v>1.4</v>
      </c>
      <c r="H13" t="s">
        <v>524</v>
      </c>
    </row>
    <row r="14" spans="1:8" x14ac:dyDescent="0.2">
      <c r="A14" t="s">
        <v>37</v>
      </c>
      <c r="F14" s="36">
        <f>SUM(F7:F12)</f>
        <v>1.3935416666666667</v>
      </c>
      <c r="G14" s="37">
        <f>F14-F13</f>
        <v>-6.4583333333332327E-3</v>
      </c>
      <c r="H14" t="s">
        <v>320</v>
      </c>
    </row>
    <row r="16" spans="1:8" x14ac:dyDescent="0.2">
      <c r="A16" t="s">
        <v>44</v>
      </c>
      <c r="B16">
        <v>0</v>
      </c>
      <c r="C16">
        <v>15</v>
      </c>
      <c r="D16">
        <v>9.5</v>
      </c>
      <c r="F16" s="36">
        <v>0.79</v>
      </c>
      <c r="H16" t="s">
        <v>45</v>
      </c>
    </row>
    <row r="17" spans="1:8" x14ac:dyDescent="0.2">
      <c r="A17" t="s">
        <v>44</v>
      </c>
      <c r="B17">
        <v>0</v>
      </c>
      <c r="C17">
        <v>2</v>
      </c>
      <c r="D17">
        <v>6</v>
      </c>
      <c r="F17" s="36">
        <v>0.12</v>
      </c>
      <c r="H17" t="s">
        <v>46</v>
      </c>
    </row>
    <row r="18" spans="1:8" x14ac:dyDescent="0.2">
      <c r="A18" t="s">
        <v>44</v>
      </c>
      <c r="B18">
        <v>0</v>
      </c>
      <c r="C18">
        <v>1</v>
      </c>
      <c r="D18">
        <v>3.5</v>
      </c>
      <c r="F18" s="36">
        <v>0.06</v>
      </c>
      <c r="H18" t="s">
        <v>525</v>
      </c>
    </row>
    <row r="19" spans="1:8" x14ac:dyDescent="0.2">
      <c r="A19" t="s">
        <v>44</v>
      </c>
      <c r="B19">
        <v>0</v>
      </c>
      <c r="C19">
        <v>19</v>
      </c>
      <c r="D19">
        <v>3.5</v>
      </c>
      <c r="F19" s="36">
        <f>B19+C19/20+D19/240</f>
        <v>0.96458333333333324</v>
      </c>
      <c r="H19" t="s">
        <v>526</v>
      </c>
    </row>
    <row r="21" spans="1:8" x14ac:dyDescent="0.2">
      <c r="A21" t="s">
        <v>44</v>
      </c>
      <c r="B21">
        <v>2</v>
      </c>
      <c r="C21">
        <v>7</v>
      </c>
      <c r="D21">
        <v>2.75</v>
      </c>
      <c r="F21" s="36">
        <v>2.36</v>
      </c>
      <c r="H21" t="s">
        <v>48</v>
      </c>
    </row>
    <row r="23" spans="1:8" x14ac:dyDescent="0.2">
      <c r="A23" t="s">
        <v>527</v>
      </c>
      <c r="B23">
        <v>36</v>
      </c>
      <c r="C23">
        <v>6</v>
      </c>
      <c r="D23">
        <v>0.5</v>
      </c>
      <c r="F23" s="36">
        <v>36.299999999999997</v>
      </c>
      <c r="H23" t="s">
        <v>49</v>
      </c>
    </row>
    <row r="24" spans="1:8" x14ac:dyDescent="0.2">
      <c r="A24" t="s">
        <v>527</v>
      </c>
      <c r="F24" s="36">
        <f>F5-F21</f>
        <v>36.299999999999997</v>
      </c>
      <c r="G24" s="37">
        <f>F24-F23</f>
        <v>0</v>
      </c>
      <c r="H24" t="s">
        <v>320</v>
      </c>
    </row>
    <row r="26" spans="1:8" x14ac:dyDescent="0.2">
      <c r="A26" t="s">
        <v>50</v>
      </c>
      <c r="B26">
        <v>1</v>
      </c>
      <c r="C26">
        <v>16</v>
      </c>
      <c r="D26">
        <v>9.5</v>
      </c>
      <c r="F26" s="36">
        <v>1.84</v>
      </c>
      <c r="H26" t="s">
        <v>51</v>
      </c>
    </row>
    <row r="27" spans="1:8" x14ac:dyDescent="0.2">
      <c r="A27" t="s">
        <v>50</v>
      </c>
      <c r="B27">
        <v>1</v>
      </c>
      <c r="C27">
        <v>3</v>
      </c>
      <c r="D27">
        <v>10</v>
      </c>
      <c r="F27" s="36">
        <v>1.19</v>
      </c>
      <c r="H27" t="s">
        <v>52</v>
      </c>
    </row>
    <row r="28" spans="1:8" x14ac:dyDescent="0.2">
      <c r="A28" t="s">
        <v>50</v>
      </c>
      <c r="B28">
        <v>0</v>
      </c>
      <c r="C28">
        <v>12</v>
      </c>
      <c r="D28">
        <v>0</v>
      </c>
      <c r="F28" s="36">
        <v>0.6</v>
      </c>
      <c r="H28" t="s">
        <v>53</v>
      </c>
    </row>
    <row r="29" spans="1:8" x14ac:dyDescent="0.2">
      <c r="A29" t="s">
        <v>50</v>
      </c>
      <c r="B29">
        <v>0</v>
      </c>
      <c r="C29">
        <v>0</v>
      </c>
      <c r="D29">
        <v>0</v>
      </c>
      <c r="F29" s="36">
        <v>0</v>
      </c>
      <c r="H29" t="s">
        <v>54</v>
      </c>
    </row>
    <row r="30" spans="1:8" x14ac:dyDescent="0.2">
      <c r="A30" t="s">
        <v>50</v>
      </c>
      <c r="B30">
        <v>0</v>
      </c>
      <c r="C30">
        <v>3</v>
      </c>
      <c r="D30">
        <v>0</v>
      </c>
      <c r="F30" s="36">
        <v>0.15</v>
      </c>
      <c r="H30" t="s">
        <v>56</v>
      </c>
    </row>
    <row r="31" spans="1:8" x14ac:dyDescent="0.2">
      <c r="A31" t="s">
        <v>50</v>
      </c>
      <c r="B31">
        <v>0</v>
      </c>
      <c r="C31">
        <v>0</v>
      </c>
      <c r="D31">
        <v>0</v>
      </c>
      <c r="F31" s="36">
        <v>0</v>
      </c>
      <c r="H31" t="s">
        <v>57</v>
      </c>
    </row>
    <row r="32" spans="1:8" x14ac:dyDescent="0.2">
      <c r="A32" t="s">
        <v>50</v>
      </c>
      <c r="B32">
        <v>0</v>
      </c>
      <c r="C32">
        <v>1</v>
      </c>
      <c r="D32">
        <v>6</v>
      </c>
      <c r="F32" s="36">
        <v>0.08</v>
      </c>
      <c r="H32" t="s">
        <v>58</v>
      </c>
    </row>
    <row r="33" spans="1:8" x14ac:dyDescent="0.2">
      <c r="A33" t="s">
        <v>50</v>
      </c>
      <c r="B33">
        <v>3</v>
      </c>
      <c r="C33">
        <v>1</v>
      </c>
      <c r="D33">
        <v>0</v>
      </c>
      <c r="F33" s="36">
        <v>3.05</v>
      </c>
      <c r="H33" t="s">
        <v>59</v>
      </c>
    </row>
    <row r="34" spans="1:8" x14ac:dyDescent="0.2">
      <c r="A34" t="s">
        <v>50</v>
      </c>
      <c r="B34">
        <v>3</v>
      </c>
      <c r="C34">
        <v>18</v>
      </c>
      <c r="D34">
        <v>0</v>
      </c>
      <c r="F34" s="36">
        <v>3.9</v>
      </c>
      <c r="H34" t="s">
        <v>60</v>
      </c>
    </row>
    <row r="35" spans="1:8" x14ac:dyDescent="0.2">
      <c r="A35" t="s">
        <v>50</v>
      </c>
      <c r="B35">
        <v>0</v>
      </c>
      <c r="C35">
        <v>2</v>
      </c>
      <c r="D35">
        <v>6</v>
      </c>
      <c r="F35" s="36">
        <v>0.12</v>
      </c>
      <c r="H35" t="s">
        <v>61</v>
      </c>
    </row>
    <row r="36" spans="1:8" x14ac:dyDescent="0.2">
      <c r="A36" t="s">
        <v>50</v>
      </c>
      <c r="B36">
        <v>0</v>
      </c>
      <c r="C36">
        <v>4</v>
      </c>
      <c r="D36">
        <v>0</v>
      </c>
      <c r="F36" s="36">
        <v>0.2</v>
      </c>
      <c r="H36" t="s">
        <v>62</v>
      </c>
    </row>
    <row r="37" spans="1:8" x14ac:dyDescent="0.2">
      <c r="A37" t="s">
        <v>50</v>
      </c>
      <c r="B37">
        <v>1</v>
      </c>
      <c r="C37">
        <v>2</v>
      </c>
      <c r="D37">
        <v>0</v>
      </c>
      <c r="F37" s="36">
        <v>1.1000000000000001</v>
      </c>
      <c r="H37" t="s">
        <v>63</v>
      </c>
    </row>
    <row r="38" spans="1:8" x14ac:dyDescent="0.2">
      <c r="A38" t="s">
        <v>50</v>
      </c>
      <c r="B38">
        <v>11</v>
      </c>
      <c r="C38">
        <v>9</v>
      </c>
      <c r="D38">
        <v>0</v>
      </c>
      <c r="F38" s="36">
        <v>11.45</v>
      </c>
      <c r="H38" t="s">
        <v>64</v>
      </c>
    </row>
    <row r="39" spans="1:8" x14ac:dyDescent="0.2">
      <c r="A39" t="s">
        <v>50</v>
      </c>
      <c r="B39">
        <v>0</v>
      </c>
      <c r="C39">
        <v>4</v>
      </c>
      <c r="D39">
        <v>9</v>
      </c>
      <c r="F39" s="36">
        <v>0.24</v>
      </c>
      <c r="H39" t="s">
        <v>65</v>
      </c>
    </row>
    <row r="40" spans="1:8" x14ac:dyDescent="0.2">
      <c r="A40" t="s">
        <v>50</v>
      </c>
      <c r="B40">
        <v>0</v>
      </c>
      <c r="C40">
        <v>3</v>
      </c>
      <c r="D40">
        <v>6</v>
      </c>
      <c r="F40" s="36">
        <v>0.17</v>
      </c>
      <c r="H40" t="s">
        <v>66</v>
      </c>
    </row>
    <row r="41" spans="1:8" x14ac:dyDescent="0.2">
      <c r="A41" t="s">
        <v>50</v>
      </c>
      <c r="B41">
        <v>0</v>
      </c>
      <c r="C41">
        <v>1</v>
      </c>
      <c r="D41">
        <v>0</v>
      </c>
      <c r="F41" s="36">
        <v>0.05</v>
      </c>
      <c r="H41" t="s">
        <v>67</v>
      </c>
    </row>
    <row r="42" spans="1:8" x14ac:dyDescent="0.2">
      <c r="A42" t="s">
        <v>50</v>
      </c>
      <c r="B42">
        <v>0</v>
      </c>
      <c r="C42">
        <v>1</v>
      </c>
      <c r="D42">
        <v>5</v>
      </c>
      <c r="F42" s="36">
        <v>7.0000000000000007E-2</v>
      </c>
      <c r="H42" t="s">
        <v>68</v>
      </c>
    </row>
    <row r="43" spans="1:8" x14ac:dyDescent="0.2">
      <c r="A43" t="s">
        <v>50</v>
      </c>
      <c r="B43">
        <v>0</v>
      </c>
      <c r="C43">
        <v>1</v>
      </c>
      <c r="D43">
        <v>11</v>
      </c>
      <c r="F43" s="36">
        <v>0.1</v>
      </c>
      <c r="H43" t="s">
        <v>69</v>
      </c>
    </row>
    <row r="44" spans="1:8" x14ac:dyDescent="0.2">
      <c r="A44" t="s">
        <v>50</v>
      </c>
      <c r="B44">
        <v>0</v>
      </c>
      <c r="C44">
        <v>1</v>
      </c>
      <c r="D44">
        <v>1</v>
      </c>
      <c r="F44" s="36">
        <v>0.05</v>
      </c>
      <c r="H44" t="s">
        <v>70</v>
      </c>
    </row>
    <row r="45" spans="1:8" x14ac:dyDescent="0.2">
      <c r="A45" t="s">
        <v>50</v>
      </c>
      <c r="B45">
        <v>0</v>
      </c>
      <c r="C45">
        <v>0</v>
      </c>
      <c r="D45">
        <v>0</v>
      </c>
      <c r="F45" s="36">
        <v>0</v>
      </c>
      <c r="H45" t="s">
        <v>71</v>
      </c>
    </row>
    <row r="46" spans="1:8" x14ac:dyDescent="0.2">
      <c r="A46" t="s">
        <v>50</v>
      </c>
      <c r="B46">
        <v>0</v>
      </c>
      <c r="C46">
        <v>1</v>
      </c>
      <c r="D46">
        <v>2</v>
      </c>
      <c r="F46" s="36">
        <v>0.06</v>
      </c>
      <c r="H46" t="s">
        <v>72</v>
      </c>
    </row>
    <row r="47" spans="1:8" x14ac:dyDescent="0.2">
      <c r="A47" t="s">
        <v>50</v>
      </c>
      <c r="B47">
        <v>6</v>
      </c>
      <c r="C47">
        <v>4</v>
      </c>
      <c r="D47">
        <v>5.5</v>
      </c>
      <c r="F47" s="36">
        <v>6.22</v>
      </c>
      <c r="H47" t="s">
        <v>73</v>
      </c>
    </row>
    <row r="48" spans="1:8" x14ac:dyDescent="0.2">
      <c r="A48" t="s">
        <v>50</v>
      </c>
      <c r="B48">
        <v>0</v>
      </c>
      <c r="C48">
        <v>1</v>
      </c>
      <c r="D48">
        <v>9</v>
      </c>
      <c r="F48" s="36">
        <v>0.09</v>
      </c>
      <c r="H48" t="s">
        <v>74</v>
      </c>
    </row>
    <row r="49" spans="1:8" x14ac:dyDescent="0.2">
      <c r="A49" t="s">
        <v>50</v>
      </c>
      <c r="B49">
        <v>0</v>
      </c>
      <c r="C49">
        <v>0</v>
      </c>
      <c r="D49">
        <v>0</v>
      </c>
      <c r="F49" s="36">
        <v>0</v>
      </c>
      <c r="H49" t="s">
        <v>75</v>
      </c>
    </row>
    <row r="50" spans="1:8" x14ac:dyDescent="0.2">
      <c r="A50" t="s">
        <v>50</v>
      </c>
      <c r="B50">
        <v>0</v>
      </c>
      <c r="C50">
        <v>12</v>
      </c>
      <c r="D50">
        <v>6</v>
      </c>
      <c r="F50" s="36">
        <v>0.62</v>
      </c>
      <c r="H50" t="s">
        <v>76</v>
      </c>
    </row>
    <row r="51" spans="1:8" x14ac:dyDescent="0.2">
      <c r="A51" t="s">
        <v>50</v>
      </c>
      <c r="B51">
        <v>0</v>
      </c>
      <c r="C51">
        <v>0</v>
      </c>
      <c r="D51">
        <v>6</v>
      </c>
      <c r="F51" s="36">
        <v>0.03</v>
      </c>
      <c r="H51" t="s">
        <v>77</v>
      </c>
    </row>
    <row r="52" spans="1:8" x14ac:dyDescent="0.2">
      <c r="A52" t="s">
        <v>50</v>
      </c>
      <c r="B52">
        <v>0</v>
      </c>
      <c r="C52">
        <v>6</v>
      </c>
      <c r="D52">
        <v>0</v>
      </c>
      <c r="F52">
        <f>B52+C52/20+D52/240</f>
        <v>0.3</v>
      </c>
      <c r="H52" t="s">
        <v>528</v>
      </c>
    </row>
    <row r="53" spans="1:8" x14ac:dyDescent="0.2">
      <c r="A53" t="s">
        <v>50</v>
      </c>
      <c r="B53">
        <v>31</v>
      </c>
      <c r="C53">
        <v>13</v>
      </c>
      <c r="D53">
        <v>8</v>
      </c>
      <c r="F53" s="36">
        <v>31.68</v>
      </c>
      <c r="H53" t="s">
        <v>529</v>
      </c>
    </row>
    <row r="54" spans="1:8" x14ac:dyDescent="0.2">
      <c r="A54" t="s">
        <v>50</v>
      </c>
      <c r="F54" s="36">
        <f>SUM(F26:F52)</f>
        <v>31.680000000000003</v>
      </c>
      <c r="G54" s="37">
        <f>F54-F53</f>
        <v>0</v>
      </c>
      <c r="H54" t="s">
        <v>320</v>
      </c>
    </row>
    <row r="56" spans="1:8" x14ac:dyDescent="0.2">
      <c r="A56" t="s">
        <v>79</v>
      </c>
      <c r="B56">
        <v>15</v>
      </c>
      <c r="C56">
        <v>16</v>
      </c>
      <c r="D56">
        <v>3.5</v>
      </c>
      <c r="F56" s="36">
        <v>15.81</v>
      </c>
      <c r="H56" t="s">
        <v>321</v>
      </c>
    </row>
    <row r="57" spans="1:8" x14ac:dyDescent="0.2">
      <c r="A57" t="s">
        <v>79</v>
      </c>
      <c r="B57">
        <v>13</v>
      </c>
      <c r="C57">
        <v>9</v>
      </c>
      <c r="D57">
        <v>6</v>
      </c>
      <c r="F57" s="36">
        <v>13.47</v>
      </c>
      <c r="H57" t="s">
        <v>322</v>
      </c>
    </row>
    <row r="58" spans="1:8" x14ac:dyDescent="0.2">
      <c r="A58" t="s">
        <v>79</v>
      </c>
      <c r="B58">
        <v>29</v>
      </c>
      <c r="C58">
        <v>5</v>
      </c>
      <c r="D58">
        <v>9.5</v>
      </c>
      <c r="F58" s="36">
        <v>29.29</v>
      </c>
      <c r="H58" t="s">
        <v>83</v>
      </c>
    </row>
    <row r="59" spans="1:8" x14ac:dyDescent="0.2">
      <c r="A59" t="s">
        <v>79</v>
      </c>
      <c r="F59" s="36">
        <v>29.28</v>
      </c>
      <c r="G59" s="37">
        <v>-9.9999999999980105E-3</v>
      </c>
      <c r="H59" t="s">
        <v>320</v>
      </c>
    </row>
    <row r="61" spans="1:8" x14ac:dyDescent="0.2">
      <c r="A61" t="s">
        <v>84</v>
      </c>
      <c r="B61">
        <v>1</v>
      </c>
      <c r="C61">
        <v>13</v>
      </c>
      <c r="D61">
        <v>4</v>
      </c>
      <c r="F61" s="36">
        <v>1.67</v>
      </c>
      <c r="H61" t="s">
        <v>85</v>
      </c>
    </row>
    <row r="62" spans="1:8" x14ac:dyDescent="0.2">
      <c r="A62" t="s">
        <v>84</v>
      </c>
      <c r="B62">
        <v>0</v>
      </c>
      <c r="C62">
        <v>6</v>
      </c>
      <c r="D62">
        <v>8</v>
      </c>
      <c r="F62" s="36">
        <v>0.33</v>
      </c>
      <c r="H62" t="s">
        <v>86</v>
      </c>
    </row>
    <row r="63" spans="1:8" x14ac:dyDescent="0.2">
      <c r="A63" t="s">
        <v>84</v>
      </c>
      <c r="B63">
        <v>0</v>
      </c>
      <c r="C63">
        <v>6</v>
      </c>
      <c r="D63">
        <v>8</v>
      </c>
      <c r="F63" s="36">
        <v>0.33</v>
      </c>
      <c r="H63" t="s">
        <v>87</v>
      </c>
    </row>
    <row r="64" spans="1:8" x14ac:dyDescent="0.2">
      <c r="A64" t="s">
        <v>84</v>
      </c>
      <c r="B64">
        <v>1</v>
      </c>
      <c r="C64">
        <v>6</v>
      </c>
      <c r="D64">
        <v>8</v>
      </c>
      <c r="F64" s="36">
        <v>1.33</v>
      </c>
      <c r="H64" t="s">
        <v>88</v>
      </c>
    </row>
    <row r="65" spans="1:8" x14ac:dyDescent="0.2">
      <c r="A65" t="s">
        <v>84</v>
      </c>
      <c r="B65">
        <v>0</v>
      </c>
      <c r="C65">
        <v>6</v>
      </c>
      <c r="D65">
        <v>8</v>
      </c>
      <c r="F65" s="36">
        <v>0.33</v>
      </c>
      <c r="H65" t="s">
        <v>89</v>
      </c>
    </row>
    <row r="66" spans="1:8" x14ac:dyDescent="0.2">
      <c r="A66" t="s">
        <v>84</v>
      </c>
      <c r="B66">
        <v>0</v>
      </c>
      <c r="C66">
        <v>1</v>
      </c>
      <c r="D66">
        <v>0</v>
      </c>
      <c r="F66" s="36">
        <v>0.05</v>
      </c>
      <c r="H66" t="s">
        <v>90</v>
      </c>
    </row>
    <row r="67" spans="1:8" x14ac:dyDescent="0.2">
      <c r="A67" t="s">
        <v>84</v>
      </c>
      <c r="B67">
        <v>0</v>
      </c>
      <c r="C67">
        <v>4</v>
      </c>
      <c r="D67">
        <v>0</v>
      </c>
      <c r="F67" s="36">
        <v>0.2</v>
      </c>
      <c r="H67" t="s">
        <v>91</v>
      </c>
    </row>
    <row r="68" spans="1:8" x14ac:dyDescent="0.2">
      <c r="A68" t="s">
        <v>84</v>
      </c>
      <c r="B68">
        <v>6</v>
      </c>
      <c r="C68">
        <v>0</v>
      </c>
      <c r="D68">
        <v>0</v>
      </c>
      <c r="F68" s="36">
        <v>6</v>
      </c>
      <c r="H68" t="s">
        <v>92</v>
      </c>
    </row>
    <row r="69" spans="1:8" x14ac:dyDescent="0.2">
      <c r="A69" t="s">
        <v>84</v>
      </c>
      <c r="B69">
        <v>0</v>
      </c>
      <c r="C69">
        <v>2</v>
      </c>
      <c r="D69">
        <v>0</v>
      </c>
      <c r="F69" s="36">
        <v>0.1</v>
      </c>
      <c r="H69" t="s">
        <v>93</v>
      </c>
    </row>
    <row r="70" spans="1:8" x14ac:dyDescent="0.2">
      <c r="A70" t="s">
        <v>84</v>
      </c>
      <c r="B70">
        <v>1</v>
      </c>
      <c r="C70">
        <v>10</v>
      </c>
      <c r="D70">
        <v>0</v>
      </c>
      <c r="F70" s="36">
        <v>1.5</v>
      </c>
      <c r="H70" t="s">
        <v>94</v>
      </c>
    </row>
    <row r="71" spans="1:8" x14ac:dyDescent="0.2">
      <c r="A71" t="s">
        <v>84</v>
      </c>
      <c r="B71">
        <v>0</v>
      </c>
      <c r="C71">
        <v>3</v>
      </c>
      <c r="D71">
        <v>0</v>
      </c>
      <c r="F71" s="36">
        <v>0.15</v>
      </c>
      <c r="H71" t="s">
        <v>95</v>
      </c>
    </row>
    <row r="72" spans="1:8" x14ac:dyDescent="0.2">
      <c r="A72" t="s">
        <v>84</v>
      </c>
      <c r="B72">
        <v>0</v>
      </c>
      <c r="C72">
        <v>4</v>
      </c>
      <c r="D72">
        <v>0</v>
      </c>
      <c r="F72" s="36">
        <v>0.2</v>
      </c>
      <c r="H72" t="s">
        <v>96</v>
      </c>
    </row>
    <row r="73" spans="1:8" x14ac:dyDescent="0.2">
      <c r="A73" t="s">
        <v>84</v>
      </c>
      <c r="B73">
        <v>0</v>
      </c>
      <c r="C73">
        <v>5</v>
      </c>
      <c r="D73">
        <v>0</v>
      </c>
      <c r="F73" s="36">
        <v>0.25</v>
      </c>
      <c r="H73" t="s">
        <v>97</v>
      </c>
    </row>
    <row r="74" spans="1:8" x14ac:dyDescent="0.2">
      <c r="A74" t="s">
        <v>84</v>
      </c>
      <c r="B74">
        <v>0</v>
      </c>
      <c r="C74">
        <v>6</v>
      </c>
      <c r="D74">
        <v>8</v>
      </c>
      <c r="F74" s="36">
        <v>0.33</v>
      </c>
      <c r="H74" t="s">
        <v>98</v>
      </c>
    </row>
    <row r="75" spans="1:8" x14ac:dyDescent="0.2">
      <c r="A75" t="s">
        <v>84</v>
      </c>
      <c r="B75">
        <v>0</v>
      </c>
      <c r="C75">
        <v>2</v>
      </c>
      <c r="D75">
        <v>0</v>
      </c>
      <c r="F75" s="36">
        <v>0.1</v>
      </c>
      <c r="H75" t="s">
        <v>99</v>
      </c>
    </row>
    <row r="76" spans="1:8" x14ac:dyDescent="0.2">
      <c r="A76" t="s">
        <v>84</v>
      </c>
      <c r="B76">
        <v>0</v>
      </c>
      <c r="C76">
        <v>10</v>
      </c>
      <c r="D76">
        <v>0</v>
      </c>
      <c r="F76" s="36">
        <v>0.5</v>
      </c>
      <c r="H76" t="s">
        <v>100</v>
      </c>
    </row>
    <row r="77" spans="1:8" x14ac:dyDescent="0.2">
      <c r="A77" t="s">
        <v>84</v>
      </c>
      <c r="B77">
        <v>0</v>
      </c>
      <c r="C77">
        <v>1</v>
      </c>
      <c r="D77">
        <v>0</v>
      </c>
      <c r="F77" s="36">
        <v>0.05</v>
      </c>
      <c r="H77" t="s">
        <v>101</v>
      </c>
    </row>
    <row r="78" spans="1:8" x14ac:dyDescent="0.2">
      <c r="A78" t="s">
        <v>84</v>
      </c>
      <c r="B78">
        <v>0</v>
      </c>
      <c r="C78">
        <v>5</v>
      </c>
      <c r="D78">
        <v>0</v>
      </c>
      <c r="F78" s="36">
        <v>0.25</v>
      </c>
      <c r="H78" t="s">
        <v>102</v>
      </c>
    </row>
    <row r="79" spans="1:8" x14ac:dyDescent="0.2">
      <c r="A79" t="s">
        <v>84</v>
      </c>
      <c r="B79">
        <v>0</v>
      </c>
      <c r="C79">
        <v>13</v>
      </c>
      <c r="D79">
        <v>4</v>
      </c>
      <c r="F79" s="36">
        <v>0.67</v>
      </c>
      <c r="H79" t="s">
        <v>103</v>
      </c>
    </row>
    <row r="80" spans="1:8" x14ac:dyDescent="0.2">
      <c r="A80" t="s">
        <v>84</v>
      </c>
      <c r="B80">
        <v>0</v>
      </c>
      <c r="C80">
        <v>2</v>
      </c>
      <c r="D80">
        <v>0</v>
      </c>
      <c r="F80" s="36">
        <v>0.1</v>
      </c>
      <c r="H80" t="s">
        <v>104</v>
      </c>
    </row>
    <row r="81" spans="1:8" x14ac:dyDescent="0.2">
      <c r="A81" t="s">
        <v>84</v>
      </c>
      <c r="B81">
        <v>0</v>
      </c>
      <c r="C81">
        <v>2</v>
      </c>
      <c r="D81">
        <v>0</v>
      </c>
      <c r="F81" s="36">
        <v>0.1</v>
      </c>
      <c r="H81" t="s">
        <v>105</v>
      </c>
    </row>
    <row r="82" spans="1:8" x14ac:dyDescent="0.2">
      <c r="A82" t="s">
        <v>84</v>
      </c>
      <c r="B82">
        <v>0</v>
      </c>
      <c r="C82">
        <v>2</v>
      </c>
      <c r="D82">
        <v>0</v>
      </c>
      <c r="F82" s="36">
        <v>0.1</v>
      </c>
      <c r="H82" t="s">
        <v>106</v>
      </c>
    </row>
    <row r="83" spans="1:8" x14ac:dyDescent="0.2">
      <c r="A83" t="s">
        <v>84</v>
      </c>
      <c r="B83">
        <v>0</v>
      </c>
      <c r="C83">
        <v>5</v>
      </c>
      <c r="D83">
        <v>0</v>
      </c>
      <c r="F83" s="36">
        <v>0.25</v>
      </c>
      <c r="H83" t="s">
        <v>107</v>
      </c>
    </row>
    <row r="84" spans="1:8" x14ac:dyDescent="0.2">
      <c r="A84" t="s">
        <v>84</v>
      </c>
      <c r="B84">
        <v>2</v>
      </c>
      <c r="C84">
        <v>0</v>
      </c>
      <c r="D84">
        <v>0</v>
      </c>
      <c r="F84" s="36">
        <v>2</v>
      </c>
      <c r="H84" t="s">
        <v>530</v>
      </c>
    </row>
    <row r="85" spans="1:8" x14ac:dyDescent="0.2">
      <c r="A85" t="s">
        <v>84</v>
      </c>
      <c r="B85">
        <v>16</v>
      </c>
      <c r="C85">
        <v>18</v>
      </c>
      <c r="D85">
        <v>0</v>
      </c>
      <c r="F85" s="36">
        <f>B85+C85/20+D85/240</f>
        <v>16.899999999999999</v>
      </c>
      <c r="H85" t="s">
        <v>531</v>
      </c>
    </row>
    <row r="86" spans="1:8" x14ac:dyDescent="0.2">
      <c r="A86" t="s">
        <v>84</v>
      </c>
      <c r="F86" s="36">
        <v>16.89</v>
      </c>
      <c r="G86" s="37">
        <f>F86-F85</f>
        <v>-9.9999999999980105E-3</v>
      </c>
      <c r="H86" t="s">
        <v>320</v>
      </c>
    </row>
    <row r="88" spans="1:8" x14ac:dyDescent="0.2">
      <c r="A88" t="s">
        <v>109</v>
      </c>
      <c r="B88">
        <v>0</v>
      </c>
      <c r="C88">
        <v>0</v>
      </c>
      <c r="D88">
        <v>6</v>
      </c>
      <c r="F88" s="36">
        <v>0.03</v>
      </c>
      <c r="H88" t="s">
        <v>110</v>
      </c>
    </row>
    <row r="89" spans="1:8" x14ac:dyDescent="0.2">
      <c r="A89" t="s">
        <v>109</v>
      </c>
      <c r="B89">
        <v>0</v>
      </c>
      <c r="C89">
        <v>0</v>
      </c>
      <c r="D89">
        <v>6</v>
      </c>
      <c r="F89" s="36">
        <v>0.03</v>
      </c>
      <c r="H89" t="s">
        <v>111</v>
      </c>
    </row>
    <row r="90" spans="1:8" x14ac:dyDescent="0.2">
      <c r="A90" t="s">
        <v>109</v>
      </c>
      <c r="B90">
        <v>0</v>
      </c>
      <c r="C90">
        <v>0</v>
      </c>
      <c r="D90">
        <v>8</v>
      </c>
      <c r="F90" s="36">
        <v>0.03</v>
      </c>
      <c r="H90" t="s">
        <v>112</v>
      </c>
    </row>
    <row r="91" spans="1:8" x14ac:dyDescent="0.2">
      <c r="A91" t="s">
        <v>109</v>
      </c>
      <c r="B91">
        <v>0</v>
      </c>
      <c r="C91">
        <v>1</v>
      </c>
      <c r="D91">
        <v>0</v>
      </c>
      <c r="F91" s="36">
        <v>0.05</v>
      </c>
      <c r="H91" t="s">
        <v>113</v>
      </c>
    </row>
    <row r="92" spans="1:8" x14ac:dyDescent="0.2">
      <c r="A92" t="s">
        <v>109</v>
      </c>
      <c r="B92">
        <v>0</v>
      </c>
      <c r="C92">
        <v>1</v>
      </c>
      <c r="D92">
        <v>0</v>
      </c>
      <c r="F92" s="36">
        <v>0.05</v>
      </c>
      <c r="H92" t="s">
        <v>114</v>
      </c>
    </row>
    <row r="93" spans="1:8" x14ac:dyDescent="0.2">
      <c r="A93" t="s">
        <v>109</v>
      </c>
      <c r="B93">
        <v>0</v>
      </c>
      <c r="C93">
        <v>0</v>
      </c>
      <c r="D93">
        <v>6</v>
      </c>
      <c r="F93" s="36">
        <v>0.03</v>
      </c>
      <c r="H93" t="s">
        <v>115</v>
      </c>
    </row>
    <row r="94" spans="1:8" x14ac:dyDescent="0.2">
      <c r="A94" t="s">
        <v>109</v>
      </c>
      <c r="B94">
        <v>0</v>
      </c>
      <c r="C94">
        <v>0</v>
      </c>
      <c r="D94">
        <v>6</v>
      </c>
      <c r="F94" s="36">
        <v>0.03</v>
      </c>
      <c r="H94" t="s">
        <v>116</v>
      </c>
    </row>
    <row r="95" spans="1:8" x14ac:dyDescent="0.2">
      <c r="A95" t="s">
        <v>109</v>
      </c>
      <c r="B95">
        <v>0</v>
      </c>
      <c r="C95">
        <v>0</v>
      </c>
      <c r="D95">
        <v>3</v>
      </c>
      <c r="F95" s="36">
        <v>0.01</v>
      </c>
      <c r="H95" t="s">
        <v>117</v>
      </c>
    </row>
    <row r="96" spans="1:8" x14ac:dyDescent="0.2">
      <c r="A96" t="s">
        <v>109</v>
      </c>
      <c r="B96">
        <v>0</v>
      </c>
      <c r="C96">
        <v>1</v>
      </c>
      <c r="D96">
        <v>0</v>
      </c>
      <c r="F96" s="36">
        <v>0.05</v>
      </c>
      <c r="H96" t="s">
        <v>118</v>
      </c>
    </row>
    <row r="97" spans="1:8" x14ac:dyDescent="0.2">
      <c r="A97" t="s">
        <v>109</v>
      </c>
      <c r="B97">
        <v>0</v>
      </c>
      <c r="C97">
        <v>0</v>
      </c>
      <c r="D97">
        <v>3</v>
      </c>
      <c r="F97" s="36">
        <v>0.01</v>
      </c>
      <c r="H97" t="s">
        <v>119</v>
      </c>
    </row>
    <row r="98" spans="1:8" x14ac:dyDescent="0.2">
      <c r="A98" t="s">
        <v>109</v>
      </c>
      <c r="B98">
        <v>0</v>
      </c>
      <c r="C98">
        <v>0</v>
      </c>
      <c r="D98">
        <v>6</v>
      </c>
      <c r="F98" s="36">
        <v>0.03</v>
      </c>
      <c r="H98" t="s">
        <v>120</v>
      </c>
    </row>
    <row r="99" spans="1:8" x14ac:dyDescent="0.2">
      <c r="A99" t="s">
        <v>109</v>
      </c>
      <c r="B99">
        <v>0</v>
      </c>
      <c r="C99">
        <v>0</v>
      </c>
      <c r="D99">
        <v>3</v>
      </c>
      <c r="F99" s="36">
        <v>0.01</v>
      </c>
      <c r="H99" t="s">
        <v>121</v>
      </c>
    </row>
    <row r="100" spans="1:8" x14ac:dyDescent="0.2">
      <c r="A100" t="s">
        <v>109</v>
      </c>
      <c r="B100">
        <v>0</v>
      </c>
      <c r="C100">
        <v>0</v>
      </c>
      <c r="D100">
        <v>6</v>
      </c>
      <c r="F100" s="36">
        <v>0.03</v>
      </c>
      <c r="H100" t="s">
        <v>122</v>
      </c>
    </row>
    <row r="101" spans="1:8" x14ac:dyDescent="0.2">
      <c r="A101" t="s">
        <v>109</v>
      </c>
      <c r="B101">
        <v>0</v>
      </c>
      <c r="C101">
        <v>0</v>
      </c>
      <c r="D101">
        <v>3</v>
      </c>
      <c r="F101" s="36">
        <v>0.01</v>
      </c>
      <c r="H101" t="s">
        <v>123</v>
      </c>
    </row>
    <row r="102" spans="1:8" x14ac:dyDescent="0.2">
      <c r="A102" t="s">
        <v>109</v>
      </c>
      <c r="B102">
        <v>0</v>
      </c>
      <c r="C102">
        <v>0</v>
      </c>
      <c r="D102">
        <v>6</v>
      </c>
      <c r="F102" s="36">
        <v>0.03</v>
      </c>
      <c r="H102" t="s">
        <v>124</v>
      </c>
    </row>
    <row r="103" spans="1:8" x14ac:dyDescent="0.2">
      <c r="A103" t="s">
        <v>109</v>
      </c>
      <c r="B103">
        <v>0</v>
      </c>
      <c r="C103">
        <v>0</v>
      </c>
      <c r="D103">
        <v>6</v>
      </c>
      <c r="F103" s="36">
        <v>0.03</v>
      </c>
      <c r="H103" t="s">
        <v>125</v>
      </c>
    </row>
    <row r="104" spans="1:8" x14ac:dyDescent="0.2">
      <c r="A104" t="s">
        <v>109</v>
      </c>
      <c r="B104">
        <v>0</v>
      </c>
      <c r="C104">
        <v>0</v>
      </c>
      <c r="D104">
        <v>6</v>
      </c>
      <c r="F104" s="36">
        <v>0.03</v>
      </c>
      <c r="H104" t="s">
        <v>126</v>
      </c>
    </row>
    <row r="105" spans="1:8" x14ac:dyDescent="0.2">
      <c r="A105" t="s">
        <v>109</v>
      </c>
      <c r="B105">
        <v>0</v>
      </c>
      <c r="C105">
        <v>2</v>
      </c>
      <c r="D105">
        <v>0</v>
      </c>
      <c r="F105" s="36">
        <v>0.1</v>
      </c>
      <c r="H105" t="s">
        <v>127</v>
      </c>
    </row>
    <row r="106" spans="1:8" x14ac:dyDescent="0.2">
      <c r="A106" t="s">
        <v>109</v>
      </c>
      <c r="B106">
        <v>0</v>
      </c>
      <c r="C106">
        <v>1</v>
      </c>
      <c r="D106">
        <v>0</v>
      </c>
      <c r="F106" s="36">
        <v>0.05</v>
      </c>
      <c r="H106" t="s">
        <v>128</v>
      </c>
    </row>
    <row r="107" spans="1:8" x14ac:dyDescent="0.2">
      <c r="A107" t="s">
        <v>109</v>
      </c>
      <c r="B107">
        <v>0</v>
      </c>
      <c r="C107">
        <v>0</v>
      </c>
      <c r="D107">
        <v>3</v>
      </c>
      <c r="F107" s="36">
        <v>0.01</v>
      </c>
      <c r="H107" t="s">
        <v>129</v>
      </c>
    </row>
    <row r="108" spans="1:8" x14ac:dyDescent="0.2">
      <c r="A108" t="s">
        <v>109</v>
      </c>
      <c r="B108">
        <v>0</v>
      </c>
      <c r="C108">
        <v>0</v>
      </c>
      <c r="D108">
        <v>3</v>
      </c>
      <c r="F108" s="36">
        <v>0.01</v>
      </c>
      <c r="H108" t="s">
        <v>130</v>
      </c>
    </row>
    <row r="109" spans="1:8" x14ac:dyDescent="0.2">
      <c r="A109" t="s">
        <v>109</v>
      </c>
      <c r="B109">
        <v>0</v>
      </c>
      <c r="C109">
        <v>1</v>
      </c>
      <c r="D109">
        <v>0</v>
      </c>
      <c r="F109" s="36">
        <v>0.05</v>
      </c>
      <c r="H109" t="s">
        <v>131</v>
      </c>
    </row>
    <row r="110" spans="1:8" x14ac:dyDescent="0.2">
      <c r="A110" t="s">
        <v>109</v>
      </c>
      <c r="B110">
        <v>0</v>
      </c>
      <c r="C110">
        <v>0</v>
      </c>
      <c r="D110">
        <v>3</v>
      </c>
      <c r="F110" s="36">
        <v>0.01</v>
      </c>
      <c r="H110" t="s">
        <v>132</v>
      </c>
    </row>
    <row r="111" spans="1:8" x14ac:dyDescent="0.2">
      <c r="A111" t="s">
        <v>109</v>
      </c>
      <c r="B111">
        <v>0</v>
      </c>
      <c r="C111">
        <v>0</v>
      </c>
      <c r="D111">
        <v>6</v>
      </c>
      <c r="F111" s="36">
        <v>0.03</v>
      </c>
      <c r="H111" t="s">
        <v>133</v>
      </c>
    </row>
    <row r="112" spans="1:8" x14ac:dyDescent="0.2">
      <c r="A112" t="s">
        <v>109</v>
      </c>
      <c r="B112">
        <v>0</v>
      </c>
      <c r="C112">
        <v>5</v>
      </c>
      <c r="D112">
        <v>0</v>
      </c>
      <c r="F112" s="36">
        <v>0.25</v>
      </c>
      <c r="H112" t="s">
        <v>134</v>
      </c>
    </row>
    <row r="113" spans="1:8" x14ac:dyDescent="0.2">
      <c r="A113" t="s">
        <v>109</v>
      </c>
      <c r="B113">
        <v>0</v>
      </c>
      <c r="C113">
        <v>1</v>
      </c>
      <c r="D113">
        <v>6</v>
      </c>
      <c r="F113" s="36">
        <v>0.08</v>
      </c>
      <c r="H113" t="s">
        <v>135</v>
      </c>
    </row>
    <row r="114" spans="1:8" x14ac:dyDescent="0.2">
      <c r="A114" t="s">
        <v>109</v>
      </c>
      <c r="B114">
        <v>0</v>
      </c>
      <c r="C114">
        <v>1</v>
      </c>
      <c r="D114">
        <v>0</v>
      </c>
      <c r="F114" s="36">
        <v>0.05</v>
      </c>
      <c r="H114" t="s">
        <v>136</v>
      </c>
    </row>
    <row r="115" spans="1:8" x14ac:dyDescent="0.2">
      <c r="A115" t="s">
        <v>109</v>
      </c>
      <c r="B115">
        <v>0</v>
      </c>
      <c r="C115">
        <v>1</v>
      </c>
      <c r="D115">
        <v>0</v>
      </c>
      <c r="F115" s="36">
        <v>0.05</v>
      </c>
      <c r="H115" t="s">
        <v>137</v>
      </c>
    </row>
    <row r="116" spans="1:8" x14ac:dyDescent="0.2">
      <c r="A116" t="s">
        <v>109</v>
      </c>
      <c r="B116">
        <v>0</v>
      </c>
      <c r="C116">
        <v>1</v>
      </c>
      <c r="D116">
        <v>0</v>
      </c>
      <c r="F116" s="36">
        <v>0.05</v>
      </c>
      <c r="H116" t="s">
        <v>138</v>
      </c>
    </row>
    <row r="117" spans="1:8" x14ac:dyDescent="0.2">
      <c r="A117" t="s">
        <v>109</v>
      </c>
      <c r="B117">
        <v>0</v>
      </c>
      <c r="C117">
        <v>0</v>
      </c>
      <c r="D117">
        <v>3</v>
      </c>
      <c r="F117" s="36">
        <v>0.01</v>
      </c>
      <c r="H117" t="s">
        <v>139</v>
      </c>
    </row>
    <row r="118" spans="1:8" x14ac:dyDescent="0.2">
      <c r="A118" t="s">
        <v>109</v>
      </c>
      <c r="B118">
        <v>0</v>
      </c>
      <c r="C118">
        <v>0</v>
      </c>
      <c r="D118">
        <v>3</v>
      </c>
      <c r="F118" s="36">
        <v>0.01</v>
      </c>
      <c r="H118" t="s">
        <v>140</v>
      </c>
    </row>
    <row r="119" spans="1:8" x14ac:dyDescent="0.2">
      <c r="A119" t="s">
        <v>109</v>
      </c>
      <c r="B119">
        <v>0</v>
      </c>
      <c r="C119">
        <v>1</v>
      </c>
      <c r="D119">
        <v>0</v>
      </c>
      <c r="F119" s="36">
        <v>0.05</v>
      </c>
      <c r="H119" t="s">
        <v>141</v>
      </c>
    </row>
    <row r="120" spans="1:8" x14ac:dyDescent="0.2">
      <c r="A120" t="s">
        <v>109</v>
      </c>
      <c r="B120">
        <v>0</v>
      </c>
      <c r="C120">
        <v>0</v>
      </c>
      <c r="D120">
        <v>2</v>
      </c>
      <c r="F120" s="36">
        <v>0.01</v>
      </c>
      <c r="H120" t="s">
        <v>142</v>
      </c>
    </row>
    <row r="121" spans="1:8" x14ac:dyDescent="0.2">
      <c r="A121" t="s">
        <v>109</v>
      </c>
      <c r="B121">
        <v>0</v>
      </c>
      <c r="C121">
        <v>2</v>
      </c>
      <c r="D121">
        <v>0</v>
      </c>
      <c r="F121" s="36">
        <v>0.1</v>
      </c>
      <c r="H121" t="s">
        <v>143</v>
      </c>
    </row>
    <row r="122" spans="1:8" x14ac:dyDescent="0.2">
      <c r="A122" t="s">
        <v>109</v>
      </c>
      <c r="B122">
        <v>0</v>
      </c>
      <c r="C122">
        <v>0</v>
      </c>
      <c r="D122">
        <v>6</v>
      </c>
      <c r="F122" s="36">
        <v>0.03</v>
      </c>
      <c r="H122" t="s">
        <v>144</v>
      </c>
    </row>
    <row r="123" spans="1:8" x14ac:dyDescent="0.2">
      <c r="A123" t="s">
        <v>109</v>
      </c>
      <c r="B123">
        <v>0</v>
      </c>
      <c r="C123">
        <v>0</v>
      </c>
      <c r="D123">
        <v>3</v>
      </c>
      <c r="F123" s="36">
        <v>0.01</v>
      </c>
      <c r="H123" t="s">
        <v>145</v>
      </c>
    </row>
    <row r="124" spans="1:8" x14ac:dyDescent="0.2">
      <c r="A124" t="s">
        <v>109</v>
      </c>
      <c r="B124">
        <v>0</v>
      </c>
      <c r="C124">
        <v>0</v>
      </c>
      <c r="D124">
        <v>6</v>
      </c>
      <c r="F124" s="36">
        <v>0.03</v>
      </c>
      <c r="H124" t="s">
        <v>146</v>
      </c>
    </row>
    <row r="125" spans="1:8" x14ac:dyDescent="0.2">
      <c r="A125" t="s">
        <v>109</v>
      </c>
      <c r="B125">
        <v>0</v>
      </c>
      <c r="C125">
        <v>1</v>
      </c>
      <c r="D125">
        <v>0</v>
      </c>
      <c r="F125" s="36">
        <v>0.05</v>
      </c>
      <c r="H125" t="s">
        <v>147</v>
      </c>
    </row>
    <row r="126" spans="1:8" x14ac:dyDescent="0.2">
      <c r="A126" t="s">
        <v>109</v>
      </c>
      <c r="B126">
        <v>0</v>
      </c>
      <c r="C126">
        <v>0</v>
      </c>
      <c r="D126">
        <v>6</v>
      </c>
      <c r="F126" s="36">
        <v>0.03</v>
      </c>
      <c r="H126" t="s">
        <v>148</v>
      </c>
    </row>
    <row r="127" spans="1:8" x14ac:dyDescent="0.2">
      <c r="A127" t="s">
        <v>109</v>
      </c>
      <c r="B127">
        <v>0</v>
      </c>
      <c r="C127">
        <v>2</v>
      </c>
      <c r="D127">
        <v>0</v>
      </c>
      <c r="F127" s="36">
        <v>0.1</v>
      </c>
      <c r="H127" t="s">
        <v>149</v>
      </c>
    </row>
    <row r="128" spans="1:8" x14ac:dyDescent="0.2">
      <c r="A128" t="s">
        <v>109</v>
      </c>
      <c r="B128">
        <v>0</v>
      </c>
      <c r="C128">
        <v>1</v>
      </c>
      <c r="D128">
        <v>0</v>
      </c>
      <c r="F128" s="36">
        <v>0.05</v>
      </c>
      <c r="H128" t="s">
        <v>150</v>
      </c>
    </row>
    <row r="129" spans="1:8" x14ac:dyDescent="0.2">
      <c r="A129" t="s">
        <v>109</v>
      </c>
      <c r="B129">
        <v>0</v>
      </c>
      <c r="C129">
        <v>1</v>
      </c>
      <c r="D129">
        <v>0</v>
      </c>
      <c r="F129" s="36">
        <v>0.05</v>
      </c>
      <c r="H129" t="s">
        <v>151</v>
      </c>
    </row>
    <row r="130" spans="1:8" x14ac:dyDescent="0.2">
      <c r="A130" t="s">
        <v>109</v>
      </c>
      <c r="B130">
        <v>0</v>
      </c>
      <c r="C130">
        <v>1</v>
      </c>
      <c r="D130">
        <v>0</v>
      </c>
      <c r="F130" s="36">
        <v>0.05</v>
      </c>
      <c r="H130" t="s">
        <v>152</v>
      </c>
    </row>
    <row r="131" spans="1:8" x14ac:dyDescent="0.2">
      <c r="A131" t="s">
        <v>109</v>
      </c>
      <c r="B131">
        <v>0</v>
      </c>
      <c r="C131">
        <v>0</v>
      </c>
      <c r="D131">
        <v>2</v>
      </c>
      <c r="F131" s="36">
        <v>0.01</v>
      </c>
      <c r="H131" t="s">
        <v>153</v>
      </c>
    </row>
    <row r="132" spans="1:8" x14ac:dyDescent="0.2">
      <c r="A132" t="s">
        <v>109</v>
      </c>
      <c r="B132">
        <v>0</v>
      </c>
      <c r="C132">
        <v>17</v>
      </c>
      <c r="D132">
        <v>0</v>
      </c>
      <c r="F132" s="36">
        <v>0.85</v>
      </c>
      <c r="H132" t="s">
        <v>154</v>
      </c>
    </row>
    <row r="133" spans="1:8" x14ac:dyDescent="0.2">
      <c r="A133" t="s">
        <v>109</v>
      </c>
      <c r="B133">
        <v>2</v>
      </c>
      <c r="C133">
        <v>13</v>
      </c>
      <c r="D133">
        <v>4</v>
      </c>
      <c r="F133" s="36">
        <v>2.67</v>
      </c>
      <c r="H133" t="s">
        <v>155</v>
      </c>
    </row>
    <row r="134" spans="1:8" x14ac:dyDescent="0.2">
      <c r="A134" t="s">
        <v>109</v>
      </c>
      <c r="F134" s="36">
        <f>SUM(F88:F132)</f>
        <v>2.6700000000000008</v>
      </c>
      <c r="G134" s="37">
        <f>F134-F133</f>
        <v>0</v>
      </c>
      <c r="H134" t="s">
        <v>320</v>
      </c>
    </row>
    <row r="136" spans="1:8" x14ac:dyDescent="0.2">
      <c r="A136" t="s">
        <v>109</v>
      </c>
      <c r="B136">
        <v>19</v>
      </c>
      <c r="C136">
        <v>11</v>
      </c>
      <c r="D136">
        <v>4</v>
      </c>
      <c r="F136" s="36">
        <v>19.57</v>
      </c>
      <c r="H136" t="s">
        <v>156</v>
      </c>
    </row>
    <row r="137" spans="1:8" x14ac:dyDescent="0.2">
      <c r="A137" t="s">
        <v>109</v>
      </c>
      <c r="F137" s="36">
        <f>F134+F86</f>
        <v>19.560000000000002</v>
      </c>
      <c r="G137" s="37">
        <f>F137-F136</f>
        <v>-9.9999999999980105E-3</v>
      </c>
      <c r="H137" t="s">
        <v>320</v>
      </c>
    </row>
    <row r="139" spans="1:8" x14ac:dyDescent="0.2">
      <c r="A139" t="s">
        <v>157</v>
      </c>
      <c r="B139">
        <v>116</v>
      </c>
      <c r="C139">
        <v>16</v>
      </c>
      <c r="D139">
        <v>10</v>
      </c>
      <c r="F139" s="36">
        <v>116.84</v>
      </c>
      <c r="H139" t="s">
        <v>158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
  <sheetViews>
    <sheetView workbookViewId="0">
      <pane xSplit="1" ySplit="2" topLeftCell="B34" activePane="bottomRight" state="frozen"/>
      <selection pane="topRight" activeCell="B1" sqref="B1"/>
      <selection pane="bottomLeft" activeCell="A3" sqref="A3"/>
      <selection pane="bottomRight" activeCell="H58" sqref="H58"/>
    </sheetView>
  </sheetViews>
  <sheetFormatPr baseColWidth="10" defaultColWidth="8.83203125" defaultRowHeight="15" x14ac:dyDescent="0.2"/>
  <cols>
    <col min="1" max="1" width="30.83203125" bestFit="1" customWidth="1"/>
    <col min="6" max="6" width="8.83203125" style="36"/>
    <col min="7" max="7" width="8.83203125" style="37"/>
  </cols>
  <sheetData>
    <row r="1" spans="1:8" ht="16" x14ac:dyDescent="0.2">
      <c r="A1" s="30" t="s">
        <v>522</v>
      </c>
    </row>
    <row r="2" spans="1:8" ht="16" x14ac:dyDescent="0.2">
      <c r="A2" s="31" t="s">
        <v>0</v>
      </c>
      <c r="B2" s="32" t="s">
        <v>518</v>
      </c>
      <c r="C2" s="33" t="s">
        <v>519</v>
      </c>
      <c r="D2" s="33" t="s">
        <v>520</v>
      </c>
      <c r="E2" s="33"/>
      <c r="F2" s="38" t="s">
        <v>515</v>
      </c>
      <c r="G2" s="39" t="s">
        <v>319</v>
      </c>
      <c r="H2" s="34" t="s">
        <v>521</v>
      </c>
    </row>
    <row r="3" spans="1:8" x14ac:dyDescent="0.2">
      <c r="A3" t="s">
        <v>159</v>
      </c>
      <c r="B3">
        <v>0</v>
      </c>
      <c r="C3">
        <v>15</v>
      </c>
      <c r="D3">
        <v>11</v>
      </c>
      <c r="F3" s="36">
        <v>0.8</v>
      </c>
      <c r="H3" t="s">
        <v>160</v>
      </c>
    </row>
    <row r="4" spans="1:8" x14ac:dyDescent="0.2">
      <c r="A4" t="s">
        <v>159</v>
      </c>
      <c r="B4">
        <v>0</v>
      </c>
      <c r="C4">
        <v>3</v>
      </c>
      <c r="D4">
        <v>10</v>
      </c>
      <c r="F4" s="36">
        <v>0.19</v>
      </c>
      <c r="H4" t="s">
        <v>161</v>
      </c>
    </row>
    <row r="5" spans="1:8" x14ac:dyDescent="0.2">
      <c r="A5" t="s">
        <v>159</v>
      </c>
      <c r="B5">
        <v>0</v>
      </c>
      <c r="C5">
        <v>2</v>
      </c>
      <c r="D5">
        <v>4</v>
      </c>
      <c r="F5" s="36">
        <v>0.12</v>
      </c>
      <c r="H5" t="s">
        <v>162</v>
      </c>
    </row>
    <row r="6" spans="1:8" x14ac:dyDescent="0.2">
      <c r="A6" t="s">
        <v>159</v>
      </c>
      <c r="B6">
        <v>0</v>
      </c>
      <c r="C6">
        <v>7</v>
      </c>
      <c r="D6">
        <v>0.5</v>
      </c>
      <c r="F6" s="36">
        <v>0.35</v>
      </c>
      <c r="H6" t="s">
        <v>163</v>
      </c>
    </row>
    <row r="7" spans="1:8" x14ac:dyDescent="0.2">
      <c r="A7" t="s">
        <v>159</v>
      </c>
      <c r="B7">
        <v>0</v>
      </c>
      <c r="C7">
        <v>1</v>
      </c>
      <c r="D7">
        <v>6.5</v>
      </c>
      <c r="F7" s="36">
        <v>0.08</v>
      </c>
      <c r="H7" t="s">
        <v>165</v>
      </c>
    </row>
    <row r="8" spans="1:8" x14ac:dyDescent="0.2">
      <c r="A8" t="s">
        <v>159</v>
      </c>
      <c r="B8">
        <v>0</v>
      </c>
      <c r="C8">
        <v>0</v>
      </c>
      <c r="D8">
        <v>6</v>
      </c>
      <c r="F8" s="36">
        <v>0.03</v>
      </c>
      <c r="H8" t="s">
        <v>166</v>
      </c>
    </row>
    <row r="9" spans="1:8" x14ac:dyDescent="0.2">
      <c r="A9" t="s">
        <v>159</v>
      </c>
      <c r="B9">
        <v>0</v>
      </c>
      <c r="C9">
        <v>1</v>
      </c>
      <c r="D9">
        <v>2</v>
      </c>
      <c r="F9" s="36">
        <v>0.06</v>
      </c>
      <c r="H9" t="s">
        <v>167</v>
      </c>
    </row>
    <row r="10" spans="1:8" x14ac:dyDescent="0.2">
      <c r="A10" t="s">
        <v>159</v>
      </c>
      <c r="B10">
        <v>0</v>
      </c>
      <c r="C10">
        <v>0</v>
      </c>
      <c r="D10">
        <v>5</v>
      </c>
      <c r="F10" s="36">
        <v>0.02</v>
      </c>
      <c r="H10" t="s">
        <v>168</v>
      </c>
    </row>
    <row r="11" spans="1:8" x14ac:dyDescent="0.2">
      <c r="A11" t="s">
        <v>159</v>
      </c>
      <c r="B11">
        <v>0</v>
      </c>
      <c r="C11">
        <v>1</v>
      </c>
      <c r="D11">
        <v>0</v>
      </c>
      <c r="F11" s="36">
        <v>0.05</v>
      </c>
      <c r="H11" t="s">
        <v>169</v>
      </c>
    </row>
    <row r="12" spans="1:8" x14ac:dyDescent="0.2">
      <c r="A12" t="s">
        <v>159</v>
      </c>
      <c r="B12">
        <v>0</v>
      </c>
      <c r="C12">
        <v>0</v>
      </c>
      <c r="D12">
        <v>8</v>
      </c>
      <c r="F12" s="36">
        <v>0.03</v>
      </c>
      <c r="H12" t="s">
        <v>170</v>
      </c>
    </row>
    <row r="13" spans="1:8" x14ac:dyDescent="0.2">
      <c r="A13" t="s">
        <v>159</v>
      </c>
      <c r="B13">
        <v>0</v>
      </c>
      <c r="C13">
        <v>12</v>
      </c>
      <c r="D13">
        <v>6</v>
      </c>
      <c r="F13" s="36">
        <v>0.62</v>
      </c>
      <c r="H13" t="s">
        <v>171</v>
      </c>
    </row>
    <row r="14" spans="1:8" x14ac:dyDescent="0.2">
      <c r="A14" t="s">
        <v>159</v>
      </c>
      <c r="B14">
        <v>0</v>
      </c>
      <c r="C14">
        <v>6</v>
      </c>
      <c r="D14">
        <v>8</v>
      </c>
      <c r="F14" s="36">
        <v>0.33</v>
      </c>
      <c r="H14" t="s">
        <v>172</v>
      </c>
    </row>
    <row r="15" spans="1:8" x14ac:dyDescent="0.2">
      <c r="A15" t="s">
        <v>159</v>
      </c>
      <c r="B15">
        <v>0</v>
      </c>
      <c r="C15">
        <v>1</v>
      </c>
      <c r="D15">
        <v>3</v>
      </c>
      <c r="F15" s="36">
        <v>0.06</v>
      </c>
      <c r="H15" t="s">
        <v>173</v>
      </c>
    </row>
    <row r="16" spans="1:8" x14ac:dyDescent="0.2">
      <c r="A16" t="s">
        <v>159</v>
      </c>
      <c r="B16">
        <v>0</v>
      </c>
      <c r="C16">
        <v>4</v>
      </c>
      <c r="D16">
        <v>1.5</v>
      </c>
      <c r="F16" s="36">
        <v>0.21</v>
      </c>
      <c r="H16" t="s">
        <v>174</v>
      </c>
    </row>
    <row r="17" spans="1:8" x14ac:dyDescent="0.2">
      <c r="A17" t="s">
        <v>159</v>
      </c>
      <c r="B17">
        <v>0</v>
      </c>
      <c r="C17">
        <v>2</v>
      </c>
      <c r="D17">
        <v>7.5</v>
      </c>
      <c r="F17" s="36">
        <v>0.13</v>
      </c>
      <c r="H17" t="s">
        <v>175</v>
      </c>
    </row>
    <row r="18" spans="1:8" x14ac:dyDescent="0.2">
      <c r="A18" t="s">
        <v>159</v>
      </c>
      <c r="B18">
        <v>0</v>
      </c>
      <c r="C18">
        <v>0</v>
      </c>
      <c r="D18">
        <v>5</v>
      </c>
      <c r="F18" s="36">
        <v>0.02</v>
      </c>
      <c r="H18" t="s">
        <v>176</v>
      </c>
    </row>
    <row r="19" spans="1:8" x14ac:dyDescent="0.2">
      <c r="A19" t="s">
        <v>159</v>
      </c>
      <c r="B19">
        <v>0</v>
      </c>
      <c r="C19">
        <v>6</v>
      </c>
      <c r="D19">
        <v>3.5</v>
      </c>
      <c r="F19" s="36">
        <v>0.31</v>
      </c>
      <c r="H19" t="s">
        <v>323</v>
      </c>
    </row>
    <row r="20" spans="1:8" x14ac:dyDescent="0.2">
      <c r="A20" t="s">
        <v>159</v>
      </c>
      <c r="B20">
        <v>0</v>
      </c>
      <c r="C20">
        <v>5</v>
      </c>
      <c r="D20">
        <v>3.5</v>
      </c>
      <c r="F20" s="36">
        <v>0.26</v>
      </c>
      <c r="H20" t="s">
        <v>324</v>
      </c>
    </row>
    <row r="21" spans="1:8" x14ac:dyDescent="0.2">
      <c r="A21" t="s">
        <v>159</v>
      </c>
      <c r="B21">
        <v>3</v>
      </c>
      <c r="C21">
        <v>13</v>
      </c>
      <c r="D21">
        <v>5.5</v>
      </c>
      <c r="F21" s="36">
        <v>3.67</v>
      </c>
      <c r="H21" t="s">
        <v>179</v>
      </c>
    </row>
    <row r="22" spans="1:8" x14ac:dyDescent="0.2">
      <c r="A22" t="s">
        <v>159</v>
      </c>
      <c r="F22" s="36">
        <v>3.67</v>
      </c>
      <c r="G22" s="37">
        <v>0</v>
      </c>
      <c r="H22" t="s">
        <v>320</v>
      </c>
    </row>
    <row r="24" spans="1:8" x14ac:dyDescent="0.2">
      <c r="A24" t="s">
        <v>180</v>
      </c>
      <c r="B24">
        <v>3</v>
      </c>
      <c r="C24">
        <v>16</v>
      </c>
      <c r="D24">
        <v>7</v>
      </c>
      <c r="F24" s="36">
        <v>3.83</v>
      </c>
      <c r="H24" t="s">
        <v>325</v>
      </c>
    </row>
    <row r="25" spans="1:8" x14ac:dyDescent="0.2">
      <c r="A25" t="s">
        <v>180</v>
      </c>
      <c r="B25">
        <v>5</v>
      </c>
      <c r="C25">
        <v>12</v>
      </c>
      <c r="D25">
        <v>6</v>
      </c>
      <c r="F25" s="36">
        <v>5.62</v>
      </c>
      <c r="H25" t="s">
        <v>326</v>
      </c>
    </row>
    <row r="26" spans="1:8" x14ac:dyDescent="0.2">
      <c r="A26" t="s">
        <v>180</v>
      </c>
      <c r="B26">
        <v>9</v>
      </c>
      <c r="C26">
        <v>9</v>
      </c>
      <c r="D26">
        <v>1</v>
      </c>
      <c r="F26" s="36">
        <v>9.4499999999999993</v>
      </c>
      <c r="H26" t="s">
        <v>184</v>
      </c>
    </row>
    <row r="27" spans="1:8" x14ac:dyDescent="0.2">
      <c r="A27" t="s">
        <v>180</v>
      </c>
      <c r="F27" s="36">
        <v>9.4499999999999993</v>
      </c>
      <c r="G27" s="37">
        <v>0</v>
      </c>
      <c r="H27" t="s">
        <v>320</v>
      </c>
    </row>
    <row r="29" spans="1:8" x14ac:dyDescent="0.2">
      <c r="A29" t="s">
        <v>196</v>
      </c>
      <c r="B29">
        <v>1</v>
      </c>
      <c r="C29">
        <v>6</v>
      </c>
      <c r="D29">
        <v>3</v>
      </c>
      <c r="F29" s="36">
        <v>1.31</v>
      </c>
      <c r="H29" t="s">
        <v>197</v>
      </c>
    </row>
    <row r="30" spans="1:8" x14ac:dyDescent="0.2">
      <c r="A30" t="s">
        <v>196</v>
      </c>
      <c r="B30">
        <v>0</v>
      </c>
      <c r="C30">
        <v>16</v>
      </c>
      <c r="D30">
        <v>9</v>
      </c>
      <c r="F30" s="36">
        <v>0.84</v>
      </c>
      <c r="H30" t="s">
        <v>532</v>
      </c>
    </row>
    <row r="31" spans="1:8" x14ac:dyDescent="0.2">
      <c r="A31" t="s">
        <v>196</v>
      </c>
      <c r="B31">
        <v>2</v>
      </c>
      <c r="C31">
        <v>3</v>
      </c>
      <c r="D31">
        <v>0</v>
      </c>
      <c r="F31" s="36">
        <v>2.15</v>
      </c>
      <c r="H31" t="s">
        <v>200</v>
      </c>
    </row>
    <row r="32" spans="1:8" x14ac:dyDescent="0.2">
      <c r="A32" t="s">
        <v>196</v>
      </c>
      <c r="F32" s="36">
        <v>2.15</v>
      </c>
      <c r="G32" s="37">
        <v>0</v>
      </c>
      <c r="H32" t="s">
        <v>320</v>
      </c>
    </row>
    <row r="34" spans="1:8" x14ac:dyDescent="0.2">
      <c r="A34" t="s">
        <v>201</v>
      </c>
      <c r="B34">
        <v>0</v>
      </c>
      <c r="C34">
        <v>0</v>
      </c>
      <c r="D34">
        <v>10</v>
      </c>
      <c r="F34" s="36">
        <v>0.04</v>
      </c>
      <c r="H34" t="s">
        <v>202</v>
      </c>
    </row>
    <row r="35" spans="1:8" x14ac:dyDescent="0.2">
      <c r="A35" t="s">
        <v>201</v>
      </c>
      <c r="B35">
        <v>0</v>
      </c>
      <c r="C35">
        <v>0</v>
      </c>
      <c r="D35">
        <v>4</v>
      </c>
      <c r="F35" s="36">
        <v>0.02</v>
      </c>
      <c r="H35" t="s">
        <v>203</v>
      </c>
    </row>
    <row r="36" spans="1:8" x14ac:dyDescent="0.2">
      <c r="A36" t="s">
        <v>201</v>
      </c>
      <c r="B36">
        <v>0</v>
      </c>
      <c r="C36">
        <v>0</v>
      </c>
      <c r="D36">
        <v>3</v>
      </c>
      <c r="F36" s="36">
        <v>0.01</v>
      </c>
      <c r="H36" t="s">
        <v>204</v>
      </c>
    </row>
    <row r="37" spans="1:8" x14ac:dyDescent="0.2">
      <c r="A37" t="s">
        <v>201</v>
      </c>
      <c r="B37">
        <v>0</v>
      </c>
      <c r="C37">
        <v>0</v>
      </c>
      <c r="D37">
        <v>10</v>
      </c>
      <c r="F37" s="36">
        <v>0.04</v>
      </c>
      <c r="H37" t="s">
        <v>205</v>
      </c>
    </row>
    <row r="38" spans="1:8" x14ac:dyDescent="0.2">
      <c r="A38" t="s">
        <v>201</v>
      </c>
      <c r="B38">
        <v>0</v>
      </c>
      <c r="C38">
        <v>2</v>
      </c>
      <c r="D38">
        <v>10</v>
      </c>
      <c r="F38" s="36">
        <v>0.14000000000000001</v>
      </c>
      <c r="H38" t="s">
        <v>206</v>
      </c>
    </row>
    <row r="39" spans="1:8" x14ac:dyDescent="0.2">
      <c r="A39" t="s">
        <v>201</v>
      </c>
      <c r="B39">
        <v>0</v>
      </c>
      <c r="C39">
        <v>0</v>
      </c>
      <c r="D39">
        <v>9</v>
      </c>
      <c r="F39" s="36">
        <v>0.04</v>
      </c>
      <c r="H39" t="s">
        <v>207</v>
      </c>
    </row>
    <row r="40" spans="1:8" x14ac:dyDescent="0.2">
      <c r="A40" t="s">
        <v>201</v>
      </c>
      <c r="B40">
        <v>0</v>
      </c>
      <c r="C40">
        <v>1</v>
      </c>
      <c r="D40">
        <v>8</v>
      </c>
      <c r="F40" s="36">
        <v>0.08</v>
      </c>
      <c r="H40" t="s">
        <v>533</v>
      </c>
    </row>
    <row r="41" spans="1:8" x14ac:dyDescent="0.2">
      <c r="A41" t="s">
        <v>201</v>
      </c>
      <c r="B41">
        <v>0</v>
      </c>
      <c r="C41">
        <v>7</v>
      </c>
      <c r="D41">
        <v>6</v>
      </c>
      <c r="F41" s="36">
        <f>B41+C41/20+D41/240</f>
        <v>0.375</v>
      </c>
      <c r="H41" t="s">
        <v>534</v>
      </c>
    </row>
    <row r="42" spans="1:8" x14ac:dyDescent="0.2">
      <c r="A42" t="s">
        <v>201</v>
      </c>
      <c r="F42" s="36">
        <v>0.37</v>
      </c>
      <c r="G42" s="37">
        <f>F42-F41</f>
        <v>-5.0000000000000044E-3</v>
      </c>
      <c r="H42" t="s">
        <v>320</v>
      </c>
    </row>
    <row r="44" spans="1:8" x14ac:dyDescent="0.2">
      <c r="A44" t="s">
        <v>209</v>
      </c>
      <c r="B44">
        <v>0</v>
      </c>
      <c r="C44">
        <v>4</v>
      </c>
      <c r="D44">
        <v>4</v>
      </c>
      <c r="F44" s="36">
        <v>0.22</v>
      </c>
      <c r="H44" t="s">
        <v>210</v>
      </c>
    </row>
    <row r="45" spans="1:8" x14ac:dyDescent="0.2">
      <c r="A45" t="s">
        <v>209</v>
      </c>
      <c r="B45">
        <v>0</v>
      </c>
      <c r="C45">
        <v>4</v>
      </c>
      <c r="D45">
        <v>4</v>
      </c>
      <c r="F45" s="36">
        <v>0.22</v>
      </c>
      <c r="H45" t="s">
        <v>211</v>
      </c>
    </row>
    <row r="46" spans="1:8" x14ac:dyDescent="0.2">
      <c r="A46" t="s">
        <v>209</v>
      </c>
      <c r="F46" s="36">
        <v>0.22</v>
      </c>
      <c r="G46" s="37">
        <v>0</v>
      </c>
      <c r="H46" t="s">
        <v>320</v>
      </c>
    </row>
    <row r="48" spans="1:8" x14ac:dyDescent="0.2">
      <c r="A48" t="s">
        <v>219</v>
      </c>
      <c r="B48">
        <v>0</v>
      </c>
      <c r="C48">
        <v>0</v>
      </c>
      <c r="D48">
        <v>6</v>
      </c>
      <c r="F48" s="36">
        <v>0.03</v>
      </c>
      <c r="H48" t="s">
        <v>220</v>
      </c>
    </row>
    <row r="49" spans="1:8" x14ac:dyDescent="0.2">
      <c r="A49" t="s">
        <v>219</v>
      </c>
      <c r="B49">
        <v>0</v>
      </c>
      <c r="C49">
        <v>0</v>
      </c>
      <c r="D49">
        <v>5</v>
      </c>
      <c r="F49" s="36">
        <v>0.02</v>
      </c>
      <c r="H49" t="s">
        <v>221</v>
      </c>
    </row>
    <row r="50" spans="1:8" x14ac:dyDescent="0.2">
      <c r="A50" t="s">
        <v>219</v>
      </c>
      <c r="B50">
        <v>0</v>
      </c>
      <c r="C50">
        <v>0</v>
      </c>
      <c r="D50">
        <v>6</v>
      </c>
      <c r="F50" s="36">
        <v>0.03</v>
      </c>
      <c r="H50" t="s">
        <v>222</v>
      </c>
    </row>
    <row r="51" spans="1:8" x14ac:dyDescent="0.2">
      <c r="A51" t="s">
        <v>219</v>
      </c>
      <c r="B51">
        <v>0</v>
      </c>
      <c r="C51">
        <v>0</v>
      </c>
      <c r="D51">
        <v>5</v>
      </c>
      <c r="F51" s="36">
        <v>0.02</v>
      </c>
      <c r="H51" t="s">
        <v>223</v>
      </c>
    </row>
    <row r="52" spans="1:8" x14ac:dyDescent="0.2">
      <c r="A52" t="s">
        <v>219</v>
      </c>
      <c r="B52">
        <v>0</v>
      </c>
      <c r="C52">
        <v>0</v>
      </c>
      <c r="D52">
        <v>9</v>
      </c>
      <c r="F52" s="36">
        <v>0.04</v>
      </c>
      <c r="H52" t="s">
        <v>224</v>
      </c>
    </row>
    <row r="53" spans="1:8" x14ac:dyDescent="0.2">
      <c r="A53" t="s">
        <v>219</v>
      </c>
      <c r="B53">
        <v>0</v>
      </c>
      <c r="C53">
        <v>0</v>
      </c>
      <c r="D53">
        <v>6</v>
      </c>
      <c r="F53" s="36">
        <f>B53+C53/20+D53/240</f>
        <v>2.5000000000000001E-2</v>
      </c>
      <c r="H53" t="s">
        <v>535</v>
      </c>
    </row>
    <row r="54" spans="1:8" x14ac:dyDescent="0.2">
      <c r="A54" t="s">
        <v>219</v>
      </c>
      <c r="B54">
        <v>0</v>
      </c>
      <c r="C54">
        <v>3</v>
      </c>
      <c r="D54">
        <v>1</v>
      </c>
      <c r="F54" s="36">
        <f>B54+C54/20+D54/240</f>
        <v>0.15416666666666667</v>
      </c>
      <c r="H54" t="s">
        <v>536</v>
      </c>
    </row>
    <row r="55" spans="1:8" x14ac:dyDescent="0.2">
      <c r="A55" t="s">
        <v>219</v>
      </c>
      <c r="F55" s="36">
        <f>SUM(F48:F53)</f>
        <v>0.16500000000000001</v>
      </c>
      <c r="G55" s="37">
        <f>F55-F54</f>
        <v>1.0833333333333334E-2</v>
      </c>
      <c r="H55" t="s">
        <v>320</v>
      </c>
    </row>
    <row r="57" spans="1:8" x14ac:dyDescent="0.2">
      <c r="A57" t="s">
        <v>226</v>
      </c>
      <c r="B57">
        <v>17</v>
      </c>
      <c r="C57">
        <v>2</v>
      </c>
      <c r="D57">
        <v>11.25</v>
      </c>
      <c r="F57" s="36">
        <v>17.149999999999999</v>
      </c>
      <c r="H57" t="s">
        <v>227</v>
      </c>
    </row>
    <row r="58" spans="1:8" x14ac:dyDescent="0.2">
      <c r="A58" t="s">
        <v>226</v>
      </c>
      <c r="F58" s="36">
        <v>17.149999999999999</v>
      </c>
      <c r="G58" s="37">
        <f>F58-F57</f>
        <v>0</v>
      </c>
      <c r="H58" t="s">
        <v>320</v>
      </c>
    </row>
    <row r="60" spans="1:8" x14ac:dyDescent="0.2">
      <c r="A60" t="s">
        <v>228</v>
      </c>
      <c r="B60">
        <v>99</v>
      </c>
      <c r="C60">
        <v>13</v>
      </c>
      <c r="D60">
        <v>10.25</v>
      </c>
      <c r="F60" s="36">
        <v>99.69</v>
      </c>
      <c r="H60"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2"/>
  <sheetViews>
    <sheetView workbookViewId="0">
      <pane xSplit="1" ySplit="1" topLeftCell="B2" activePane="bottomRight" state="frozen"/>
      <selection pane="topRight" activeCell="B1" sqref="B1"/>
      <selection pane="bottomLeft" activeCell="A2" sqref="A2"/>
      <selection pane="bottomRight" activeCell="N22" sqref="N22"/>
    </sheetView>
  </sheetViews>
  <sheetFormatPr baseColWidth="10" defaultColWidth="8.83203125" defaultRowHeight="15" x14ac:dyDescent="0.2"/>
  <cols>
    <col min="1" max="1" width="30" bestFit="1" customWidth="1"/>
    <col min="2" max="2" width="12.1640625" bestFit="1" customWidth="1"/>
    <col min="3" max="3" width="12.83203125" customWidth="1"/>
    <col min="4" max="4" width="14.33203125" customWidth="1"/>
    <col min="5" max="5" width="13.5" customWidth="1"/>
    <col min="6" max="6" width="15.83203125" bestFit="1" customWidth="1"/>
    <col min="7" max="7" width="26.5" customWidth="1"/>
    <col min="8" max="8" width="18.33203125" customWidth="1"/>
    <col min="9" max="9" width="18.5" customWidth="1"/>
    <col min="10" max="13" width="18.83203125" customWidth="1"/>
    <col min="14" max="14" width="8.1640625" bestFit="1" customWidth="1"/>
    <col min="15" max="16" width="18.83203125" customWidth="1"/>
  </cols>
  <sheetData>
    <row r="1" spans="1:16" s="57" customFormat="1" ht="32" x14ac:dyDescent="0.2">
      <c r="A1" s="35" t="s">
        <v>364</v>
      </c>
      <c r="B1" s="35" t="s">
        <v>608</v>
      </c>
      <c r="C1" s="55" t="s">
        <v>359</v>
      </c>
      <c r="D1" s="55" t="s">
        <v>347</v>
      </c>
      <c r="E1" s="55" t="s">
        <v>609</v>
      </c>
      <c r="F1" s="35" t="s">
        <v>356</v>
      </c>
      <c r="G1" s="55" t="s">
        <v>365</v>
      </c>
      <c r="H1" s="55" t="s">
        <v>366</v>
      </c>
      <c r="I1" s="56" t="s">
        <v>368</v>
      </c>
    </row>
    <row r="2" spans="1:16" x14ac:dyDescent="0.2">
      <c r="A2" t="s">
        <v>55</v>
      </c>
      <c r="B2">
        <v>83.0625</v>
      </c>
      <c r="C2">
        <v>83.0625</v>
      </c>
      <c r="D2">
        <v>0</v>
      </c>
      <c r="F2">
        <v>46.5</v>
      </c>
      <c r="G2">
        <f>B2-F2</f>
        <v>36.5625</v>
      </c>
      <c r="H2" s="36">
        <v>0.3400985663082437</v>
      </c>
      <c r="I2" s="36">
        <f>H2*B2</f>
        <v>28.249437163978492</v>
      </c>
    </row>
    <row r="3" spans="1:16" x14ac:dyDescent="0.2">
      <c r="A3" t="s">
        <v>82</v>
      </c>
      <c r="B3">
        <v>202.75</v>
      </c>
      <c r="C3">
        <v>127.75</v>
      </c>
      <c r="D3">
        <v>75</v>
      </c>
      <c r="F3">
        <v>154</v>
      </c>
      <c r="G3">
        <f>B3-F3</f>
        <v>48.75</v>
      </c>
      <c r="H3" s="36">
        <v>8.7500000000000008E-2</v>
      </c>
      <c r="I3" s="36">
        <f>H3*B3</f>
        <v>17.740625000000001</v>
      </c>
    </row>
    <row r="5" spans="1:16" x14ac:dyDescent="0.2">
      <c r="A5" s="62" t="s">
        <v>626</v>
      </c>
    </row>
    <row r="6" spans="1:16" x14ac:dyDescent="0.2">
      <c r="A6" s="62" t="s">
        <v>627</v>
      </c>
    </row>
    <row r="8" spans="1:16" ht="32" x14ac:dyDescent="0.2">
      <c r="A8" s="57" t="s">
        <v>610</v>
      </c>
      <c r="B8" s="58" t="s">
        <v>611</v>
      </c>
      <c r="C8" s="59" t="s">
        <v>612</v>
      </c>
      <c r="D8" s="59" t="s">
        <v>613</v>
      </c>
      <c r="E8" s="59" t="s">
        <v>614</v>
      </c>
      <c r="F8" s="57" t="s">
        <v>615</v>
      </c>
      <c r="G8" s="59" t="s">
        <v>616</v>
      </c>
      <c r="H8" s="59" t="s">
        <v>617</v>
      </c>
      <c r="I8" s="59" t="s">
        <v>618</v>
      </c>
      <c r="J8" s="59" t="s">
        <v>619</v>
      </c>
      <c r="K8" s="60" t="s">
        <v>620</v>
      </c>
      <c r="L8" s="59" t="s">
        <v>621</v>
      </c>
      <c r="M8" s="59" t="s">
        <v>622</v>
      </c>
      <c r="N8" s="61" t="s">
        <v>623</v>
      </c>
      <c r="O8" s="61" t="s">
        <v>624</v>
      </c>
      <c r="P8" s="58" t="s">
        <v>625</v>
      </c>
    </row>
    <row r="9" spans="1:16" x14ac:dyDescent="0.2">
      <c r="A9" t="s">
        <v>55</v>
      </c>
      <c r="B9">
        <f>B2</f>
        <v>83.0625</v>
      </c>
      <c r="C9">
        <v>26</v>
      </c>
      <c r="D9">
        <v>2</v>
      </c>
      <c r="E9">
        <f>C9+D9/8</f>
        <v>26.25</v>
      </c>
      <c r="I9">
        <f>4+6</f>
        <v>10</v>
      </c>
      <c r="J9">
        <v>2.5</v>
      </c>
      <c r="K9" s="64">
        <f>I9+J9/8</f>
        <v>10.3125</v>
      </c>
      <c r="L9">
        <f>B9-E9-H9-K9</f>
        <v>46.5</v>
      </c>
      <c r="N9" s="36">
        <f>H2</f>
        <v>0.3400985663082437</v>
      </c>
      <c r="O9" s="36">
        <f>N9*L9</f>
        <v>15.814583333333331</v>
      </c>
    </row>
    <row r="10" spans="1:16" x14ac:dyDescent="0.2">
      <c r="A10" t="s">
        <v>82</v>
      </c>
      <c r="B10">
        <f>B3</f>
        <v>202.75</v>
      </c>
      <c r="C10">
        <v>48</v>
      </c>
      <c r="D10">
        <v>6</v>
      </c>
      <c r="E10">
        <f>C10+D10/8</f>
        <v>48.75</v>
      </c>
      <c r="K10" s="64">
        <f>I10+J10/8</f>
        <v>0</v>
      </c>
      <c r="L10">
        <f>B10-E10-H10-K10</f>
        <v>154</v>
      </c>
      <c r="N10" s="36">
        <f>H3</f>
        <v>8.7500000000000008E-2</v>
      </c>
      <c r="O10" s="36">
        <f>N10*L10</f>
        <v>13.475000000000001</v>
      </c>
    </row>
    <row r="11" spans="1:16" x14ac:dyDescent="0.2">
      <c r="K11" s="64"/>
    </row>
    <row r="12" spans="1:16" x14ac:dyDescent="0.2">
      <c r="A12" s="63" t="s">
        <v>320</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0"/>
  <sheetViews>
    <sheetView tabSelected="1" workbookViewId="0">
      <pane xSplit="1" ySplit="4" topLeftCell="J34" activePane="bottomRight" state="frozen"/>
      <selection pane="topRight" activeCell="B1" sqref="B1"/>
      <selection pane="bottomLeft" activeCell="A5" sqref="A5"/>
      <selection pane="bottomRight" activeCell="R32" sqref="R32"/>
    </sheetView>
  </sheetViews>
  <sheetFormatPr baseColWidth="10" defaultColWidth="8.83203125" defaultRowHeight="15" x14ac:dyDescent="0.2"/>
  <cols>
    <col min="1" max="1" width="44.33203125" bestFit="1" customWidth="1"/>
    <col min="10" max="10" width="19" customWidth="1"/>
    <col min="11" max="11" width="14.5" customWidth="1"/>
    <col min="14" max="14" width="14.1640625" customWidth="1"/>
    <col min="15" max="15" width="8.83203125" style="36"/>
    <col min="16" max="16" width="16" customWidth="1"/>
    <col min="17" max="17" width="19.1640625" customWidth="1"/>
    <col min="19" max="19" width="19.1640625" customWidth="1"/>
    <col min="20" max="20" width="17.5" customWidth="1"/>
  </cols>
  <sheetData>
    <row r="1" spans="1:21" ht="16" x14ac:dyDescent="0.2">
      <c r="A1" s="10" t="s">
        <v>607</v>
      </c>
      <c r="B1" s="35"/>
      <c r="C1" s="35"/>
      <c r="D1" s="35"/>
      <c r="E1" s="35"/>
      <c r="F1" s="35"/>
      <c r="G1" s="35"/>
      <c r="H1" s="35"/>
      <c r="I1" s="35"/>
    </row>
    <row r="2" spans="1:21" ht="16" x14ac:dyDescent="0.2">
      <c r="A2" s="10"/>
    </row>
    <row r="3" spans="1:21" x14ac:dyDescent="0.2">
      <c r="A3" s="40"/>
      <c r="B3" s="40"/>
      <c r="C3" s="68" t="s">
        <v>327</v>
      </c>
      <c r="D3" s="68"/>
      <c r="E3" s="68"/>
      <c r="F3" s="68"/>
      <c r="G3" s="69" t="s">
        <v>588</v>
      </c>
      <c r="H3" s="68"/>
      <c r="I3" s="68"/>
      <c r="J3" s="68"/>
      <c r="K3" s="40"/>
      <c r="L3" s="40"/>
      <c r="M3" s="40"/>
      <c r="N3" s="40"/>
      <c r="O3" s="51"/>
      <c r="P3" s="51"/>
      <c r="Q3" s="40"/>
      <c r="R3" s="40"/>
      <c r="S3" s="40"/>
      <c r="T3" s="40"/>
    </row>
    <row r="4" spans="1:21" ht="34" x14ac:dyDescent="0.2">
      <c r="A4" s="41" t="s">
        <v>449</v>
      </c>
      <c r="B4" s="52" t="s">
        <v>589</v>
      </c>
      <c r="C4" s="52" t="s">
        <v>327</v>
      </c>
      <c r="D4" s="10" t="s">
        <v>590</v>
      </c>
      <c r="E4" s="10" t="s">
        <v>591</v>
      </c>
      <c r="F4" s="10" t="s">
        <v>592</v>
      </c>
      <c r="G4" s="10" t="s">
        <v>593</v>
      </c>
      <c r="H4" s="52" t="s">
        <v>328</v>
      </c>
      <c r="I4" s="52" t="s">
        <v>594</v>
      </c>
      <c r="J4" s="52" t="s">
        <v>595</v>
      </c>
      <c r="K4" s="52" t="s">
        <v>596</v>
      </c>
      <c r="L4" s="52" t="s">
        <v>597</v>
      </c>
      <c r="M4" s="52" t="s">
        <v>598</v>
      </c>
      <c r="N4" s="52" t="s">
        <v>599</v>
      </c>
      <c r="O4" s="66" t="s">
        <v>600</v>
      </c>
      <c r="P4" s="53" t="s">
        <v>601</v>
      </c>
      <c r="Q4" s="41" t="s">
        <v>602</v>
      </c>
      <c r="R4" s="41" t="s">
        <v>603</v>
      </c>
      <c r="S4" s="41" t="s">
        <v>604</v>
      </c>
      <c r="T4" s="54" t="s">
        <v>605</v>
      </c>
      <c r="U4" s="52" t="s">
        <v>606</v>
      </c>
    </row>
    <row r="5" spans="1:21" ht="16" x14ac:dyDescent="0.2">
      <c r="A5" s="40" t="s">
        <v>450</v>
      </c>
      <c r="B5">
        <v>1</v>
      </c>
      <c r="K5">
        <v>1</v>
      </c>
      <c r="L5">
        <f>B5+C5+D5+E5+F5-G5-H5-I5-J5</f>
        <v>1</v>
      </c>
    </row>
    <row r="6" spans="1:21" ht="16" x14ac:dyDescent="0.2">
      <c r="A6" s="40" t="s">
        <v>451</v>
      </c>
      <c r="L6">
        <f t="shared" ref="L6:L28" si="0">B6+C6+D6+E6+F6-G6-H6-I6-J6</f>
        <v>0</v>
      </c>
    </row>
    <row r="7" spans="1:21" x14ac:dyDescent="0.2">
      <c r="A7" t="s">
        <v>452</v>
      </c>
      <c r="L7">
        <f t="shared" si="0"/>
        <v>0</v>
      </c>
    </row>
    <row r="8" spans="1:21" x14ac:dyDescent="0.2">
      <c r="A8" t="s">
        <v>537</v>
      </c>
      <c r="B8">
        <v>2</v>
      </c>
      <c r="K8">
        <v>2</v>
      </c>
      <c r="L8">
        <f t="shared" si="0"/>
        <v>2</v>
      </c>
    </row>
    <row r="9" spans="1:21" x14ac:dyDescent="0.2">
      <c r="A9" t="s">
        <v>453</v>
      </c>
    </row>
    <row r="10" spans="1:21" x14ac:dyDescent="0.2">
      <c r="A10" t="s">
        <v>454</v>
      </c>
    </row>
    <row r="11" spans="1:21" x14ac:dyDescent="0.2">
      <c r="A11" t="s">
        <v>455</v>
      </c>
    </row>
    <row r="12" spans="1:21" x14ac:dyDescent="0.2">
      <c r="A12" t="s">
        <v>329</v>
      </c>
      <c r="B12">
        <v>44</v>
      </c>
      <c r="C12">
        <f>3+1</f>
        <v>4</v>
      </c>
      <c r="H12">
        <v>5</v>
      </c>
      <c r="I12">
        <v>2</v>
      </c>
      <c r="K12">
        <v>41</v>
      </c>
      <c r="L12">
        <f t="shared" si="0"/>
        <v>41</v>
      </c>
      <c r="O12" s="36">
        <f>R12/H12</f>
        <v>0.61</v>
      </c>
      <c r="R12" s="36">
        <f>Receipts!F33</f>
        <v>3.05</v>
      </c>
    </row>
    <row r="13" spans="1:21" x14ac:dyDescent="0.2">
      <c r="A13" t="s">
        <v>331</v>
      </c>
      <c r="B13">
        <v>3</v>
      </c>
      <c r="K13">
        <v>3</v>
      </c>
      <c r="L13">
        <f t="shared" si="0"/>
        <v>3</v>
      </c>
    </row>
    <row r="14" spans="1:21" x14ac:dyDescent="0.2">
      <c r="A14" t="s">
        <v>330</v>
      </c>
      <c r="B14">
        <v>47</v>
      </c>
      <c r="C14">
        <f>3+1+1+3+1+1+2</f>
        <v>12</v>
      </c>
      <c r="H14">
        <v>13</v>
      </c>
      <c r="I14">
        <f>2+1</f>
        <v>3</v>
      </c>
      <c r="K14">
        <v>43</v>
      </c>
      <c r="L14">
        <f t="shared" si="0"/>
        <v>43</v>
      </c>
      <c r="O14" s="36">
        <f t="shared" ref="O14:O26" si="1">R14/H14</f>
        <v>0.3</v>
      </c>
      <c r="R14" s="36">
        <f>Receipts!F34</f>
        <v>3.9</v>
      </c>
    </row>
    <row r="15" spans="1:21" x14ac:dyDescent="0.2">
      <c r="A15" t="s">
        <v>332</v>
      </c>
      <c r="B15">
        <v>10</v>
      </c>
      <c r="H15">
        <v>1</v>
      </c>
      <c r="I15">
        <v>3</v>
      </c>
      <c r="J15">
        <f>3+3</f>
        <v>6</v>
      </c>
      <c r="K15">
        <v>0</v>
      </c>
      <c r="L15">
        <f t="shared" si="0"/>
        <v>0</v>
      </c>
      <c r="O15" s="36">
        <f t="shared" si="1"/>
        <v>0.2</v>
      </c>
      <c r="R15" s="36">
        <f>Receipts!F36</f>
        <v>0.2</v>
      </c>
    </row>
    <row r="16" spans="1:21" x14ac:dyDescent="0.2">
      <c r="A16" t="s">
        <v>333</v>
      </c>
      <c r="B16">
        <v>16</v>
      </c>
      <c r="K16">
        <v>16</v>
      </c>
      <c r="L16">
        <f t="shared" si="0"/>
        <v>16</v>
      </c>
    </row>
    <row r="17" spans="1:18" x14ac:dyDescent="0.2">
      <c r="A17" t="s">
        <v>334</v>
      </c>
      <c r="B17">
        <v>8</v>
      </c>
      <c r="I17">
        <v>1</v>
      </c>
      <c r="K17">
        <v>7</v>
      </c>
      <c r="L17">
        <f t="shared" si="0"/>
        <v>7</v>
      </c>
    </row>
    <row r="18" spans="1:18" x14ac:dyDescent="0.2">
      <c r="A18" t="s">
        <v>335</v>
      </c>
      <c r="B18">
        <v>35</v>
      </c>
      <c r="H18">
        <v>22</v>
      </c>
      <c r="J18">
        <v>3</v>
      </c>
      <c r="K18">
        <v>10</v>
      </c>
      <c r="L18">
        <f t="shared" si="0"/>
        <v>10</v>
      </c>
      <c r="O18" s="36">
        <f t="shared" si="1"/>
        <v>0.05</v>
      </c>
      <c r="R18" s="36">
        <f>Receipts!F37</f>
        <v>1.1000000000000001</v>
      </c>
    </row>
    <row r="19" spans="1:18" x14ac:dyDescent="0.2">
      <c r="A19" t="s">
        <v>336</v>
      </c>
      <c r="C19">
        <v>1</v>
      </c>
      <c r="J19">
        <v>1</v>
      </c>
      <c r="K19">
        <v>0</v>
      </c>
      <c r="L19">
        <f t="shared" si="0"/>
        <v>0</v>
      </c>
    </row>
    <row r="20" spans="1:18" x14ac:dyDescent="0.2">
      <c r="A20" t="s">
        <v>456</v>
      </c>
    </row>
    <row r="21" spans="1:18" x14ac:dyDescent="0.2">
      <c r="A21" t="s">
        <v>457</v>
      </c>
    </row>
    <row r="22" spans="1:18" x14ac:dyDescent="0.2">
      <c r="A22" t="s">
        <v>458</v>
      </c>
    </row>
    <row r="23" spans="1:18" x14ac:dyDescent="0.2">
      <c r="A23" t="s">
        <v>459</v>
      </c>
    </row>
    <row r="24" spans="1:18" x14ac:dyDescent="0.2">
      <c r="A24" t="s">
        <v>460</v>
      </c>
    </row>
    <row r="25" spans="1:18" x14ac:dyDescent="0.2">
      <c r="A25" t="s">
        <v>461</v>
      </c>
    </row>
    <row r="26" spans="1:18" x14ac:dyDescent="0.2">
      <c r="A26" t="s">
        <v>337</v>
      </c>
      <c r="B26">
        <v>82</v>
      </c>
      <c r="C26">
        <v>40</v>
      </c>
      <c r="H26">
        <v>69</v>
      </c>
      <c r="K26">
        <v>53</v>
      </c>
      <c r="L26">
        <f t="shared" si="0"/>
        <v>53</v>
      </c>
      <c r="O26" s="36">
        <f t="shared" si="1"/>
        <v>0.16594202898550722</v>
      </c>
      <c r="R26" s="36">
        <f>Receipts!F38</f>
        <v>11.45</v>
      </c>
    </row>
    <row r="27" spans="1:18" x14ac:dyDescent="0.2">
      <c r="A27" t="s">
        <v>338</v>
      </c>
      <c r="B27">
        <v>46</v>
      </c>
      <c r="I27">
        <v>6</v>
      </c>
      <c r="J27">
        <v>40</v>
      </c>
      <c r="K27">
        <v>0</v>
      </c>
      <c r="L27">
        <f t="shared" si="0"/>
        <v>0</v>
      </c>
    </row>
    <row r="28" spans="1:18" x14ac:dyDescent="0.2">
      <c r="A28" t="s">
        <v>339</v>
      </c>
      <c r="C28">
        <f>18+22+18</f>
        <v>58</v>
      </c>
      <c r="I28">
        <f>5</f>
        <v>5</v>
      </c>
      <c r="J28">
        <v>5</v>
      </c>
      <c r="K28">
        <v>48</v>
      </c>
      <c r="L28">
        <f t="shared" si="0"/>
        <v>48</v>
      </c>
    </row>
    <row r="29" spans="1:18" x14ac:dyDescent="0.2">
      <c r="A29" t="s">
        <v>462</v>
      </c>
    </row>
    <row r="30" spans="1:18" x14ac:dyDescent="0.2">
      <c r="A30" t="s">
        <v>463</v>
      </c>
    </row>
    <row r="31" spans="1:18" s="65" customFormat="1" ht="16" x14ac:dyDescent="0.2">
      <c r="A31" s="42" t="s">
        <v>538</v>
      </c>
      <c r="O31" s="67"/>
      <c r="R31" s="65">
        <f>SUM(R6:R30)</f>
        <v>19.7</v>
      </c>
    </row>
    <row r="34" spans="1:18" ht="17" x14ac:dyDescent="0.2">
      <c r="A34" s="41" t="s">
        <v>466</v>
      </c>
    </row>
    <row r="35" spans="1:18" x14ac:dyDescent="0.2">
      <c r="A35" t="s">
        <v>468</v>
      </c>
    </row>
    <row r="36" spans="1:18" x14ac:dyDescent="0.2">
      <c r="A36" t="s">
        <v>469</v>
      </c>
    </row>
    <row r="37" spans="1:18" x14ac:dyDescent="0.2">
      <c r="A37" t="s">
        <v>470</v>
      </c>
    </row>
    <row r="38" spans="1:18" x14ac:dyDescent="0.2">
      <c r="A38" t="s">
        <v>471</v>
      </c>
    </row>
    <row r="39" spans="1:18" s="65" customFormat="1" ht="16" x14ac:dyDescent="0.2">
      <c r="A39" s="42" t="s">
        <v>539</v>
      </c>
      <c r="O39" s="67"/>
    </row>
    <row r="42" spans="1:18" ht="17" x14ac:dyDescent="0.2">
      <c r="A42" s="41" t="s">
        <v>472</v>
      </c>
    </row>
    <row r="43" spans="1:18" x14ac:dyDescent="0.2">
      <c r="A43" t="s">
        <v>473</v>
      </c>
      <c r="C43">
        <v>2</v>
      </c>
      <c r="H43">
        <v>2</v>
      </c>
      <c r="O43" s="36">
        <f>R43/H43</f>
        <v>0.12</v>
      </c>
      <c r="R43" s="36">
        <f>Receipts!F39</f>
        <v>0.24</v>
      </c>
    </row>
    <row r="44" spans="1:18" x14ac:dyDescent="0.2">
      <c r="A44" t="s">
        <v>628</v>
      </c>
      <c r="C44">
        <v>3</v>
      </c>
      <c r="H44">
        <v>3</v>
      </c>
      <c r="O44" s="36">
        <f t="shared" ref="O44:O47" si="2">R44/H44</f>
        <v>9.6666666666666679E-2</v>
      </c>
      <c r="R44" s="36">
        <f>Receipts!F40+Receipts!F41+Receipts!F42</f>
        <v>0.29000000000000004</v>
      </c>
    </row>
    <row r="45" spans="1:18" x14ac:dyDescent="0.2">
      <c r="A45" t="s">
        <v>540</v>
      </c>
    </row>
    <row r="46" spans="1:18" x14ac:dyDescent="0.2">
      <c r="A46" t="s">
        <v>541</v>
      </c>
      <c r="C46">
        <v>3</v>
      </c>
      <c r="H46">
        <v>3</v>
      </c>
      <c r="O46" s="36">
        <f t="shared" si="2"/>
        <v>3.3333333333333333E-2</v>
      </c>
      <c r="R46" s="36">
        <f>Receipts!F43</f>
        <v>0.1</v>
      </c>
    </row>
    <row r="47" spans="1:18" x14ac:dyDescent="0.2">
      <c r="A47" t="s">
        <v>631</v>
      </c>
      <c r="C47">
        <v>1</v>
      </c>
      <c r="H47">
        <v>1</v>
      </c>
      <c r="O47" s="36">
        <f t="shared" si="2"/>
        <v>0.05</v>
      </c>
      <c r="R47" s="36">
        <f>Receipts!F44</f>
        <v>0.05</v>
      </c>
    </row>
    <row r="48" spans="1:18" x14ac:dyDescent="0.2">
      <c r="A48" t="s">
        <v>542</v>
      </c>
    </row>
    <row r="49" spans="1:1" x14ac:dyDescent="0.2">
      <c r="A49" s="43" t="s">
        <v>543</v>
      </c>
    </row>
    <row r="50" spans="1:1" x14ac:dyDescent="0.2">
      <c r="A50" t="s">
        <v>629</v>
      </c>
    </row>
    <row r="51" spans="1:1" x14ac:dyDescent="0.2">
      <c r="A51" s="44" t="s">
        <v>544</v>
      </c>
    </row>
    <row r="52" spans="1:1" x14ac:dyDescent="0.2">
      <c r="A52" s="44" t="s">
        <v>545</v>
      </c>
    </row>
    <row r="53" spans="1:1" x14ac:dyDescent="0.2">
      <c r="A53" s="44" t="s">
        <v>546</v>
      </c>
    </row>
    <row r="54" spans="1:1" x14ac:dyDescent="0.2">
      <c r="A54" s="44" t="s">
        <v>547</v>
      </c>
    </row>
    <row r="55" spans="1:1" x14ac:dyDescent="0.2">
      <c r="A55" s="45" t="s">
        <v>629</v>
      </c>
    </row>
    <row r="56" spans="1:1" x14ac:dyDescent="0.2">
      <c r="A56" s="46" t="s">
        <v>548</v>
      </c>
    </row>
    <row r="57" spans="1:1" x14ac:dyDescent="0.2">
      <c r="A57" s="44" t="s">
        <v>544</v>
      </c>
    </row>
    <row r="58" spans="1:1" x14ac:dyDescent="0.2">
      <c r="A58" s="44" t="s">
        <v>545</v>
      </c>
    </row>
    <row r="59" spans="1:1" x14ac:dyDescent="0.2">
      <c r="A59" s="44" t="s">
        <v>546</v>
      </c>
    </row>
    <row r="60" spans="1:1" x14ac:dyDescent="0.2">
      <c r="A60" s="44" t="s">
        <v>547</v>
      </c>
    </row>
    <row r="61" spans="1:1" x14ac:dyDescent="0.2">
      <c r="A61" s="45" t="s">
        <v>489</v>
      </c>
    </row>
    <row r="62" spans="1:1" x14ac:dyDescent="0.2">
      <c r="A62" t="s">
        <v>630</v>
      </c>
    </row>
    <row r="63" spans="1:1" x14ac:dyDescent="0.2">
      <c r="A63" t="s">
        <v>491</v>
      </c>
    </row>
    <row r="64" spans="1:1" x14ac:dyDescent="0.2">
      <c r="A64" t="s">
        <v>492</v>
      </c>
    </row>
    <row r="65" spans="1:18" s="65" customFormat="1" x14ac:dyDescent="0.2">
      <c r="A65" s="65" t="s">
        <v>549</v>
      </c>
      <c r="O65" s="67"/>
      <c r="R65" s="67">
        <f>SUM(R43:R64)</f>
        <v>0.68</v>
      </c>
    </row>
    <row r="68" spans="1:18" ht="17" x14ac:dyDescent="0.2">
      <c r="A68" s="41" t="s">
        <v>493</v>
      </c>
    </row>
    <row r="69" spans="1:18" ht="16" x14ac:dyDescent="0.2">
      <c r="A69" s="40" t="s">
        <v>494</v>
      </c>
    </row>
    <row r="70" spans="1:18" x14ac:dyDescent="0.2">
      <c r="A70" t="s">
        <v>495</v>
      </c>
    </row>
    <row r="71" spans="1:18" x14ac:dyDescent="0.2">
      <c r="A71" t="s">
        <v>496</v>
      </c>
    </row>
    <row r="72" spans="1:18" x14ac:dyDescent="0.2">
      <c r="A72" t="s">
        <v>497</v>
      </c>
    </row>
    <row r="73" spans="1:18" x14ac:dyDescent="0.2">
      <c r="A73" s="47" t="s">
        <v>550</v>
      </c>
    </row>
    <row r="74" spans="1:18" x14ac:dyDescent="0.2">
      <c r="A74" s="48" t="s">
        <v>551</v>
      </c>
    </row>
    <row r="76" spans="1:18" ht="16" x14ac:dyDescent="0.2">
      <c r="A76" s="10" t="s">
        <v>498</v>
      </c>
    </row>
    <row r="77" spans="1:18" x14ac:dyDescent="0.2">
      <c r="A77" t="s">
        <v>499</v>
      </c>
    </row>
    <row r="78" spans="1:18" x14ac:dyDescent="0.2">
      <c r="A78" t="s">
        <v>500</v>
      </c>
    </row>
    <row r="79" spans="1:18" x14ac:dyDescent="0.2">
      <c r="A79" t="s">
        <v>501</v>
      </c>
    </row>
    <row r="80" spans="1:18" x14ac:dyDescent="0.2">
      <c r="A80" s="47" t="s">
        <v>320</v>
      </c>
    </row>
    <row r="83" spans="1:1" ht="16" x14ac:dyDescent="0.2">
      <c r="A83" s="10" t="s">
        <v>552</v>
      </c>
    </row>
    <row r="84" spans="1:1" x14ac:dyDescent="0.2">
      <c r="A84" t="s">
        <v>553</v>
      </c>
    </row>
    <row r="85" spans="1:1" x14ac:dyDescent="0.2">
      <c r="A85" t="s">
        <v>554</v>
      </c>
    </row>
    <row r="86" spans="1:1" x14ac:dyDescent="0.2">
      <c r="A86" t="s">
        <v>555</v>
      </c>
    </row>
    <row r="87" spans="1:1" ht="16" x14ac:dyDescent="0.2">
      <c r="A87" s="49" t="s">
        <v>549</v>
      </c>
    </row>
    <row r="89" spans="1:1" ht="16" x14ac:dyDescent="0.2">
      <c r="A89" s="10" t="s">
        <v>556</v>
      </c>
    </row>
    <row r="90" spans="1:1" x14ac:dyDescent="0.2">
      <c r="A90" t="s">
        <v>557</v>
      </c>
    </row>
    <row r="91" spans="1:1" x14ac:dyDescent="0.2">
      <c r="A91" t="s">
        <v>558</v>
      </c>
    </row>
    <row r="92" spans="1:1" ht="16" x14ac:dyDescent="0.2">
      <c r="A92" s="49" t="s">
        <v>320</v>
      </c>
    </row>
    <row r="94" spans="1:1" ht="16" x14ac:dyDescent="0.2">
      <c r="A94" s="10" t="s">
        <v>504</v>
      </c>
    </row>
    <row r="95" spans="1:1" x14ac:dyDescent="0.2">
      <c r="A95" t="s">
        <v>504</v>
      </c>
    </row>
    <row r="96" spans="1:1" ht="16" x14ac:dyDescent="0.2">
      <c r="A96" s="49" t="s">
        <v>320</v>
      </c>
    </row>
    <row r="97" spans="1:1" ht="16" x14ac:dyDescent="0.2">
      <c r="A97" s="50"/>
    </row>
    <row r="98" spans="1:1" ht="16" x14ac:dyDescent="0.2">
      <c r="A98" s="49" t="s">
        <v>559</v>
      </c>
    </row>
    <row r="101" spans="1:1" ht="16" x14ac:dyDescent="0.2">
      <c r="A101" s="10" t="s">
        <v>560</v>
      </c>
    </row>
    <row r="104" spans="1:1" ht="16" x14ac:dyDescent="0.2">
      <c r="A104" s="50" t="s">
        <v>561</v>
      </c>
    </row>
    <row r="105" spans="1:1" ht="16" x14ac:dyDescent="0.2">
      <c r="A105" s="10" t="s">
        <v>562</v>
      </c>
    </row>
    <row r="106" spans="1:1" x14ac:dyDescent="0.2">
      <c r="A106" t="s">
        <v>563</v>
      </c>
    </row>
    <row r="107" spans="1:1" x14ac:dyDescent="0.2">
      <c r="A107" t="s">
        <v>564</v>
      </c>
    </row>
    <row r="108" spans="1:1" x14ac:dyDescent="0.2">
      <c r="A108" t="s">
        <v>565</v>
      </c>
    </row>
    <row r="109" spans="1:1" x14ac:dyDescent="0.2">
      <c r="A109" t="s">
        <v>566</v>
      </c>
    </row>
    <row r="110" spans="1:1" x14ac:dyDescent="0.2">
      <c r="A110" t="s">
        <v>567</v>
      </c>
    </row>
    <row r="111" spans="1:1" x14ac:dyDescent="0.2">
      <c r="A111" t="s">
        <v>568</v>
      </c>
    </row>
    <row r="112" spans="1:1" x14ac:dyDescent="0.2">
      <c r="A112" t="s">
        <v>569</v>
      </c>
    </row>
    <row r="113" spans="1:1" x14ac:dyDescent="0.2">
      <c r="A113" t="s">
        <v>570</v>
      </c>
    </row>
    <row r="114" spans="1:1" x14ac:dyDescent="0.2">
      <c r="A114" t="s">
        <v>571</v>
      </c>
    </row>
    <row r="115" spans="1:1" x14ac:dyDescent="0.2">
      <c r="A115" t="s">
        <v>572</v>
      </c>
    </row>
    <row r="116" spans="1:1" x14ac:dyDescent="0.2">
      <c r="A116" t="s">
        <v>573</v>
      </c>
    </row>
    <row r="117" spans="1:1" x14ac:dyDescent="0.2">
      <c r="A117" t="s">
        <v>574</v>
      </c>
    </row>
    <row r="118" spans="1:1" x14ac:dyDescent="0.2">
      <c r="A118" t="s">
        <v>575</v>
      </c>
    </row>
    <row r="119" spans="1:1" x14ac:dyDescent="0.2">
      <c r="A119" t="s">
        <v>576</v>
      </c>
    </row>
    <row r="120" spans="1:1" x14ac:dyDescent="0.2">
      <c r="A120" t="s">
        <v>577</v>
      </c>
    </row>
    <row r="121" spans="1:1" x14ac:dyDescent="0.2">
      <c r="A121" t="s">
        <v>578</v>
      </c>
    </row>
    <row r="122" spans="1:1" x14ac:dyDescent="0.2">
      <c r="A122" t="s">
        <v>579</v>
      </c>
    </row>
    <row r="123" spans="1:1" x14ac:dyDescent="0.2">
      <c r="A123" t="s">
        <v>580</v>
      </c>
    </row>
    <row r="124" spans="1:1" x14ac:dyDescent="0.2">
      <c r="A124" t="s">
        <v>581</v>
      </c>
    </row>
    <row r="125" spans="1:1" x14ac:dyDescent="0.2">
      <c r="A125" t="s">
        <v>582</v>
      </c>
    </row>
    <row r="126" spans="1:1" x14ac:dyDescent="0.2">
      <c r="A126" t="s">
        <v>583</v>
      </c>
    </row>
    <row r="127" spans="1:1" x14ac:dyDescent="0.2">
      <c r="A127" t="s">
        <v>584</v>
      </c>
    </row>
    <row r="128" spans="1:1" x14ac:dyDescent="0.2">
      <c r="A128" t="s">
        <v>585</v>
      </c>
    </row>
    <row r="129" spans="1:1" x14ac:dyDescent="0.2">
      <c r="A129" t="s">
        <v>586</v>
      </c>
    </row>
    <row r="130" spans="1:1" x14ac:dyDescent="0.2">
      <c r="A130" t="s">
        <v>587</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74"/>
  <sheetViews>
    <sheetView topLeftCell="A116" workbookViewId="0"/>
  </sheetViews>
  <sheetFormatPr baseColWidth="10" defaultColWidth="8.83203125" defaultRowHeight="15" x14ac:dyDescent="0.2"/>
  <cols>
    <col min="1" max="1" width="30.8320312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t="s">
        <v>34</v>
      </c>
      <c r="B2" t="s">
        <v>35</v>
      </c>
      <c r="C2">
        <v>38.659999999999997</v>
      </c>
      <c r="D2">
        <v>38</v>
      </c>
      <c r="E2">
        <v>13</v>
      </c>
      <c r="F2">
        <v>3.25</v>
      </c>
      <c r="H2">
        <v>0</v>
      </c>
      <c r="I2">
        <v>0</v>
      </c>
      <c r="J2">
        <v>0</v>
      </c>
      <c r="K2">
        <v>0</v>
      </c>
      <c r="L2">
        <v>0</v>
      </c>
      <c r="M2">
        <v>0</v>
      </c>
      <c r="N2">
        <v>0</v>
      </c>
    </row>
    <row r="3" spans="1:34" x14ac:dyDescent="0.2">
      <c r="A3" t="s">
        <v>34</v>
      </c>
      <c r="B3" t="s">
        <v>36</v>
      </c>
      <c r="C3">
        <v>38.659999999999997</v>
      </c>
      <c r="D3">
        <v>38</v>
      </c>
      <c r="E3">
        <v>13</v>
      </c>
      <c r="F3">
        <v>3.25</v>
      </c>
      <c r="H3">
        <v>0</v>
      </c>
      <c r="I3">
        <v>0</v>
      </c>
      <c r="J3">
        <v>0</v>
      </c>
      <c r="K3">
        <v>0</v>
      </c>
      <c r="L3">
        <v>0</v>
      </c>
      <c r="M3">
        <v>0</v>
      </c>
      <c r="N3">
        <v>0</v>
      </c>
    </row>
    <row r="4" spans="1:34" x14ac:dyDescent="0.2">
      <c r="A4" t="s">
        <v>37</v>
      </c>
      <c r="B4" t="s">
        <v>38</v>
      </c>
      <c r="C4">
        <v>0.7</v>
      </c>
      <c r="D4">
        <v>0</v>
      </c>
      <c r="E4">
        <v>14</v>
      </c>
      <c r="F4">
        <v>0</v>
      </c>
      <c r="H4">
        <v>0</v>
      </c>
      <c r="I4">
        <v>0</v>
      </c>
      <c r="J4">
        <v>0</v>
      </c>
      <c r="K4">
        <v>0</v>
      </c>
      <c r="L4">
        <v>0</v>
      </c>
      <c r="M4">
        <v>0</v>
      </c>
      <c r="N4">
        <v>0</v>
      </c>
    </row>
    <row r="5" spans="1:34" x14ac:dyDescent="0.2">
      <c r="A5" t="s">
        <v>37</v>
      </c>
      <c r="B5" t="s">
        <v>39</v>
      </c>
      <c r="C5">
        <v>0.1</v>
      </c>
      <c r="D5">
        <v>0</v>
      </c>
      <c r="E5">
        <v>2</v>
      </c>
      <c r="F5">
        <v>0</v>
      </c>
      <c r="H5">
        <v>0</v>
      </c>
      <c r="I5">
        <v>0</v>
      </c>
      <c r="J5">
        <v>0</v>
      </c>
      <c r="K5">
        <v>0</v>
      </c>
      <c r="L5">
        <v>0</v>
      </c>
      <c r="M5">
        <v>0</v>
      </c>
      <c r="N5">
        <v>0</v>
      </c>
    </row>
    <row r="6" spans="1:34" x14ac:dyDescent="0.2">
      <c r="A6" t="s">
        <v>37</v>
      </c>
      <c r="B6" t="s">
        <v>40</v>
      </c>
      <c r="C6">
        <v>0.05</v>
      </c>
      <c r="D6">
        <v>0</v>
      </c>
      <c r="E6">
        <v>1</v>
      </c>
      <c r="F6">
        <v>0</v>
      </c>
      <c r="H6">
        <v>0</v>
      </c>
      <c r="I6">
        <v>0</v>
      </c>
      <c r="J6">
        <v>0</v>
      </c>
      <c r="K6">
        <v>0</v>
      </c>
      <c r="L6">
        <v>0</v>
      </c>
      <c r="M6">
        <v>0</v>
      </c>
      <c r="N6">
        <v>0</v>
      </c>
    </row>
    <row r="7" spans="1:34" x14ac:dyDescent="0.2">
      <c r="A7" t="s">
        <v>37</v>
      </c>
      <c r="B7" t="s">
        <v>41</v>
      </c>
      <c r="C7">
        <v>0.44</v>
      </c>
      <c r="D7">
        <v>0</v>
      </c>
      <c r="E7">
        <v>8</v>
      </c>
      <c r="F7">
        <v>9</v>
      </c>
      <c r="H7">
        <v>0</v>
      </c>
      <c r="I7">
        <v>0</v>
      </c>
      <c r="J7">
        <v>0</v>
      </c>
      <c r="K7">
        <v>0</v>
      </c>
      <c r="L7">
        <v>0</v>
      </c>
      <c r="M7">
        <v>0</v>
      </c>
      <c r="N7">
        <v>0</v>
      </c>
    </row>
    <row r="8" spans="1:34" x14ac:dyDescent="0.2">
      <c r="A8" t="s">
        <v>37</v>
      </c>
      <c r="B8" t="s">
        <v>42</v>
      </c>
      <c r="C8">
        <v>0.09</v>
      </c>
      <c r="D8">
        <v>0</v>
      </c>
      <c r="E8">
        <v>1</v>
      </c>
      <c r="F8">
        <v>10.5</v>
      </c>
      <c r="H8">
        <v>0</v>
      </c>
      <c r="I8">
        <v>0</v>
      </c>
      <c r="J8">
        <v>0</v>
      </c>
      <c r="K8">
        <v>0</v>
      </c>
      <c r="L8">
        <v>0</v>
      </c>
      <c r="M8">
        <v>0</v>
      </c>
      <c r="N8">
        <v>0</v>
      </c>
    </row>
    <row r="9" spans="1:34" x14ac:dyDescent="0.2">
      <c r="A9" t="s">
        <v>37</v>
      </c>
      <c r="B9" t="s">
        <v>43</v>
      </c>
      <c r="C9">
        <v>1.4</v>
      </c>
      <c r="D9">
        <v>1</v>
      </c>
      <c r="E9">
        <v>7</v>
      </c>
      <c r="F9">
        <v>11.25</v>
      </c>
      <c r="H9">
        <v>0</v>
      </c>
      <c r="I9">
        <v>0</v>
      </c>
      <c r="J9">
        <v>0</v>
      </c>
      <c r="K9">
        <v>0</v>
      </c>
      <c r="L9">
        <v>0</v>
      </c>
      <c r="M9">
        <v>0</v>
      </c>
      <c r="N9">
        <v>0</v>
      </c>
    </row>
    <row r="10" spans="1:34" x14ac:dyDescent="0.2">
      <c r="A10" t="s">
        <v>44</v>
      </c>
      <c r="B10" t="s">
        <v>45</v>
      </c>
      <c r="C10">
        <v>0.79</v>
      </c>
      <c r="D10">
        <v>0</v>
      </c>
      <c r="E10">
        <v>15</v>
      </c>
      <c r="F10">
        <v>9.5</v>
      </c>
      <c r="H10">
        <v>0</v>
      </c>
      <c r="I10">
        <v>0</v>
      </c>
      <c r="J10">
        <v>0</v>
      </c>
      <c r="K10">
        <v>0</v>
      </c>
      <c r="L10">
        <v>0</v>
      </c>
      <c r="M10">
        <v>0</v>
      </c>
      <c r="N10">
        <v>0</v>
      </c>
    </row>
    <row r="11" spans="1:34" x14ac:dyDescent="0.2">
      <c r="A11" t="s">
        <v>44</v>
      </c>
      <c r="B11" t="s">
        <v>46</v>
      </c>
      <c r="C11">
        <v>0.12</v>
      </c>
      <c r="D11">
        <v>0</v>
      </c>
      <c r="E11">
        <v>2</v>
      </c>
      <c r="F11">
        <v>6</v>
      </c>
      <c r="H11">
        <v>0</v>
      </c>
      <c r="I11">
        <v>0</v>
      </c>
      <c r="J11">
        <v>0</v>
      </c>
      <c r="K11">
        <v>0</v>
      </c>
      <c r="L11">
        <v>0</v>
      </c>
      <c r="M11">
        <v>0</v>
      </c>
      <c r="N11">
        <v>0</v>
      </c>
    </row>
    <row r="12" spans="1:34" x14ac:dyDescent="0.2">
      <c r="A12" t="s">
        <v>44</v>
      </c>
      <c r="B12" t="s">
        <v>47</v>
      </c>
      <c r="C12">
        <v>0.06</v>
      </c>
      <c r="D12">
        <v>0</v>
      </c>
      <c r="E12">
        <v>1</v>
      </c>
      <c r="F12">
        <v>3.5</v>
      </c>
      <c r="H12">
        <v>0</v>
      </c>
      <c r="I12">
        <v>0</v>
      </c>
      <c r="J12">
        <v>0</v>
      </c>
      <c r="K12">
        <v>0</v>
      </c>
      <c r="L12">
        <v>0</v>
      </c>
      <c r="M12">
        <v>0</v>
      </c>
      <c r="N12">
        <v>0</v>
      </c>
    </row>
    <row r="13" spans="1:34" x14ac:dyDescent="0.2">
      <c r="A13" t="s">
        <v>44</v>
      </c>
      <c r="B13" t="s">
        <v>48</v>
      </c>
      <c r="C13">
        <v>2.36</v>
      </c>
      <c r="D13">
        <v>2</v>
      </c>
      <c r="E13">
        <v>7</v>
      </c>
      <c r="F13">
        <v>2.75</v>
      </c>
      <c r="H13">
        <v>0</v>
      </c>
      <c r="I13">
        <v>0</v>
      </c>
      <c r="J13">
        <v>0</v>
      </c>
      <c r="K13">
        <v>0</v>
      </c>
      <c r="L13">
        <v>0</v>
      </c>
      <c r="M13">
        <v>0</v>
      </c>
      <c r="N13">
        <v>0</v>
      </c>
    </row>
    <row r="14" spans="1:34" x14ac:dyDescent="0.2">
      <c r="A14" t="s">
        <v>44</v>
      </c>
      <c r="B14" t="s">
        <v>49</v>
      </c>
      <c r="C14">
        <v>36.299999999999997</v>
      </c>
      <c r="D14">
        <v>36</v>
      </c>
      <c r="E14">
        <v>6</v>
      </c>
      <c r="F14">
        <v>0.5</v>
      </c>
      <c r="H14">
        <v>0</v>
      </c>
      <c r="I14">
        <v>0</v>
      </c>
      <c r="J14">
        <v>0</v>
      </c>
      <c r="K14">
        <v>0</v>
      </c>
      <c r="L14">
        <v>0</v>
      </c>
      <c r="M14">
        <v>0</v>
      </c>
      <c r="N14">
        <v>0</v>
      </c>
    </row>
    <row r="15" spans="1:34" x14ac:dyDescent="0.2">
      <c r="A15" t="s">
        <v>50</v>
      </c>
      <c r="B15" t="s">
        <v>51</v>
      </c>
      <c r="C15">
        <v>1.84</v>
      </c>
      <c r="D15">
        <v>1</v>
      </c>
      <c r="E15">
        <v>16</v>
      </c>
      <c r="F15">
        <v>9.5</v>
      </c>
      <c r="H15">
        <v>0</v>
      </c>
      <c r="I15">
        <v>0</v>
      </c>
      <c r="J15">
        <v>0</v>
      </c>
      <c r="K15">
        <v>0</v>
      </c>
      <c r="L15">
        <v>0</v>
      </c>
      <c r="M15">
        <v>0</v>
      </c>
      <c r="N15">
        <v>0</v>
      </c>
    </row>
    <row r="16" spans="1:34" x14ac:dyDescent="0.2">
      <c r="A16" t="s">
        <v>50</v>
      </c>
      <c r="B16" t="s">
        <v>52</v>
      </c>
      <c r="C16">
        <v>1.19</v>
      </c>
      <c r="D16">
        <v>1</v>
      </c>
      <c r="E16">
        <v>3</v>
      </c>
      <c r="F16">
        <v>10</v>
      </c>
      <c r="H16">
        <v>0</v>
      </c>
      <c r="I16">
        <v>0</v>
      </c>
      <c r="J16">
        <v>0</v>
      </c>
      <c r="K16">
        <v>0</v>
      </c>
      <c r="L16">
        <v>0</v>
      </c>
      <c r="M16">
        <v>0</v>
      </c>
      <c r="N16">
        <v>0</v>
      </c>
    </row>
    <row r="17" spans="1:14" x14ac:dyDescent="0.2">
      <c r="A17" t="s">
        <v>50</v>
      </c>
      <c r="B17" t="s">
        <v>53</v>
      </c>
      <c r="C17">
        <v>0.6</v>
      </c>
      <c r="D17">
        <v>0</v>
      </c>
      <c r="E17">
        <v>12</v>
      </c>
      <c r="F17">
        <v>0</v>
      </c>
      <c r="H17">
        <v>0</v>
      </c>
      <c r="I17">
        <v>0</v>
      </c>
      <c r="J17">
        <v>0</v>
      </c>
      <c r="K17">
        <v>0</v>
      </c>
      <c r="L17">
        <v>0</v>
      </c>
      <c r="M17">
        <v>0</v>
      </c>
      <c r="N17">
        <v>0</v>
      </c>
    </row>
    <row r="18" spans="1:14" x14ac:dyDescent="0.2">
      <c r="A18" t="s">
        <v>50</v>
      </c>
      <c r="B18" t="s">
        <v>54</v>
      </c>
      <c r="C18">
        <v>0</v>
      </c>
      <c r="D18">
        <v>0</v>
      </c>
      <c r="E18">
        <v>0</v>
      </c>
      <c r="F18">
        <v>0</v>
      </c>
      <c r="G18" t="s">
        <v>55</v>
      </c>
      <c r="H18">
        <v>0</v>
      </c>
      <c r="I18">
        <v>0</v>
      </c>
      <c r="J18">
        <v>0</v>
      </c>
      <c r="K18">
        <v>0</v>
      </c>
      <c r="L18">
        <v>0</v>
      </c>
      <c r="M18">
        <v>0</v>
      </c>
      <c r="N18">
        <v>0</v>
      </c>
    </row>
    <row r="19" spans="1:14" x14ac:dyDescent="0.2">
      <c r="A19" t="s">
        <v>50</v>
      </c>
      <c r="B19" t="s">
        <v>56</v>
      </c>
      <c r="C19">
        <v>0.15</v>
      </c>
      <c r="D19">
        <v>0</v>
      </c>
      <c r="E19">
        <v>3</v>
      </c>
      <c r="F19">
        <v>0</v>
      </c>
      <c r="H19">
        <v>0</v>
      </c>
      <c r="I19">
        <v>0</v>
      </c>
      <c r="J19">
        <v>0</v>
      </c>
      <c r="K19">
        <v>0</v>
      </c>
      <c r="L19">
        <v>0</v>
      </c>
      <c r="M19">
        <v>0</v>
      </c>
      <c r="N19">
        <v>0</v>
      </c>
    </row>
    <row r="20" spans="1:14" x14ac:dyDescent="0.2">
      <c r="A20" t="s">
        <v>50</v>
      </c>
      <c r="B20" t="s">
        <v>57</v>
      </c>
      <c r="C20">
        <v>0</v>
      </c>
      <c r="D20">
        <v>0</v>
      </c>
      <c r="E20">
        <v>0</v>
      </c>
      <c r="F20">
        <v>0</v>
      </c>
      <c r="H20">
        <v>0</v>
      </c>
      <c r="I20">
        <v>0</v>
      </c>
      <c r="J20">
        <v>0</v>
      </c>
      <c r="K20">
        <v>0</v>
      </c>
      <c r="L20">
        <v>0</v>
      </c>
      <c r="M20">
        <v>0</v>
      </c>
      <c r="N20">
        <v>0</v>
      </c>
    </row>
    <row r="21" spans="1:14" x14ac:dyDescent="0.2">
      <c r="A21" t="s">
        <v>50</v>
      </c>
      <c r="B21" t="s">
        <v>58</v>
      </c>
      <c r="C21">
        <v>0.08</v>
      </c>
      <c r="D21">
        <v>0</v>
      </c>
      <c r="E21">
        <v>1</v>
      </c>
      <c r="F21">
        <v>6</v>
      </c>
      <c r="H21">
        <v>0</v>
      </c>
      <c r="I21">
        <v>0</v>
      </c>
      <c r="J21">
        <v>0</v>
      </c>
      <c r="K21">
        <v>0</v>
      </c>
      <c r="L21">
        <v>0</v>
      </c>
      <c r="M21">
        <v>0</v>
      </c>
      <c r="N21">
        <v>0</v>
      </c>
    </row>
    <row r="22" spans="1:14" x14ac:dyDescent="0.2">
      <c r="A22" t="s">
        <v>50</v>
      </c>
      <c r="B22" t="s">
        <v>59</v>
      </c>
      <c r="C22">
        <v>3.05</v>
      </c>
      <c r="D22">
        <v>3</v>
      </c>
      <c r="E22">
        <v>1</v>
      </c>
      <c r="F22">
        <v>0</v>
      </c>
      <c r="H22">
        <v>0</v>
      </c>
      <c r="I22">
        <v>0</v>
      </c>
      <c r="J22">
        <v>0</v>
      </c>
      <c r="K22">
        <v>0</v>
      </c>
      <c r="L22">
        <v>0</v>
      </c>
      <c r="M22">
        <v>0</v>
      </c>
      <c r="N22">
        <v>0</v>
      </c>
    </row>
    <row r="23" spans="1:14" x14ac:dyDescent="0.2">
      <c r="A23" t="s">
        <v>50</v>
      </c>
      <c r="B23" t="s">
        <v>60</v>
      </c>
      <c r="C23">
        <v>3.9</v>
      </c>
      <c r="D23">
        <v>3</v>
      </c>
      <c r="E23">
        <v>18</v>
      </c>
      <c r="F23">
        <v>0</v>
      </c>
      <c r="H23">
        <v>0</v>
      </c>
      <c r="I23">
        <v>0</v>
      </c>
      <c r="J23">
        <v>0</v>
      </c>
      <c r="K23">
        <v>0</v>
      </c>
      <c r="L23">
        <v>0</v>
      </c>
      <c r="M23">
        <v>0</v>
      </c>
      <c r="N23">
        <v>0</v>
      </c>
    </row>
    <row r="24" spans="1:14" x14ac:dyDescent="0.2">
      <c r="A24" t="s">
        <v>50</v>
      </c>
      <c r="B24" t="s">
        <v>61</v>
      </c>
      <c r="C24">
        <v>0.12</v>
      </c>
      <c r="D24">
        <v>0</v>
      </c>
      <c r="E24">
        <v>2</v>
      </c>
      <c r="F24">
        <v>6</v>
      </c>
      <c r="H24">
        <v>0</v>
      </c>
      <c r="I24">
        <v>0</v>
      </c>
      <c r="J24">
        <v>0</v>
      </c>
      <c r="K24">
        <v>0</v>
      </c>
      <c r="L24">
        <v>0</v>
      </c>
      <c r="M24">
        <v>0</v>
      </c>
      <c r="N24">
        <v>0</v>
      </c>
    </row>
    <row r="25" spans="1:14" x14ac:dyDescent="0.2">
      <c r="A25" t="s">
        <v>50</v>
      </c>
      <c r="B25" t="s">
        <v>62</v>
      </c>
      <c r="C25">
        <v>0.2</v>
      </c>
      <c r="D25">
        <v>0</v>
      </c>
      <c r="E25">
        <v>4</v>
      </c>
      <c r="F25">
        <v>0</v>
      </c>
      <c r="H25">
        <v>0</v>
      </c>
      <c r="I25">
        <v>0</v>
      </c>
      <c r="J25">
        <v>0</v>
      </c>
      <c r="K25">
        <v>0</v>
      </c>
      <c r="L25">
        <v>0</v>
      </c>
      <c r="M25">
        <v>0</v>
      </c>
      <c r="N25">
        <v>0</v>
      </c>
    </row>
    <row r="26" spans="1:14" x14ac:dyDescent="0.2">
      <c r="A26" t="s">
        <v>50</v>
      </c>
      <c r="B26" t="s">
        <v>63</v>
      </c>
      <c r="C26">
        <v>1.1000000000000001</v>
      </c>
      <c r="D26">
        <v>1</v>
      </c>
      <c r="E26">
        <v>2</v>
      </c>
      <c r="F26">
        <v>0</v>
      </c>
      <c r="H26">
        <v>0</v>
      </c>
      <c r="I26">
        <v>0</v>
      </c>
      <c r="J26">
        <v>0</v>
      </c>
      <c r="K26">
        <v>0</v>
      </c>
      <c r="L26">
        <v>0</v>
      </c>
      <c r="M26">
        <v>0</v>
      </c>
      <c r="N26">
        <v>0</v>
      </c>
    </row>
    <row r="27" spans="1:14" x14ac:dyDescent="0.2">
      <c r="A27" t="s">
        <v>50</v>
      </c>
      <c r="B27" t="s">
        <v>64</v>
      </c>
      <c r="C27">
        <v>11.45</v>
      </c>
      <c r="D27">
        <v>11</v>
      </c>
      <c r="E27">
        <v>9</v>
      </c>
      <c r="F27">
        <v>0</v>
      </c>
      <c r="H27">
        <v>0</v>
      </c>
      <c r="I27">
        <v>0</v>
      </c>
      <c r="J27">
        <v>0</v>
      </c>
      <c r="K27">
        <v>0</v>
      </c>
      <c r="L27">
        <v>0</v>
      </c>
      <c r="M27">
        <v>0</v>
      </c>
      <c r="N27">
        <v>0</v>
      </c>
    </row>
    <row r="28" spans="1:14" x14ac:dyDescent="0.2">
      <c r="A28" t="s">
        <v>50</v>
      </c>
      <c r="B28" t="s">
        <v>65</v>
      </c>
      <c r="C28">
        <v>0.24</v>
      </c>
      <c r="D28">
        <v>0</v>
      </c>
      <c r="E28">
        <v>4</v>
      </c>
      <c r="F28">
        <v>9</v>
      </c>
      <c r="H28">
        <v>0</v>
      </c>
      <c r="I28">
        <v>0</v>
      </c>
      <c r="J28">
        <v>0</v>
      </c>
      <c r="K28">
        <v>0</v>
      </c>
      <c r="L28">
        <v>0</v>
      </c>
      <c r="M28">
        <v>0</v>
      </c>
      <c r="N28">
        <v>0</v>
      </c>
    </row>
    <row r="29" spans="1:14" x14ac:dyDescent="0.2">
      <c r="A29" t="s">
        <v>50</v>
      </c>
      <c r="B29" t="s">
        <v>66</v>
      </c>
      <c r="C29">
        <v>0.17</v>
      </c>
      <c r="D29">
        <v>0</v>
      </c>
      <c r="E29">
        <v>3</v>
      </c>
      <c r="F29">
        <v>6</v>
      </c>
      <c r="H29">
        <v>0</v>
      </c>
      <c r="I29">
        <v>0</v>
      </c>
      <c r="J29">
        <v>0</v>
      </c>
      <c r="K29">
        <v>0</v>
      </c>
      <c r="L29">
        <v>0</v>
      </c>
      <c r="M29">
        <v>0</v>
      </c>
      <c r="N29">
        <v>0</v>
      </c>
    </row>
    <row r="30" spans="1:14" x14ac:dyDescent="0.2">
      <c r="A30" t="s">
        <v>50</v>
      </c>
      <c r="B30" t="s">
        <v>67</v>
      </c>
      <c r="C30">
        <v>0.05</v>
      </c>
      <c r="D30">
        <v>0</v>
      </c>
      <c r="E30">
        <v>1</v>
      </c>
      <c r="F30">
        <v>0</v>
      </c>
      <c r="H30">
        <v>0</v>
      </c>
      <c r="I30">
        <v>0</v>
      </c>
      <c r="J30">
        <v>0</v>
      </c>
      <c r="K30">
        <v>0</v>
      </c>
      <c r="L30">
        <v>0</v>
      </c>
      <c r="M30">
        <v>0</v>
      </c>
      <c r="N30">
        <v>0</v>
      </c>
    </row>
    <row r="31" spans="1:14" x14ac:dyDescent="0.2">
      <c r="A31" t="s">
        <v>50</v>
      </c>
      <c r="B31" t="s">
        <v>68</v>
      </c>
      <c r="C31">
        <v>7.0000000000000007E-2</v>
      </c>
      <c r="D31">
        <v>0</v>
      </c>
      <c r="E31">
        <v>1</v>
      </c>
      <c r="F31">
        <v>5</v>
      </c>
      <c r="H31">
        <v>0</v>
      </c>
      <c r="I31">
        <v>0</v>
      </c>
      <c r="J31">
        <v>0</v>
      </c>
      <c r="K31">
        <v>0</v>
      </c>
      <c r="L31">
        <v>0</v>
      </c>
      <c r="M31">
        <v>0</v>
      </c>
      <c r="N31">
        <v>0</v>
      </c>
    </row>
    <row r="32" spans="1:14" x14ac:dyDescent="0.2">
      <c r="A32" t="s">
        <v>50</v>
      </c>
      <c r="B32" t="s">
        <v>69</v>
      </c>
      <c r="C32">
        <v>0.1</v>
      </c>
      <c r="D32">
        <v>0</v>
      </c>
      <c r="E32">
        <v>1</v>
      </c>
      <c r="F32">
        <v>11</v>
      </c>
      <c r="H32">
        <v>0</v>
      </c>
      <c r="I32">
        <v>0</v>
      </c>
      <c r="J32">
        <v>0</v>
      </c>
      <c r="K32">
        <v>0</v>
      </c>
      <c r="L32">
        <v>0</v>
      </c>
      <c r="M32">
        <v>0</v>
      </c>
      <c r="N32">
        <v>0</v>
      </c>
    </row>
    <row r="33" spans="1:22" x14ac:dyDescent="0.2">
      <c r="A33" t="s">
        <v>50</v>
      </c>
      <c r="B33" t="s">
        <v>70</v>
      </c>
      <c r="C33">
        <v>0.05</v>
      </c>
      <c r="D33">
        <v>0</v>
      </c>
      <c r="E33">
        <v>1</v>
      </c>
      <c r="F33">
        <v>1</v>
      </c>
      <c r="H33">
        <v>0</v>
      </c>
      <c r="I33">
        <v>0</v>
      </c>
      <c r="J33">
        <v>0</v>
      </c>
      <c r="K33">
        <v>0</v>
      </c>
      <c r="L33">
        <v>0</v>
      </c>
      <c r="M33">
        <v>0</v>
      </c>
      <c r="N33">
        <v>0</v>
      </c>
    </row>
    <row r="34" spans="1:22" x14ac:dyDescent="0.2">
      <c r="A34" t="s">
        <v>50</v>
      </c>
      <c r="B34" t="s">
        <v>71</v>
      </c>
      <c r="C34">
        <v>0</v>
      </c>
      <c r="D34">
        <v>0</v>
      </c>
      <c r="E34">
        <v>0</v>
      </c>
      <c r="F34">
        <v>0</v>
      </c>
      <c r="H34">
        <v>0</v>
      </c>
      <c r="I34">
        <v>0</v>
      </c>
      <c r="J34">
        <v>0</v>
      </c>
      <c r="K34">
        <v>0</v>
      </c>
      <c r="L34">
        <v>0</v>
      </c>
      <c r="M34">
        <v>0</v>
      </c>
      <c r="N34">
        <v>0</v>
      </c>
    </row>
    <row r="35" spans="1:22" x14ac:dyDescent="0.2">
      <c r="A35" t="s">
        <v>50</v>
      </c>
      <c r="B35" t="s">
        <v>72</v>
      </c>
      <c r="C35">
        <v>0.06</v>
      </c>
      <c r="D35">
        <v>0</v>
      </c>
      <c r="E35">
        <v>1</v>
      </c>
      <c r="F35">
        <v>2</v>
      </c>
      <c r="H35">
        <v>0</v>
      </c>
      <c r="I35">
        <v>0</v>
      </c>
      <c r="J35">
        <v>0</v>
      </c>
      <c r="K35">
        <v>0</v>
      </c>
      <c r="L35">
        <v>0</v>
      </c>
      <c r="M35">
        <v>0</v>
      </c>
      <c r="N35">
        <v>0</v>
      </c>
    </row>
    <row r="36" spans="1:22" x14ac:dyDescent="0.2">
      <c r="A36" t="s">
        <v>50</v>
      </c>
      <c r="B36" t="s">
        <v>73</v>
      </c>
      <c r="C36">
        <v>6.22</v>
      </c>
      <c r="D36">
        <v>6</v>
      </c>
      <c r="E36">
        <v>4</v>
      </c>
      <c r="F36">
        <v>5.5</v>
      </c>
      <c r="H36">
        <v>0</v>
      </c>
      <c r="I36">
        <v>0</v>
      </c>
      <c r="J36">
        <v>0</v>
      </c>
      <c r="K36">
        <v>0</v>
      </c>
      <c r="L36">
        <v>0</v>
      </c>
      <c r="M36">
        <v>0</v>
      </c>
      <c r="N36">
        <v>0</v>
      </c>
    </row>
    <row r="37" spans="1:22" x14ac:dyDescent="0.2">
      <c r="A37" t="s">
        <v>50</v>
      </c>
      <c r="B37" t="s">
        <v>74</v>
      </c>
      <c r="C37">
        <v>0.09</v>
      </c>
      <c r="D37">
        <v>0</v>
      </c>
      <c r="E37">
        <v>1</v>
      </c>
      <c r="F37">
        <v>9</v>
      </c>
      <c r="H37">
        <v>0</v>
      </c>
      <c r="I37">
        <v>0</v>
      </c>
      <c r="J37">
        <v>0</v>
      </c>
      <c r="K37">
        <v>0</v>
      </c>
      <c r="L37">
        <v>0</v>
      </c>
      <c r="M37">
        <v>0</v>
      </c>
      <c r="N37">
        <v>0</v>
      </c>
    </row>
    <row r="38" spans="1:22" x14ac:dyDescent="0.2">
      <c r="A38" t="s">
        <v>50</v>
      </c>
      <c r="B38" t="s">
        <v>75</v>
      </c>
      <c r="C38">
        <v>0</v>
      </c>
      <c r="D38">
        <v>0</v>
      </c>
      <c r="E38">
        <v>0</v>
      </c>
      <c r="F38">
        <v>0</v>
      </c>
      <c r="H38">
        <v>0</v>
      </c>
      <c r="I38">
        <v>0</v>
      </c>
      <c r="J38">
        <v>0</v>
      </c>
      <c r="K38">
        <v>0</v>
      </c>
      <c r="L38">
        <v>0</v>
      </c>
      <c r="M38">
        <v>0</v>
      </c>
      <c r="N38">
        <v>0</v>
      </c>
    </row>
    <row r="39" spans="1:22" x14ac:dyDescent="0.2">
      <c r="A39" t="s">
        <v>50</v>
      </c>
      <c r="B39" t="s">
        <v>76</v>
      </c>
      <c r="C39">
        <v>0.62</v>
      </c>
      <c r="D39">
        <v>0</v>
      </c>
      <c r="E39">
        <v>12</v>
      </c>
      <c r="F39">
        <v>6</v>
      </c>
      <c r="H39">
        <v>0</v>
      </c>
      <c r="I39">
        <v>0</v>
      </c>
      <c r="J39">
        <v>0</v>
      </c>
      <c r="K39">
        <v>0</v>
      </c>
      <c r="L39">
        <v>0</v>
      </c>
      <c r="M39">
        <v>0</v>
      </c>
      <c r="N39">
        <v>0</v>
      </c>
    </row>
    <row r="40" spans="1:22" x14ac:dyDescent="0.2">
      <c r="A40" t="s">
        <v>50</v>
      </c>
      <c r="B40" t="s">
        <v>77</v>
      </c>
      <c r="C40">
        <v>0.03</v>
      </c>
      <c r="D40">
        <v>0</v>
      </c>
      <c r="E40">
        <v>0</v>
      </c>
      <c r="F40">
        <v>6</v>
      </c>
      <c r="H40">
        <v>0</v>
      </c>
      <c r="I40">
        <v>0</v>
      </c>
      <c r="J40">
        <v>0</v>
      </c>
      <c r="K40">
        <v>0</v>
      </c>
      <c r="L40">
        <v>0</v>
      </c>
      <c r="M40">
        <v>0</v>
      </c>
      <c r="N40">
        <v>0</v>
      </c>
    </row>
    <row r="41" spans="1:22" x14ac:dyDescent="0.2">
      <c r="A41" t="s">
        <v>50</v>
      </c>
      <c r="B41" t="s">
        <v>78</v>
      </c>
      <c r="C41">
        <v>31.68</v>
      </c>
      <c r="D41">
        <v>31</v>
      </c>
      <c r="E41">
        <v>13</v>
      </c>
      <c r="F41">
        <v>8</v>
      </c>
      <c r="H41">
        <v>0</v>
      </c>
      <c r="I41">
        <v>0</v>
      </c>
      <c r="J41">
        <v>0</v>
      </c>
      <c r="K41">
        <v>0</v>
      </c>
      <c r="L41">
        <v>0</v>
      </c>
      <c r="M41">
        <v>0</v>
      </c>
      <c r="N41">
        <v>0</v>
      </c>
    </row>
    <row r="42" spans="1:22" x14ac:dyDescent="0.2">
      <c r="A42" t="s">
        <v>79</v>
      </c>
      <c r="B42" t="s">
        <v>80</v>
      </c>
      <c r="C42">
        <v>15.81</v>
      </c>
      <c r="D42">
        <v>15</v>
      </c>
      <c r="E42">
        <v>16</v>
      </c>
      <c r="F42">
        <v>3.5</v>
      </c>
      <c r="G42" t="s">
        <v>55</v>
      </c>
      <c r="H42">
        <v>45</v>
      </c>
      <c r="I42">
        <v>12</v>
      </c>
      <c r="J42">
        <v>46.5</v>
      </c>
      <c r="K42">
        <v>46.5</v>
      </c>
      <c r="L42">
        <v>0</v>
      </c>
      <c r="M42">
        <v>46.5</v>
      </c>
      <c r="N42">
        <v>0</v>
      </c>
      <c r="O42">
        <v>8</v>
      </c>
      <c r="P42">
        <v>6</v>
      </c>
      <c r="Q42">
        <v>37</v>
      </c>
      <c r="R42">
        <v>6</v>
      </c>
      <c r="S42">
        <v>6</v>
      </c>
      <c r="T42">
        <v>8</v>
      </c>
      <c r="U42">
        <v>6</v>
      </c>
      <c r="V42">
        <v>10</v>
      </c>
    </row>
    <row r="43" spans="1:22" x14ac:dyDescent="0.2">
      <c r="A43" t="s">
        <v>79</v>
      </c>
      <c r="B43" t="s">
        <v>81</v>
      </c>
      <c r="C43">
        <v>13.47</v>
      </c>
      <c r="D43">
        <v>13</v>
      </c>
      <c r="E43">
        <v>9</v>
      </c>
      <c r="F43">
        <v>6</v>
      </c>
      <c r="G43" t="s">
        <v>82</v>
      </c>
      <c r="H43">
        <v>154</v>
      </c>
      <c r="I43">
        <v>0</v>
      </c>
      <c r="J43">
        <v>154</v>
      </c>
      <c r="K43">
        <v>154</v>
      </c>
      <c r="L43">
        <v>0</v>
      </c>
      <c r="M43">
        <v>154</v>
      </c>
      <c r="N43">
        <v>0</v>
      </c>
      <c r="S43">
        <v>1</v>
      </c>
      <c r="T43">
        <v>9</v>
      </c>
    </row>
    <row r="44" spans="1:22" x14ac:dyDescent="0.2">
      <c r="A44" t="s">
        <v>79</v>
      </c>
      <c r="B44" t="s">
        <v>83</v>
      </c>
      <c r="C44">
        <v>29.29</v>
      </c>
      <c r="D44">
        <v>29</v>
      </c>
      <c r="E44">
        <v>5</v>
      </c>
      <c r="F44">
        <v>9.5</v>
      </c>
      <c r="H44">
        <v>0</v>
      </c>
      <c r="I44">
        <v>0</v>
      </c>
      <c r="J44">
        <v>0</v>
      </c>
      <c r="K44">
        <v>0</v>
      </c>
      <c r="L44">
        <v>0</v>
      </c>
      <c r="M44">
        <v>0</v>
      </c>
      <c r="N44">
        <v>0</v>
      </c>
    </row>
    <row r="45" spans="1:22" x14ac:dyDescent="0.2">
      <c r="A45" t="s">
        <v>84</v>
      </c>
      <c r="B45" t="s">
        <v>85</v>
      </c>
      <c r="C45">
        <v>1.67</v>
      </c>
      <c r="D45">
        <v>1</v>
      </c>
      <c r="E45">
        <v>13</v>
      </c>
      <c r="F45">
        <v>4</v>
      </c>
      <c r="H45">
        <v>0</v>
      </c>
      <c r="I45">
        <v>0</v>
      </c>
      <c r="J45">
        <v>0</v>
      </c>
      <c r="K45">
        <v>0</v>
      </c>
      <c r="L45">
        <v>0</v>
      </c>
      <c r="M45">
        <v>0</v>
      </c>
      <c r="N45">
        <v>0</v>
      </c>
    </row>
    <row r="46" spans="1:22" x14ac:dyDescent="0.2">
      <c r="A46" t="s">
        <v>84</v>
      </c>
      <c r="B46" t="s">
        <v>86</v>
      </c>
      <c r="C46">
        <v>0.33</v>
      </c>
      <c r="D46">
        <v>0</v>
      </c>
      <c r="E46">
        <v>6</v>
      </c>
      <c r="F46">
        <v>8</v>
      </c>
      <c r="H46">
        <v>0</v>
      </c>
      <c r="I46">
        <v>0</v>
      </c>
      <c r="J46">
        <v>0</v>
      </c>
      <c r="K46">
        <v>0</v>
      </c>
      <c r="L46">
        <v>0</v>
      </c>
      <c r="M46">
        <v>0</v>
      </c>
      <c r="N46">
        <v>0</v>
      </c>
    </row>
    <row r="47" spans="1:22" x14ac:dyDescent="0.2">
      <c r="A47" t="s">
        <v>84</v>
      </c>
      <c r="B47" t="s">
        <v>87</v>
      </c>
      <c r="C47">
        <v>0.33</v>
      </c>
      <c r="D47">
        <v>0</v>
      </c>
      <c r="E47">
        <v>6</v>
      </c>
      <c r="F47">
        <v>8</v>
      </c>
      <c r="H47">
        <v>0</v>
      </c>
      <c r="I47">
        <v>0</v>
      </c>
      <c r="J47">
        <v>0</v>
      </c>
      <c r="K47">
        <v>0</v>
      </c>
      <c r="L47">
        <v>0</v>
      </c>
      <c r="M47">
        <v>0</v>
      </c>
      <c r="N47">
        <v>0</v>
      </c>
    </row>
    <row r="48" spans="1:22" x14ac:dyDescent="0.2">
      <c r="A48" t="s">
        <v>84</v>
      </c>
      <c r="B48" t="s">
        <v>88</v>
      </c>
      <c r="C48">
        <v>1.33</v>
      </c>
      <c r="D48">
        <v>1</v>
      </c>
      <c r="E48">
        <v>6</v>
      </c>
      <c r="F48">
        <v>8</v>
      </c>
      <c r="H48">
        <v>0</v>
      </c>
      <c r="I48">
        <v>0</v>
      </c>
      <c r="J48">
        <v>0</v>
      </c>
      <c r="K48">
        <v>0</v>
      </c>
      <c r="L48">
        <v>0</v>
      </c>
      <c r="M48">
        <v>0</v>
      </c>
      <c r="N48">
        <v>0</v>
      </c>
    </row>
    <row r="49" spans="1:14" x14ac:dyDescent="0.2">
      <c r="A49" t="s">
        <v>84</v>
      </c>
      <c r="B49" t="s">
        <v>89</v>
      </c>
      <c r="C49">
        <v>0.33</v>
      </c>
      <c r="D49">
        <v>0</v>
      </c>
      <c r="E49">
        <v>6</v>
      </c>
      <c r="F49">
        <v>8</v>
      </c>
      <c r="H49">
        <v>0</v>
      </c>
      <c r="I49">
        <v>0</v>
      </c>
      <c r="J49">
        <v>0</v>
      </c>
      <c r="K49">
        <v>0</v>
      </c>
      <c r="L49">
        <v>0</v>
      </c>
      <c r="M49">
        <v>0</v>
      </c>
      <c r="N49">
        <v>0</v>
      </c>
    </row>
    <row r="50" spans="1:14" x14ac:dyDescent="0.2">
      <c r="A50" t="s">
        <v>84</v>
      </c>
      <c r="B50" t="s">
        <v>90</v>
      </c>
      <c r="C50">
        <v>0.05</v>
      </c>
      <c r="D50">
        <v>0</v>
      </c>
      <c r="E50">
        <v>1</v>
      </c>
      <c r="F50">
        <v>0</v>
      </c>
      <c r="H50">
        <v>0</v>
      </c>
      <c r="I50">
        <v>0</v>
      </c>
      <c r="J50">
        <v>0</v>
      </c>
      <c r="K50">
        <v>0</v>
      </c>
      <c r="L50">
        <v>0</v>
      </c>
      <c r="M50">
        <v>0</v>
      </c>
      <c r="N50">
        <v>0</v>
      </c>
    </row>
    <row r="51" spans="1:14" x14ac:dyDescent="0.2">
      <c r="A51" t="s">
        <v>84</v>
      </c>
      <c r="B51" t="s">
        <v>91</v>
      </c>
      <c r="C51">
        <v>0.2</v>
      </c>
      <c r="D51">
        <v>0</v>
      </c>
      <c r="E51">
        <v>4</v>
      </c>
      <c r="F51">
        <v>0</v>
      </c>
      <c r="H51">
        <v>0</v>
      </c>
      <c r="I51">
        <v>0</v>
      </c>
      <c r="J51">
        <v>0</v>
      </c>
      <c r="K51">
        <v>0</v>
      </c>
      <c r="L51">
        <v>0</v>
      </c>
      <c r="M51">
        <v>0</v>
      </c>
      <c r="N51">
        <v>0</v>
      </c>
    </row>
    <row r="52" spans="1:14" x14ac:dyDescent="0.2">
      <c r="A52" t="s">
        <v>84</v>
      </c>
      <c r="B52" t="s">
        <v>92</v>
      </c>
      <c r="C52">
        <v>6</v>
      </c>
      <c r="D52">
        <v>6</v>
      </c>
      <c r="E52">
        <v>0</v>
      </c>
      <c r="F52">
        <v>0</v>
      </c>
      <c r="H52">
        <v>0</v>
      </c>
      <c r="I52">
        <v>0</v>
      </c>
      <c r="J52">
        <v>0</v>
      </c>
      <c r="K52">
        <v>0</v>
      </c>
      <c r="L52">
        <v>0</v>
      </c>
      <c r="M52">
        <v>0</v>
      </c>
      <c r="N52">
        <v>0</v>
      </c>
    </row>
    <row r="53" spans="1:14" x14ac:dyDescent="0.2">
      <c r="A53" t="s">
        <v>84</v>
      </c>
      <c r="B53" t="s">
        <v>93</v>
      </c>
      <c r="C53">
        <v>0.1</v>
      </c>
      <c r="D53">
        <v>0</v>
      </c>
      <c r="E53">
        <v>2</v>
      </c>
      <c r="F53">
        <v>0</v>
      </c>
      <c r="H53">
        <v>0</v>
      </c>
      <c r="I53">
        <v>0</v>
      </c>
      <c r="J53">
        <v>0</v>
      </c>
      <c r="K53">
        <v>0</v>
      </c>
      <c r="L53">
        <v>0</v>
      </c>
      <c r="M53">
        <v>0</v>
      </c>
      <c r="N53">
        <v>0</v>
      </c>
    </row>
    <row r="54" spans="1:14" x14ac:dyDescent="0.2">
      <c r="A54" t="s">
        <v>84</v>
      </c>
      <c r="B54" t="s">
        <v>94</v>
      </c>
      <c r="C54">
        <v>1.5</v>
      </c>
      <c r="D54">
        <v>1</v>
      </c>
      <c r="E54">
        <v>10</v>
      </c>
      <c r="F54">
        <v>0</v>
      </c>
      <c r="H54">
        <v>0</v>
      </c>
      <c r="I54">
        <v>0</v>
      </c>
      <c r="J54">
        <v>0</v>
      </c>
      <c r="K54">
        <v>0</v>
      </c>
      <c r="L54">
        <v>0</v>
      </c>
      <c r="M54">
        <v>0</v>
      </c>
      <c r="N54">
        <v>0</v>
      </c>
    </row>
    <row r="55" spans="1:14" x14ac:dyDescent="0.2">
      <c r="A55" t="s">
        <v>84</v>
      </c>
      <c r="B55" t="s">
        <v>95</v>
      </c>
      <c r="C55">
        <v>0.15</v>
      </c>
      <c r="D55">
        <v>0</v>
      </c>
      <c r="E55">
        <v>3</v>
      </c>
      <c r="F55">
        <v>0</v>
      </c>
      <c r="H55">
        <v>0</v>
      </c>
      <c r="I55">
        <v>0</v>
      </c>
      <c r="J55">
        <v>0</v>
      </c>
      <c r="K55">
        <v>0</v>
      </c>
      <c r="L55">
        <v>0</v>
      </c>
      <c r="M55">
        <v>0</v>
      </c>
      <c r="N55">
        <v>0</v>
      </c>
    </row>
    <row r="56" spans="1:14" x14ac:dyDescent="0.2">
      <c r="A56" t="s">
        <v>84</v>
      </c>
      <c r="B56" t="s">
        <v>96</v>
      </c>
      <c r="C56">
        <v>0.2</v>
      </c>
      <c r="D56">
        <v>0</v>
      </c>
      <c r="E56">
        <v>4</v>
      </c>
      <c r="F56">
        <v>0</v>
      </c>
      <c r="H56">
        <v>0</v>
      </c>
      <c r="I56">
        <v>0</v>
      </c>
      <c r="J56">
        <v>0</v>
      </c>
      <c r="K56">
        <v>0</v>
      </c>
      <c r="L56">
        <v>0</v>
      </c>
      <c r="M56">
        <v>0</v>
      </c>
      <c r="N56">
        <v>0</v>
      </c>
    </row>
    <row r="57" spans="1:14" x14ac:dyDescent="0.2">
      <c r="A57" t="s">
        <v>84</v>
      </c>
      <c r="B57" t="s">
        <v>97</v>
      </c>
      <c r="C57">
        <v>0.25</v>
      </c>
      <c r="D57">
        <v>0</v>
      </c>
      <c r="E57">
        <v>5</v>
      </c>
      <c r="F57">
        <v>0</v>
      </c>
      <c r="H57">
        <v>0</v>
      </c>
      <c r="I57">
        <v>0</v>
      </c>
      <c r="J57">
        <v>0</v>
      </c>
      <c r="K57">
        <v>0</v>
      </c>
      <c r="L57">
        <v>0</v>
      </c>
      <c r="M57">
        <v>0</v>
      </c>
      <c r="N57">
        <v>0</v>
      </c>
    </row>
    <row r="58" spans="1:14" x14ac:dyDescent="0.2">
      <c r="A58" t="s">
        <v>84</v>
      </c>
      <c r="B58" t="s">
        <v>98</v>
      </c>
      <c r="C58">
        <v>0.33</v>
      </c>
      <c r="D58">
        <v>0</v>
      </c>
      <c r="E58">
        <v>6</v>
      </c>
      <c r="F58">
        <v>8</v>
      </c>
      <c r="H58">
        <v>0</v>
      </c>
      <c r="I58">
        <v>0</v>
      </c>
      <c r="J58">
        <v>0</v>
      </c>
      <c r="K58">
        <v>0</v>
      </c>
      <c r="L58">
        <v>0</v>
      </c>
      <c r="M58">
        <v>0</v>
      </c>
      <c r="N58">
        <v>0</v>
      </c>
    </row>
    <row r="59" spans="1:14" x14ac:dyDescent="0.2">
      <c r="A59" t="s">
        <v>84</v>
      </c>
      <c r="B59" t="s">
        <v>99</v>
      </c>
      <c r="C59">
        <v>0.1</v>
      </c>
      <c r="D59">
        <v>0</v>
      </c>
      <c r="E59">
        <v>2</v>
      </c>
      <c r="F59">
        <v>0</v>
      </c>
      <c r="H59">
        <v>0</v>
      </c>
      <c r="I59">
        <v>0</v>
      </c>
      <c r="J59">
        <v>0</v>
      </c>
      <c r="K59">
        <v>0</v>
      </c>
      <c r="L59">
        <v>0</v>
      </c>
      <c r="M59">
        <v>0</v>
      </c>
      <c r="N59">
        <v>0</v>
      </c>
    </row>
    <row r="60" spans="1:14" x14ac:dyDescent="0.2">
      <c r="A60" t="s">
        <v>84</v>
      </c>
      <c r="B60" t="s">
        <v>100</v>
      </c>
      <c r="C60">
        <v>0.5</v>
      </c>
      <c r="D60">
        <v>0</v>
      </c>
      <c r="E60">
        <v>10</v>
      </c>
      <c r="F60">
        <v>0</v>
      </c>
      <c r="H60">
        <v>0</v>
      </c>
      <c r="I60">
        <v>0</v>
      </c>
      <c r="J60">
        <v>0</v>
      </c>
      <c r="K60">
        <v>0</v>
      </c>
      <c r="L60">
        <v>0</v>
      </c>
      <c r="M60">
        <v>0</v>
      </c>
      <c r="N60">
        <v>0</v>
      </c>
    </row>
    <row r="61" spans="1:14" x14ac:dyDescent="0.2">
      <c r="A61" t="s">
        <v>84</v>
      </c>
      <c r="B61" t="s">
        <v>101</v>
      </c>
      <c r="C61">
        <v>0.05</v>
      </c>
      <c r="D61">
        <v>0</v>
      </c>
      <c r="E61">
        <v>1</v>
      </c>
      <c r="F61">
        <v>0</v>
      </c>
      <c r="H61">
        <v>0</v>
      </c>
      <c r="I61">
        <v>0</v>
      </c>
      <c r="J61">
        <v>0</v>
      </c>
      <c r="K61">
        <v>0</v>
      </c>
      <c r="L61">
        <v>0</v>
      </c>
      <c r="M61">
        <v>0</v>
      </c>
      <c r="N61">
        <v>0</v>
      </c>
    </row>
    <row r="62" spans="1:14" x14ac:dyDescent="0.2">
      <c r="A62" t="s">
        <v>84</v>
      </c>
      <c r="B62" t="s">
        <v>102</v>
      </c>
      <c r="C62">
        <v>0.25</v>
      </c>
      <c r="D62">
        <v>0</v>
      </c>
      <c r="E62">
        <v>5</v>
      </c>
      <c r="F62">
        <v>0</v>
      </c>
      <c r="H62">
        <v>0</v>
      </c>
      <c r="I62">
        <v>0</v>
      </c>
      <c r="J62">
        <v>0</v>
      </c>
      <c r="K62">
        <v>0</v>
      </c>
      <c r="L62">
        <v>0</v>
      </c>
      <c r="M62">
        <v>0</v>
      </c>
      <c r="N62">
        <v>0</v>
      </c>
    </row>
    <row r="63" spans="1:14" x14ac:dyDescent="0.2">
      <c r="A63" t="s">
        <v>84</v>
      </c>
      <c r="B63" t="s">
        <v>103</v>
      </c>
      <c r="C63">
        <v>0.67</v>
      </c>
      <c r="D63">
        <v>0</v>
      </c>
      <c r="E63">
        <v>13</v>
      </c>
      <c r="F63">
        <v>4</v>
      </c>
      <c r="H63">
        <v>0</v>
      </c>
      <c r="I63">
        <v>0</v>
      </c>
      <c r="J63">
        <v>0</v>
      </c>
      <c r="K63">
        <v>0</v>
      </c>
      <c r="L63">
        <v>0</v>
      </c>
      <c r="M63">
        <v>0</v>
      </c>
      <c r="N63">
        <v>0</v>
      </c>
    </row>
    <row r="64" spans="1:14" x14ac:dyDescent="0.2">
      <c r="A64" t="s">
        <v>84</v>
      </c>
      <c r="B64" t="s">
        <v>104</v>
      </c>
      <c r="C64">
        <v>0.1</v>
      </c>
      <c r="D64">
        <v>0</v>
      </c>
      <c r="E64">
        <v>2</v>
      </c>
      <c r="F64">
        <v>0</v>
      </c>
      <c r="H64">
        <v>0</v>
      </c>
      <c r="I64">
        <v>0</v>
      </c>
      <c r="J64">
        <v>0</v>
      </c>
      <c r="K64">
        <v>0</v>
      </c>
      <c r="L64">
        <v>0</v>
      </c>
      <c r="M64">
        <v>0</v>
      </c>
      <c r="N64">
        <v>0</v>
      </c>
    </row>
    <row r="65" spans="1:14" x14ac:dyDescent="0.2">
      <c r="A65" t="s">
        <v>84</v>
      </c>
      <c r="B65" t="s">
        <v>105</v>
      </c>
      <c r="C65">
        <v>0.1</v>
      </c>
      <c r="D65">
        <v>0</v>
      </c>
      <c r="E65">
        <v>2</v>
      </c>
      <c r="F65">
        <v>0</v>
      </c>
      <c r="H65">
        <v>0</v>
      </c>
      <c r="I65">
        <v>0</v>
      </c>
      <c r="J65">
        <v>0</v>
      </c>
      <c r="K65">
        <v>0</v>
      </c>
      <c r="L65">
        <v>0</v>
      </c>
      <c r="M65">
        <v>0</v>
      </c>
      <c r="N65">
        <v>0</v>
      </c>
    </row>
    <row r="66" spans="1:14" x14ac:dyDescent="0.2">
      <c r="A66" t="s">
        <v>84</v>
      </c>
      <c r="B66" t="s">
        <v>106</v>
      </c>
      <c r="C66">
        <v>0.1</v>
      </c>
      <c r="D66">
        <v>0</v>
      </c>
      <c r="E66">
        <v>2</v>
      </c>
      <c r="F66">
        <v>0</v>
      </c>
      <c r="H66">
        <v>0</v>
      </c>
      <c r="I66">
        <v>0</v>
      </c>
      <c r="J66">
        <v>0</v>
      </c>
      <c r="K66">
        <v>0</v>
      </c>
      <c r="L66">
        <v>0</v>
      </c>
      <c r="M66">
        <v>0</v>
      </c>
      <c r="N66">
        <v>0</v>
      </c>
    </row>
    <row r="67" spans="1:14" x14ac:dyDescent="0.2">
      <c r="A67" t="s">
        <v>84</v>
      </c>
      <c r="B67" t="s">
        <v>107</v>
      </c>
      <c r="C67">
        <v>0.25</v>
      </c>
      <c r="D67">
        <v>0</v>
      </c>
      <c r="E67">
        <v>5</v>
      </c>
      <c r="F67">
        <v>0</v>
      </c>
      <c r="H67">
        <v>0</v>
      </c>
      <c r="I67">
        <v>0</v>
      </c>
      <c r="J67">
        <v>0</v>
      </c>
      <c r="K67">
        <v>0</v>
      </c>
      <c r="L67">
        <v>0</v>
      </c>
      <c r="M67">
        <v>0</v>
      </c>
      <c r="N67">
        <v>0</v>
      </c>
    </row>
    <row r="68" spans="1:14" x14ac:dyDescent="0.2">
      <c r="A68" t="s">
        <v>84</v>
      </c>
      <c r="B68" t="s">
        <v>108</v>
      </c>
      <c r="C68">
        <v>2</v>
      </c>
      <c r="D68">
        <v>2</v>
      </c>
      <c r="E68">
        <v>0</v>
      </c>
      <c r="F68">
        <v>0</v>
      </c>
      <c r="H68">
        <v>0</v>
      </c>
      <c r="I68">
        <v>0</v>
      </c>
      <c r="J68">
        <v>0</v>
      </c>
      <c r="K68">
        <v>0</v>
      </c>
      <c r="L68">
        <v>0</v>
      </c>
      <c r="M68">
        <v>0</v>
      </c>
      <c r="N68">
        <v>0</v>
      </c>
    </row>
    <row r="69" spans="1:14" x14ac:dyDescent="0.2">
      <c r="A69" t="s">
        <v>109</v>
      </c>
      <c r="B69" t="s">
        <v>110</v>
      </c>
      <c r="C69">
        <v>0.03</v>
      </c>
      <c r="D69">
        <v>0</v>
      </c>
      <c r="E69">
        <v>0</v>
      </c>
      <c r="F69">
        <v>6</v>
      </c>
      <c r="H69">
        <v>0</v>
      </c>
      <c r="I69">
        <v>0</v>
      </c>
      <c r="J69">
        <v>0</v>
      </c>
      <c r="K69">
        <v>0</v>
      </c>
      <c r="L69">
        <v>0</v>
      </c>
      <c r="M69">
        <v>0</v>
      </c>
      <c r="N69">
        <v>0</v>
      </c>
    </row>
    <row r="70" spans="1:14" x14ac:dyDescent="0.2">
      <c r="A70" t="s">
        <v>109</v>
      </c>
      <c r="B70" t="s">
        <v>111</v>
      </c>
      <c r="C70">
        <v>0.03</v>
      </c>
      <c r="D70">
        <v>0</v>
      </c>
      <c r="E70">
        <v>0</v>
      </c>
      <c r="F70">
        <v>6</v>
      </c>
      <c r="H70">
        <v>0</v>
      </c>
      <c r="I70">
        <v>0</v>
      </c>
      <c r="J70">
        <v>0</v>
      </c>
      <c r="K70">
        <v>0</v>
      </c>
      <c r="L70">
        <v>0</v>
      </c>
      <c r="M70">
        <v>0</v>
      </c>
      <c r="N70">
        <v>0</v>
      </c>
    </row>
    <row r="71" spans="1:14" x14ac:dyDescent="0.2">
      <c r="A71" t="s">
        <v>109</v>
      </c>
      <c r="B71" t="s">
        <v>112</v>
      </c>
      <c r="C71">
        <v>0.03</v>
      </c>
      <c r="D71">
        <v>0</v>
      </c>
      <c r="E71">
        <v>0</v>
      </c>
      <c r="F71">
        <v>8</v>
      </c>
      <c r="H71">
        <v>0</v>
      </c>
      <c r="I71">
        <v>0</v>
      </c>
      <c r="J71">
        <v>0</v>
      </c>
      <c r="K71">
        <v>0</v>
      </c>
      <c r="L71">
        <v>0</v>
      </c>
      <c r="M71">
        <v>0</v>
      </c>
      <c r="N71">
        <v>0</v>
      </c>
    </row>
    <row r="72" spans="1:14" x14ac:dyDescent="0.2">
      <c r="A72" t="s">
        <v>109</v>
      </c>
      <c r="B72" t="s">
        <v>113</v>
      </c>
      <c r="C72">
        <v>0.05</v>
      </c>
      <c r="D72">
        <v>0</v>
      </c>
      <c r="E72">
        <v>1</v>
      </c>
      <c r="F72">
        <v>0</v>
      </c>
      <c r="H72">
        <v>0</v>
      </c>
      <c r="I72">
        <v>0</v>
      </c>
      <c r="J72">
        <v>0</v>
      </c>
      <c r="K72">
        <v>0</v>
      </c>
      <c r="L72">
        <v>0</v>
      </c>
      <c r="M72">
        <v>0</v>
      </c>
      <c r="N72">
        <v>0</v>
      </c>
    </row>
    <row r="73" spans="1:14" x14ac:dyDescent="0.2">
      <c r="A73" t="s">
        <v>109</v>
      </c>
      <c r="B73" t="s">
        <v>114</v>
      </c>
      <c r="C73">
        <v>0.05</v>
      </c>
      <c r="D73">
        <v>0</v>
      </c>
      <c r="E73">
        <v>1</v>
      </c>
      <c r="F73">
        <v>0</v>
      </c>
      <c r="H73">
        <v>0</v>
      </c>
      <c r="I73">
        <v>0</v>
      </c>
      <c r="J73">
        <v>0</v>
      </c>
      <c r="K73">
        <v>0</v>
      </c>
      <c r="L73">
        <v>0</v>
      </c>
      <c r="M73">
        <v>0</v>
      </c>
      <c r="N73">
        <v>0</v>
      </c>
    </row>
    <row r="74" spans="1:14" x14ac:dyDescent="0.2">
      <c r="A74" t="s">
        <v>109</v>
      </c>
      <c r="B74" t="s">
        <v>115</v>
      </c>
      <c r="C74">
        <v>0.03</v>
      </c>
      <c r="D74">
        <v>0</v>
      </c>
      <c r="E74">
        <v>0</v>
      </c>
      <c r="F74">
        <v>6</v>
      </c>
      <c r="H74">
        <v>0</v>
      </c>
      <c r="I74">
        <v>0</v>
      </c>
      <c r="J74">
        <v>0</v>
      </c>
      <c r="K74">
        <v>0</v>
      </c>
      <c r="L74">
        <v>0</v>
      </c>
      <c r="M74">
        <v>0</v>
      </c>
      <c r="N74">
        <v>0</v>
      </c>
    </row>
    <row r="75" spans="1:14" x14ac:dyDescent="0.2">
      <c r="A75" t="s">
        <v>109</v>
      </c>
      <c r="B75" t="s">
        <v>116</v>
      </c>
      <c r="C75">
        <v>0.03</v>
      </c>
      <c r="D75">
        <v>0</v>
      </c>
      <c r="E75">
        <v>0</v>
      </c>
      <c r="F75">
        <v>6</v>
      </c>
      <c r="H75">
        <v>0</v>
      </c>
      <c r="I75">
        <v>0</v>
      </c>
      <c r="J75">
        <v>0</v>
      </c>
      <c r="K75">
        <v>0</v>
      </c>
      <c r="L75">
        <v>0</v>
      </c>
      <c r="M75">
        <v>0</v>
      </c>
      <c r="N75">
        <v>0</v>
      </c>
    </row>
    <row r="76" spans="1:14" x14ac:dyDescent="0.2">
      <c r="A76" t="s">
        <v>109</v>
      </c>
      <c r="B76" t="s">
        <v>117</v>
      </c>
      <c r="C76">
        <v>0.01</v>
      </c>
      <c r="D76">
        <v>0</v>
      </c>
      <c r="E76">
        <v>0</v>
      </c>
      <c r="F76">
        <v>3</v>
      </c>
      <c r="H76">
        <v>0</v>
      </c>
      <c r="I76">
        <v>0</v>
      </c>
      <c r="J76">
        <v>0</v>
      </c>
      <c r="K76">
        <v>0</v>
      </c>
      <c r="L76">
        <v>0</v>
      </c>
      <c r="M76">
        <v>0</v>
      </c>
      <c r="N76">
        <v>0</v>
      </c>
    </row>
    <row r="77" spans="1:14" x14ac:dyDescent="0.2">
      <c r="A77" t="s">
        <v>109</v>
      </c>
      <c r="B77" t="s">
        <v>118</v>
      </c>
      <c r="C77">
        <v>0.05</v>
      </c>
      <c r="D77">
        <v>0</v>
      </c>
      <c r="E77">
        <v>1</v>
      </c>
      <c r="F77">
        <v>0</v>
      </c>
      <c r="H77">
        <v>0</v>
      </c>
      <c r="I77">
        <v>0</v>
      </c>
      <c r="J77">
        <v>0</v>
      </c>
      <c r="K77">
        <v>0</v>
      </c>
      <c r="L77">
        <v>0</v>
      </c>
      <c r="M77">
        <v>0</v>
      </c>
      <c r="N77">
        <v>0</v>
      </c>
    </row>
    <row r="78" spans="1:14" x14ac:dyDescent="0.2">
      <c r="A78" t="s">
        <v>109</v>
      </c>
      <c r="B78" t="s">
        <v>119</v>
      </c>
      <c r="C78">
        <v>0.01</v>
      </c>
      <c r="D78">
        <v>0</v>
      </c>
      <c r="E78">
        <v>0</v>
      </c>
      <c r="F78">
        <v>3</v>
      </c>
      <c r="H78">
        <v>0</v>
      </c>
      <c r="I78">
        <v>0</v>
      </c>
      <c r="J78">
        <v>0</v>
      </c>
      <c r="K78">
        <v>0</v>
      </c>
      <c r="L78">
        <v>0</v>
      </c>
      <c r="M78">
        <v>0</v>
      </c>
      <c r="N78">
        <v>0</v>
      </c>
    </row>
    <row r="79" spans="1:14" x14ac:dyDescent="0.2">
      <c r="A79" t="s">
        <v>109</v>
      </c>
      <c r="B79" t="s">
        <v>120</v>
      </c>
      <c r="C79">
        <v>0.03</v>
      </c>
      <c r="D79">
        <v>0</v>
      </c>
      <c r="E79">
        <v>0</v>
      </c>
      <c r="F79">
        <v>6</v>
      </c>
      <c r="H79">
        <v>0</v>
      </c>
      <c r="I79">
        <v>0</v>
      </c>
      <c r="J79">
        <v>0</v>
      </c>
      <c r="K79">
        <v>0</v>
      </c>
      <c r="L79">
        <v>0</v>
      </c>
      <c r="M79">
        <v>0</v>
      </c>
      <c r="N79">
        <v>0</v>
      </c>
    </row>
    <row r="80" spans="1:14" x14ac:dyDescent="0.2">
      <c r="A80" t="s">
        <v>109</v>
      </c>
      <c r="B80" t="s">
        <v>121</v>
      </c>
      <c r="C80">
        <v>0.01</v>
      </c>
      <c r="D80">
        <v>0</v>
      </c>
      <c r="E80">
        <v>0</v>
      </c>
      <c r="F80">
        <v>3</v>
      </c>
      <c r="H80">
        <v>0</v>
      </c>
      <c r="I80">
        <v>0</v>
      </c>
      <c r="J80">
        <v>0</v>
      </c>
      <c r="K80">
        <v>0</v>
      </c>
      <c r="L80">
        <v>0</v>
      </c>
      <c r="M80">
        <v>0</v>
      </c>
      <c r="N80">
        <v>0</v>
      </c>
    </row>
    <row r="81" spans="1:14" x14ac:dyDescent="0.2">
      <c r="A81" t="s">
        <v>109</v>
      </c>
      <c r="B81" t="s">
        <v>122</v>
      </c>
      <c r="C81">
        <v>0.03</v>
      </c>
      <c r="D81">
        <v>0</v>
      </c>
      <c r="E81">
        <v>0</v>
      </c>
      <c r="F81">
        <v>6</v>
      </c>
      <c r="H81">
        <v>0</v>
      </c>
      <c r="I81">
        <v>0</v>
      </c>
      <c r="J81">
        <v>0</v>
      </c>
      <c r="K81">
        <v>0</v>
      </c>
      <c r="L81">
        <v>0</v>
      </c>
      <c r="M81">
        <v>0</v>
      </c>
      <c r="N81">
        <v>0</v>
      </c>
    </row>
    <row r="82" spans="1:14" x14ac:dyDescent="0.2">
      <c r="A82" t="s">
        <v>109</v>
      </c>
      <c r="B82" t="s">
        <v>123</v>
      </c>
      <c r="C82">
        <v>0.01</v>
      </c>
      <c r="D82">
        <v>0</v>
      </c>
      <c r="E82">
        <v>0</v>
      </c>
      <c r="F82">
        <v>3</v>
      </c>
      <c r="H82">
        <v>0</v>
      </c>
      <c r="I82">
        <v>0</v>
      </c>
      <c r="J82">
        <v>0</v>
      </c>
      <c r="K82">
        <v>0</v>
      </c>
      <c r="L82">
        <v>0</v>
      </c>
      <c r="M82">
        <v>0</v>
      </c>
      <c r="N82">
        <v>0</v>
      </c>
    </row>
    <row r="83" spans="1:14" x14ac:dyDescent="0.2">
      <c r="A83" t="s">
        <v>109</v>
      </c>
      <c r="B83" t="s">
        <v>124</v>
      </c>
      <c r="C83">
        <v>0.03</v>
      </c>
      <c r="D83">
        <v>0</v>
      </c>
      <c r="E83">
        <v>0</v>
      </c>
      <c r="F83">
        <v>6</v>
      </c>
      <c r="H83">
        <v>0</v>
      </c>
      <c r="I83">
        <v>0</v>
      </c>
      <c r="J83">
        <v>0</v>
      </c>
      <c r="K83">
        <v>0</v>
      </c>
      <c r="L83">
        <v>0</v>
      </c>
      <c r="M83">
        <v>0</v>
      </c>
      <c r="N83">
        <v>0</v>
      </c>
    </row>
    <row r="84" spans="1:14" x14ac:dyDescent="0.2">
      <c r="A84" t="s">
        <v>109</v>
      </c>
      <c r="B84" t="s">
        <v>125</v>
      </c>
      <c r="C84">
        <v>0.03</v>
      </c>
      <c r="D84">
        <v>0</v>
      </c>
      <c r="E84">
        <v>0</v>
      </c>
      <c r="F84">
        <v>6</v>
      </c>
      <c r="H84">
        <v>0</v>
      </c>
      <c r="I84">
        <v>0</v>
      </c>
      <c r="J84">
        <v>0</v>
      </c>
      <c r="K84">
        <v>0</v>
      </c>
      <c r="L84">
        <v>0</v>
      </c>
      <c r="M84">
        <v>0</v>
      </c>
      <c r="N84">
        <v>0</v>
      </c>
    </row>
    <row r="85" spans="1:14" x14ac:dyDescent="0.2">
      <c r="A85" t="s">
        <v>109</v>
      </c>
      <c r="B85" t="s">
        <v>126</v>
      </c>
      <c r="C85">
        <v>0.03</v>
      </c>
      <c r="D85">
        <v>0</v>
      </c>
      <c r="E85">
        <v>0</v>
      </c>
      <c r="F85">
        <v>6</v>
      </c>
      <c r="H85">
        <v>0</v>
      </c>
      <c r="I85">
        <v>0</v>
      </c>
      <c r="J85">
        <v>0</v>
      </c>
      <c r="K85">
        <v>0</v>
      </c>
      <c r="L85">
        <v>0</v>
      </c>
      <c r="M85">
        <v>0</v>
      </c>
      <c r="N85">
        <v>0</v>
      </c>
    </row>
    <row r="86" spans="1:14" x14ac:dyDescent="0.2">
      <c r="A86" t="s">
        <v>109</v>
      </c>
      <c r="B86" t="s">
        <v>127</v>
      </c>
      <c r="C86">
        <v>0.1</v>
      </c>
      <c r="D86">
        <v>0</v>
      </c>
      <c r="E86">
        <v>2</v>
      </c>
      <c r="F86">
        <v>0</v>
      </c>
      <c r="H86">
        <v>0</v>
      </c>
      <c r="I86">
        <v>0</v>
      </c>
      <c r="J86">
        <v>0</v>
      </c>
      <c r="K86">
        <v>0</v>
      </c>
      <c r="L86">
        <v>0</v>
      </c>
      <c r="M86">
        <v>0</v>
      </c>
      <c r="N86">
        <v>0</v>
      </c>
    </row>
    <row r="87" spans="1:14" x14ac:dyDescent="0.2">
      <c r="A87" t="s">
        <v>109</v>
      </c>
      <c r="B87" t="s">
        <v>128</v>
      </c>
      <c r="C87">
        <v>0.05</v>
      </c>
      <c r="D87">
        <v>0</v>
      </c>
      <c r="E87">
        <v>1</v>
      </c>
      <c r="F87">
        <v>0</v>
      </c>
      <c r="H87">
        <v>0</v>
      </c>
      <c r="I87">
        <v>0</v>
      </c>
      <c r="J87">
        <v>0</v>
      </c>
      <c r="K87">
        <v>0</v>
      </c>
      <c r="L87">
        <v>0</v>
      </c>
      <c r="M87">
        <v>0</v>
      </c>
      <c r="N87">
        <v>0</v>
      </c>
    </row>
    <row r="88" spans="1:14" x14ac:dyDescent="0.2">
      <c r="A88" t="s">
        <v>109</v>
      </c>
      <c r="B88" t="s">
        <v>129</v>
      </c>
      <c r="C88">
        <v>0.01</v>
      </c>
      <c r="D88">
        <v>0</v>
      </c>
      <c r="E88">
        <v>0</v>
      </c>
      <c r="F88">
        <v>3</v>
      </c>
      <c r="H88">
        <v>0</v>
      </c>
      <c r="I88">
        <v>0</v>
      </c>
      <c r="J88">
        <v>0</v>
      </c>
      <c r="K88">
        <v>0</v>
      </c>
      <c r="L88">
        <v>0</v>
      </c>
      <c r="M88">
        <v>0</v>
      </c>
      <c r="N88">
        <v>0</v>
      </c>
    </row>
    <row r="89" spans="1:14" x14ac:dyDescent="0.2">
      <c r="A89" t="s">
        <v>109</v>
      </c>
      <c r="B89" t="s">
        <v>130</v>
      </c>
      <c r="C89">
        <v>0.01</v>
      </c>
      <c r="D89">
        <v>0</v>
      </c>
      <c r="E89">
        <v>0</v>
      </c>
      <c r="F89">
        <v>3</v>
      </c>
      <c r="H89">
        <v>0</v>
      </c>
      <c r="I89">
        <v>0</v>
      </c>
      <c r="J89">
        <v>0</v>
      </c>
      <c r="K89">
        <v>0</v>
      </c>
      <c r="L89">
        <v>0</v>
      </c>
      <c r="M89">
        <v>0</v>
      </c>
      <c r="N89">
        <v>0</v>
      </c>
    </row>
    <row r="90" spans="1:14" x14ac:dyDescent="0.2">
      <c r="A90" t="s">
        <v>109</v>
      </c>
      <c r="B90" t="s">
        <v>131</v>
      </c>
      <c r="C90">
        <v>0.05</v>
      </c>
      <c r="D90">
        <v>0</v>
      </c>
      <c r="E90">
        <v>1</v>
      </c>
      <c r="F90">
        <v>0</v>
      </c>
      <c r="H90">
        <v>0</v>
      </c>
      <c r="I90">
        <v>0</v>
      </c>
      <c r="J90">
        <v>0</v>
      </c>
      <c r="K90">
        <v>0</v>
      </c>
      <c r="L90">
        <v>0</v>
      </c>
      <c r="M90">
        <v>0</v>
      </c>
      <c r="N90">
        <v>0</v>
      </c>
    </row>
    <row r="91" spans="1:14" x14ac:dyDescent="0.2">
      <c r="A91" t="s">
        <v>109</v>
      </c>
      <c r="B91" t="s">
        <v>132</v>
      </c>
      <c r="C91">
        <v>0.01</v>
      </c>
      <c r="D91">
        <v>0</v>
      </c>
      <c r="E91">
        <v>0</v>
      </c>
      <c r="F91">
        <v>3</v>
      </c>
      <c r="H91">
        <v>0</v>
      </c>
      <c r="I91">
        <v>0</v>
      </c>
      <c r="J91">
        <v>0</v>
      </c>
      <c r="K91">
        <v>0</v>
      </c>
      <c r="L91">
        <v>0</v>
      </c>
      <c r="M91">
        <v>0</v>
      </c>
      <c r="N91">
        <v>0</v>
      </c>
    </row>
    <row r="92" spans="1:14" x14ac:dyDescent="0.2">
      <c r="A92" t="s">
        <v>109</v>
      </c>
      <c r="B92" t="s">
        <v>133</v>
      </c>
      <c r="C92">
        <v>0.03</v>
      </c>
      <c r="D92">
        <v>0</v>
      </c>
      <c r="E92">
        <v>0</v>
      </c>
      <c r="F92">
        <v>6</v>
      </c>
      <c r="H92">
        <v>0</v>
      </c>
      <c r="I92">
        <v>0</v>
      </c>
      <c r="J92">
        <v>0</v>
      </c>
      <c r="K92">
        <v>0</v>
      </c>
      <c r="L92">
        <v>0</v>
      </c>
      <c r="M92">
        <v>0</v>
      </c>
      <c r="N92">
        <v>0</v>
      </c>
    </row>
    <row r="93" spans="1:14" x14ac:dyDescent="0.2">
      <c r="A93" t="s">
        <v>109</v>
      </c>
      <c r="B93" t="s">
        <v>134</v>
      </c>
      <c r="C93">
        <v>0.25</v>
      </c>
      <c r="D93">
        <v>0</v>
      </c>
      <c r="E93">
        <v>5</v>
      </c>
      <c r="F93">
        <v>0</v>
      </c>
      <c r="H93">
        <v>0</v>
      </c>
      <c r="I93">
        <v>0</v>
      </c>
      <c r="J93">
        <v>0</v>
      </c>
      <c r="K93">
        <v>0</v>
      </c>
      <c r="L93">
        <v>0</v>
      </c>
      <c r="M93">
        <v>0</v>
      </c>
      <c r="N93">
        <v>0</v>
      </c>
    </row>
    <row r="94" spans="1:14" x14ac:dyDescent="0.2">
      <c r="A94" t="s">
        <v>109</v>
      </c>
      <c r="B94" t="s">
        <v>135</v>
      </c>
      <c r="C94">
        <v>0.08</v>
      </c>
      <c r="D94">
        <v>0</v>
      </c>
      <c r="E94">
        <v>1</v>
      </c>
      <c r="F94">
        <v>6</v>
      </c>
      <c r="G94" t="s">
        <v>82</v>
      </c>
      <c r="H94">
        <v>0</v>
      </c>
      <c r="I94">
        <v>0</v>
      </c>
      <c r="J94">
        <v>0</v>
      </c>
      <c r="K94">
        <v>0</v>
      </c>
      <c r="L94">
        <v>0</v>
      </c>
      <c r="M94">
        <v>0</v>
      </c>
      <c r="N94">
        <v>0</v>
      </c>
    </row>
    <row r="95" spans="1:14" x14ac:dyDescent="0.2">
      <c r="A95" t="s">
        <v>109</v>
      </c>
      <c r="B95" t="s">
        <v>136</v>
      </c>
      <c r="C95">
        <v>0.05</v>
      </c>
      <c r="D95">
        <v>0</v>
      </c>
      <c r="E95">
        <v>1</v>
      </c>
      <c r="F95">
        <v>0</v>
      </c>
      <c r="H95">
        <v>0</v>
      </c>
      <c r="I95">
        <v>0</v>
      </c>
      <c r="J95">
        <v>0</v>
      </c>
      <c r="K95">
        <v>0</v>
      </c>
      <c r="L95">
        <v>0</v>
      </c>
      <c r="M95">
        <v>0</v>
      </c>
      <c r="N95">
        <v>0</v>
      </c>
    </row>
    <row r="96" spans="1:14" x14ac:dyDescent="0.2">
      <c r="A96" t="s">
        <v>109</v>
      </c>
      <c r="B96" t="s">
        <v>137</v>
      </c>
      <c r="C96">
        <v>0.05</v>
      </c>
      <c r="D96">
        <v>0</v>
      </c>
      <c r="E96">
        <v>1</v>
      </c>
      <c r="F96">
        <v>0</v>
      </c>
      <c r="H96">
        <v>0</v>
      </c>
      <c r="I96">
        <v>0</v>
      </c>
      <c r="J96">
        <v>0</v>
      </c>
      <c r="K96">
        <v>0</v>
      </c>
      <c r="L96">
        <v>0</v>
      </c>
      <c r="M96">
        <v>0</v>
      </c>
      <c r="N96">
        <v>0</v>
      </c>
    </row>
    <row r="97" spans="1:14" x14ac:dyDescent="0.2">
      <c r="A97" t="s">
        <v>109</v>
      </c>
      <c r="B97" t="s">
        <v>138</v>
      </c>
      <c r="C97">
        <v>0.05</v>
      </c>
      <c r="D97">
        <v>0</v>
      </c>
      <c r="E97">
        <v>1</v>
      </c>
      <c r="F97">
        <v>0</v>
      </c>
      <c r="H97">
        <v>0</v>
      </c>
      <c r="I97">
        <v>0</v>
      </c>
      <c r="J97">
        <v>0</v>
      </c>
      <c r="K97">
        <v>0</v>
      </c>
      <c r="L97">
        <v>0</v>
      </c>
      <c r="M97">
        <v>0</v>
      </c>
      <c r="N97">
        <v>0</v>
      </c>
    </row>
    <row r="98" spans="1:14" x14ac:dyDescent="0.2">
      <c r="A98" t="s">
        <v>109</v>
      </c>
      <c r="B98" t="s">
        <v>139</v>
      </c>
      <c r="C98">
        <v>0.01</v>
      </c>
      <c r="D98">
        <v>0</v>
      </c>
      <c r="E98">
        <v>0</v>
      </c>
      <c r="F98">
        <v>3</v>
      </c>
      <c r="G98" t="s">
        <v>82</v>
      </c>
      <c r="H98">
        <v>0</v>
      </c>
      <c r="I98">
        <v>0</v>
      </c>
      <c r="J98">
        <v>0</v>
      </c>
      <c r="K98">
        <v>0</v>
      </c>
      <c r="L98">
        <v>0</v>
      </c>
      <c r="M98">
        <v>0</v>
      </c>
      <c r="N98">
        <v>0</v>
      </c>
    </row>
    <row r="99" spans="1:14" x14ac:dyDescent="0.2">
      <c r="A99" t="s">
        <v>109</v>
      </c>
      <c r="B99" t="s">
        <v>140</v>
      </c>
      <c r="C99">
        <v>0.01</v>
      </c>
      <c r="D99">
        <v>0</v>
      </c>
      <c r="E99">
        <v>0</v>
      </c>
      <c r="F99">
        <v>3</v>
      </c>
      <c r="H99">
        <v>0</v>
      </c>
      <c r="I99">
        <v>0</v>
      </c>
      <c r="J99">
        <v>0</v>
      </c>
      <c r="K99">
        <v>0</v>
      </c>
      <c r="L99">
        <v>0</v>
      </c>
      <c r="M99">
        <v>0</v>
      </c>
      <c r="N99">
        <v>0</v>
      </c>
    </row>
    <row r="100" spans="1:14" x14ac:dyDescent="0.2">
      <c r="A100" t="s">
        <v>109</v>
      </c>
      <c r="B100" t="s">
        <v>141</v>
      </c>
      <c r="C100">
        <v>0.05</v>
      </c>
      <c r="D100">
        <v>0</v>
      </c>
      <c r="E100">
        <v>1</v>
      </c>
      <c r="F100">
        <v>0</v>
      </c>
      <c r="H100">
        <v>0</v>
      </c>
      <c r="I100">
        <v>0</v>
      </c>
      <c r="J100">
        <v>0</v>
      </c>
      <c r="K100">
        <v>0</v>
      </c>
      <c r="L100">
        <v>0</v>
      </c>
      <c r="M100">
        <v>0</v>
      </c>
      <c r="N100">
        <v>0</v>
      </c>
    </row>
    <row r="101" spans="1:14" x14ac:dyDescent="0.2">
      <c r="A101" t="s">
        <v>109</v>
      </c>
      <c r="B101" t="s">
        <v>142</v>
      </c>
      <c r="C101">
        <v>0.01</v>
      </c>
      <c r="D101">
        <v>0</v>
      </c>
      <c r="E101">
        <v>0</v>
      </c>
      <c r="F101">
        <v>2</v>
      </c>
      <c r="H101">
        <v>0</v>
      </c>
      <c r="I101">
        <v>0</v>
      </c>
      <c r="J101">
        <v>0</v>
      </c>
      <c r="K101">
        <v>0</v>
      </c>
      <c r="L101">
        <v>0</v>
      </c>
      <c r="M101">
        <v>0</v>
      </c>
      <c r="N101">
        <v>0</v>
      </c>
    </row>
    <row r="102" spans="1:14" x14ac:dyDescent="0.2">
      <c r="A102" t="s">
        <v>109</v>
      </c>
      <c r="B102" t="s">
        <v>143</v>
      </c>
      <c r="C102">
        <v>0.1</v>
      </c>
      <c r="D102">
        <v>0</v>
      </c>
      <c r="E102">
        <v>2</v>
      </c>
      <c r="F102">
        <v>0</v>
      </c>
      <c r="H102">
        <v>0</v>
      </c>
      <c r="I102">
        <v>0</v>
      </c>
      <c r="J102">
        <v>0</v>
      </c>
      <c r="K102">
        <v>0</v>
      </c>
      <c r="L102">
        <v>0</v>
      </c>
      <c r="M102">
        <v>0</v>
      </c>
      <c r="N102">
        <v>0</v>
      </c>
    </row>
    <row r="103" spans="1:14" x14ac:dyDescent="0.2">
      <c r="A103" t="s">
        <v>109</v>
      </c>
      <c r="B103" t="s">
        <v>144</v>
      </c>
      <c r="C103">
        <v>0.03</v>
      </c>
      <c r="D103">
        <v>0</v>
      </c>
      <c r="E103">
        <v>0</v>
      </c>
      <c r="F103">
        <v>6</v>
      </c>
      <c r="H103">
        <v>0</v>
      </c>
      <c r="I103">
        <v>0</v>
      </c>
      <c r="J103">
        <v>0</v>
      </c>
      <c r="K103">
        <v>0</v>
      </c>
      <c r="L103">
        <v>0</v>
      </c>
      <c r="M103">
        <v>0</v>
      </c>
      <c r="N103">
        <v>0</v>
      </c>
    </row>
    <row r="104" spans="1:14" x14ac:dyDescent="0.2">
      <c r="A104" t="s">
        <v>109</v>
      </c>
      <c r="B104" t="s">
        <v>145</v>
      </c>
      <c r="C104">
        <v>0.01</v>
      </c>
      <c r="D104">
        <v>0</v>
      </c>
      <c r="E104">
        <v>0</v>
      </c>
      <c r="F104">
        <v>3</v>
      </c>
      <c r="H104">
        <v>0</v>
      </c>
      <c r="I104">
        <v>0</v>
      </c>
      <c r="J104">
        <v>0</v>
      </c>
      <c r="K104">
        <v>0</v>
      </c>
      <c r="L104">
        <v>0</v>
      </c>
      <c r="M104">
        <v>0</v>
      </c>
      <c r="N104">
        <v>0</v>
      </c>
    </row>
    <row r="105" spans="1:14" x14ac:dyDescent="0.2">
      <c r="A105" t="s">
        <v>109</v>
      </c>
      <c r="B105" t="s">
        <v>146</v>
      </c>
      <c r="C105">
        <v>0.03</v>
      </c>
      <c r="D105">
        <v>0</v>
      </c>
      <c r="E105">
        <v>0</v>
      </c>
      <c r="F105">
        <v>6</v>
      </c>
      <c r="H105">
        <v>0</v>
      </c>
      <c r="I105">
        <v>0</v>
      </c>
      <c r="J105">
        <v>0</v>
      </c>
      <c r="K105">
        <v>0</v>
      </c>
      <c r="L105">
        <v>0</v>
      </c>
      <c r="M105">
        <v>0</v>
      </c>
      <c r="N105">
        <v>0</v>
      </c>
    </row>
    <row r="106" spans="1:14" x14ac:dyDescent="0.2">
      <c r="A106" t="s">
        <v>109</v>
      </c>
      <c r="B106" t="s">
        <v>147</v>
      </c>
      <c r="C106">
        <v>0.05</v>
      </c>
      <c r="D106">
        <v>0</v>
      </c>
      <c r="E106">
        <v>1</v>
      </c>
      <c r="F106">
        <v>0</v>
      </c>
      <c r="H106">
        <v>0</v>
      </c>
      <c r="I106">
        <v>0</v>
      </c>
      <c r="J106">
        <v>0</v>
      </c>
      <c r="K106">
        <v>0</v>
      </c>
      <c r="L106">
        <v>0</v>
      </c>
      <c r="M106">
        <v>0</v>
      </c>
      <c r="N106">
        <v>0</v>
      </c>
    </row>
    <row r="107" spans="1:14" x14ac:dyDescent="0.2">
      <c r="A107" t="s">
        <v>109</v>
      </c>
      <c r="B107" t="s">
        <v>148</v>
      </c>
      <c r="C107">
        <v>0.03</v>
      </c>
      <c r="D107">
        <v>0</v>
      </c>
      <c r="E107">
        <v>0</v>
      </c>
      <c r="F107">
        <v>6</v>
      </c>
      <c r="H107">
        <v>0</v>
      </c>
      <c r="I107">
        <v>0</v>
      </c>
      <c r="J107">
        <v>0</v>
      </c>
      <c r="K107">
        <v>0</v>
      </c>
      <c r="L107">
        <v>0</v>
      </c>
      <c r="M107">
        <v>0</v>
      </c>
      <c r="N107">
        <v>0</v>
      </c>
    </row>
    <row r="108" spans="1:14" x14ac:dyDescent="0.2">
      <c r="A108" t="s">
        <v>109</v>
      </c>
      <c r="B108" t="s">
        <v>149</v>
      </c>
      <c r="C108">
        <v>0.1</v>
      </c>
      <c r="D108">
        <v>0</v>
      </c>
      <c r="E108">
        <v>2</v>
      </c>
      <c r="F108">
        <v>0</v>
      </c>
      <c r="H108">
        <v>0</v>
      </c>
      <c r="I108">
        <v>0</v>
      </c>
      <c r="J108">
        <v>0</v>
      </c>
      <c r="K108">
        <v>0</v>
      </c>
      <c r="L108">
        <v>0</v>
      </c>
      <c r="M108">
        <v>0</v>
      </c>
      <c r="N108">
        <v>0</v>
      </c>
    </row>
    <row r="109" spans="1:14" x14ac:dyDescent="0.2">
      <c r="A109" t="s">
        <v>109</v>
      </c>
      <c r="B109" t="s">
        <v>150</v>
      </c>
      <c r="C109">
        <v>0.05</v>
      </c>
      <c r="D109">
        <v>0</v>
      </c>
      <c r="E109">
        <v>1</v>
      </c>
      <c r="F109">
        <v>0</v>
      </c>
      <c r="H109">
        <v>0</v>
      </c>
      <c r="I109">
        <v>0</v>
      </c>
      <c r="J109">
        <v>0</v>
      </c>
      <c r="K109">
        <v>0</v>
      </c>
      <c r="L109">
        <v>0</v>
      </c>
      <c r="M109">
        <v>0</v>
      </c>
      <c r="N109">
        <v>0</v>
      </c>
    </row>
    <row r="110" spans="1:14" x14ac:dyDescent="0.2">
      <c r="A110" t="s">
        <v>109</v>
      </c>
      <c r="B110" t="s">
        <v>151</v>
      </c>
      <c r="C110">
        <v>0.05</v>
      </c>
      <c r="D110">
        <v>0</v>
      </c>
      <c r="E110">
        <v>1</v>
      </c>
      <c r="F110">
        <v>0</v>
      </c>
      <c r="H110">
        <v>0</v>
      </c>
      <c r="I110">
        <v>0</v>
      </c>
      <c r="J110">
        <v>0</v>
      </c>
      <c r="K110">
        <v>0</v>
      </c>
      <c r="L110">
        <v>0</v>
      </c>
      <c r="M110">
        <v>0</v>
      </c>
      <c r="N110">
        <v>0</v>
      </c>
    </row>
    <row r="111" spans="1:14" x14ac:dyDescent="0.2">
      <c r="A111" t="s">
        <v>109</v>
      </c>
      <c r="B111" t="s">
        <v>152</v>
      </c>
      <c r="C111">
        <v>0.05</v>
      </c>
      <c r="D111">
        <v>0</v>
      </c>
      <c r="E111">
        <v>1</v>
      </c>
      <c r="F111">
        <v>0</v>
      </c>
      <c r="H111">
        <v>0</v>
      </c>
      <c r="I111">
        <v>0</v>
      </c>
      <c r="J111">
        <v>0</v>
      </c>
      <c r="K111">
        <v>0</v>
      </c>
      <c r="L111">
        <v>0</v>
      </c>
      <c r="M111">
        <v>0</v>
      </c>
      <c r="N111">
        <v>0</v>
      </c>
    </row>
    <row r="112" spans="1:14" x14ac:dyDescent="0.2">
      <c r="A112" t="s">
        <v>109</v>
      </c>
      <c r="B112" t="s">
        <v>153</v>
      </c>
      <c r="C112">
        <v>0.01</v>
      </c>
      <c r="D112">
        <v>0</v>
      </c>
      <c r="E112">
        <v>0</v>
      </c>
      <c r="F112">
        <v>2</v>
      </c>
      <c r="H112">
        <v>0</v>
      </c>
      <c r="I112">
        <v>0</v>
      </c>
      <c r="J112">
        <v>0</v>
      </c>
      <c r="K112">
        <v>0</v>
      </c>
      <c r="L112">
        <v>0</v>
      </c>
      <c r="M112">
        <v>0</v>
      </c>
      <c r="N112">
        <v>0</v>
      </c>
    </row>
    <row r="113" spans="1:14" x14ac:dyDescent="0.2">
      <c r="A113" t="s">
        <v>109</v>
      </c>
      <c r="B113" t="s">
        <v>154</v>
      </c>
      <c r="C113">
        <v>0.85</v>
      </c>
      <c r="D113">
        <v>0</v>
      </c>
      <c r="E113">
        <v>17</v>
      </c>
      <c r="F113">
        <v>0</v>
      </c>
      <c r="H113">
        <v>0</v>
      </c>
      <c r="I113">
        <v>0</v>
      </c>
      <c r="J113">
        <v>0</v>
      </c>
      <c r="K113">
        <v>0</v>
      </c>
      <c r="L113">
        <v>0</v>
      </c>
      <c r="M113">
        <v>0</v>
      </c>
      <c r="N113">
        <v>0</v>
      </c>
    </row>
    <row r="114" spans="1:14" x14ac:dyDescent="0.2">
      <c r="A114" t="s">
        <v>109</v>
      </c>
      <c r="B114" t="s">
        <v>155</v>
      </c>
      <c r="C114">
        <v>2.67</v>
      </c>
      <c r="D114">
        <v>2</v>
      </c>
      <c r="E114">
        <v>13</v>
      </c>
      <c r="F114">
        <v>4</v>
      </c>
      <c r="H114">
        <v>0</v>
      </c>
      <c r="I114">
        <v>0</v>
      </c>
      <c r="J114">
        <v>0</v>
      </c>
      <c r="K114">
        <v>0</v>
      </c>
      <c r="L114">
        <v>0</v>
      </c>
      <c r="M114">
        <v>0</v>
      </c>
      <c r="N114">
        <v>0</v>
      </c>
    </row>
    <row r="115" spans="1:14" x14ac:dyDescent="0.2">
      <c r="A115" t="s">
        <v>109</v>
      </c>
      <c r="B115" t="s">
        <v>156</v>
      </c>
      <c r="C115">
        <v>19.57</v>
      </c>
      <c r="D115">
        <v>19</v>
      </c>
      <c r="E115">
        <v>11</v>
      </c>
      <c r="F115">
        <v>4</v>
      </c>
      <c r="H115">
        <v>0</v>
      </c>
      <c r="I115">
        <v>0</v>
      </c>
      <c r="J115">
        <v>0</v>
      </c>
      <c r="K115">
        <v>0</v>
      </c>
      <c r="L115">
        <v>0</v>
      </c>
      <c r="M115">
        <v>0</v>
      </c>
      <c r="N115">
        <v>0</v>
      </c>
    </row>
    <row r="116" spans="1:14" x14ac:dyDescent="0.2">
      <c r="A116" t="s">
        <v>157</v>
      </c>
      <c r="B116" t="s">
        <v>158</v>
      </c>
      <c r="C116">
        <v>116.84</v>
      </c>
      <c r="D116">
        <v>116</v>
      </c>
      <c r="E116">
        <v>16</v>
      </c>
      <c r="F116">
        <v>10</v>
      </c>
      <c r="H116">
        <v>0</v>
      </c>
      <c r="I116">
        <v>0</v>
      </c>
      <c r="J116">
        <v>0</v>
      </c>
      <c r="K116">
        <v>0</v>
      </c>
      <c r="L116">
        <v>0</v>
      </c>
      <c r="M116">
        <v>0</v>
      </c>
      <c r="N116">
        <v>0</v>
      </c>
    </row>
    <row r="117" spans="1:14" x14ac:dyDescent="0.2">
      <c r="A117" t="s">
        <v>159</v>
      </c>
      <c r="B117" t="s">
        <v>160</v>
      </c>
      <c r="C117">
        <v>0.8</v>
      </c>
      <c r="D117">
        <v>0</v>
      </c>
      <c r="E117">
        <v>15</v>
      </c>
      <c r="F117">
        <v>11</v>
      </c>
      <c r="H117">
        <v>0</v>
      </c>
      <c r="I117">
        <v>0</v>
      </c>
      <c r="J117">
        <v>0</v>
      </c>
      <c r="K117">
        <v>0</v>
      </c>
      <c r="L117">
        <v>0</v>
      </c>
      <c r="M117">
        <v>0</v>
      </c>
      <c r="N117">
        <v>0</v>
      </c>
    </row>
    <row r="118" spans="1:14" x14ac:dyDescent="0.2">
      <c r="A118" t="s">
        <v>159</v>
      </c>
      <c r="B118" t="s">
        <v>161</v>
      </c>
      <c r="C118">
        <v>0.19</v>
      </c>
      <c r="D118">
        <v>0</v>
      </c>
      <c r="E118">
        <v>3</v>
      </c>
      <c r="F118">
        <v>10</v>
      </c>
      <c r="H118">
        <v>0</v>
      </c>
      <c r="I118">
        <v>0</v>
      </c>
      <c r="J118">
        <v>0</v>
      </c>
      <c r="K118">
        <v>0</v>
      </c>
      <c r="L118">
        <v>0</v>
      </c>
      <c r="M118">
        <v>0</v>
      </c>
      <c r="N118">
        <v>0</v>
      </c>
    </row>
    <row r="119" spans="1:14" x14ac:dyDescent="0.2">
      <c r="A119" t="s">
        <v>159</v>
      </c>
      <c r="B119" t="s">
        <v>162</v>
      </c>
      <c r="C119">
        <v>0.12</v>
      </c>
      <c r="D119">
        <v>0</v>
      </c>
      <c r="E119">
        <v>2</v>
      </c>
      <c r="F119">
        <v>4</v>
      </c>
      <c r="H119">
        <v>0</v>
      </c>
      <c r="I119">
        <v>0</v>
      </c>
      <c r="J119">
        <v>0</v>
      </c>
      <c r="K119">
        <v>0</v>
      </c>
      <c r="L119">
        <v>0</v>
      </c>
      <c r="M119">
        <v>0</v>
      </c>
      <c r="N119">
        <v>0</v>
      </c>
    </row>
    <row r="120" spans="1:14" x14ac:dyDescent="0.2">
      <c r="A120" t="s">
        <v>159</v>
      </c>
      <c r="B120" t="s">
        <v>163</v>
      </c>
      <c r="C120">
        <v>0.35</v>
      </c>
      <c r="D120">
        <v>0</v>
      </c>
      <c r="E120">
        <v>7</v>
      </c>
      <c r="F120">
        <v>0.5</v>
      </c>
      <c r="H120">
        <v>0</v>
      </c>
      <c r="I120">
        <v>0</v>
      </c>
      <c r="J120">
        <v>0</v>
      </c>
      <c r="K120">
        <v>0</v>
      </c>
      <c r="L120">
        <v>0</v>
      </c>
      <c r="M120">
        <v>0</v>
      </c>
      <c r="N120">
        <v>0</v>
      </c>
    </row>
    <row r="121" spans="1:14" x14ac:dyDescent="0.2">
      <c r="A121" t="s">
        <v>159</v>
      </c>
      <c r="B121" t="s">
        <v>164</v>
      </c>
      <c r="C121">
        <v>0</v>
      </c>
      <c r="D121">
        <v>0</v>
      </c>
      <c r="E121">
        <v>0</v>
      </c>
      <c r="F121">
        <v>0</v>
      </c>
      <c r="H121">
        <v>0</v>
      </c>
      <c r="I121">
        <v>0</v>
      </c>
      <c r="J121">
        <v>0</v>
      </c>
      <c r="K121">
        <v>0</v>
      </c>
      <c r="L121">
        <v>0</v>
      </c>
      <c r="M121">
        <v>0</v>
      </c>
      <c r="N121">
        <v>0</v>
      </c>
    </row>
    <row r="122" spans="1:14" x14ac:dyDescent="0.2">
      <c r="A122" t="s">
        <v>159</v>
      </c>
      <c r="B122" t="s">
        <v>165</v>
      </c>
      <c r="C122">
        <v>0.08</v>
      </c>
      <c r="D122">
        <v>0</v>
      </c>
      <c r="E122">
        <v>1</v>
      </c>
      <c r="F122">
        <v>6.5</v>
      </c>
      <c r="H122">
        <v>0</v>
      </c>
      <c r="I122">
        <v>0</v>
      </c>
      <c r="J122">
        <v>0</v>
      </c>
      <c r="K122">
        <v>0</v>
      </c>
      <c r="L122">
        <v>0</v>
      </c>
      <c r="M122">
        <v>0</v>
      </c>
      <c r="N122">
        <v>0</v>
      </c>
    </row>
    <row r="123" spans="1:14" x14ac:dyDescent="0.2">
      <c r="A123" t="s">
        <v>159</v>
      </c>
      <c r="B123" t="s">
        <v>166</v>
      </c>
      <c r="C123">
        <v>0.03</v>
      </c>
      <c r="D123">
        <v>0</v>
      </c>
      <c r="E123">
        <v>0</v>
      </c>
      <c r="F123">
        <v>6</v>
      </c>
      <c r="H123">
        <v>0</v>
      </c>
      <c r="I123">
        <v>0</v>
      </c>
      <c r="J123">
        <v>0</v>
      </c>
      <c r="K123">
        <v>0</v>
      </c>
      <c r="L123">
        <v>0</v>
      </c>
      <c r="M123">
        <v>0</v>
      </c>
      <c r="N123">
        <v>0</v>
      </c>
    </row>
    <row r="124" spans="1:14" x14ac:dyDescent="0.2">
      <c r="A124" t="s">
        <v>159</v>
      </c>
      <c r="B124" t="s">
        <v>167</v>
      </c>
      <c r="C124">
        <v>0.06</v>
      </c>
      <c r="D124">
        <v>0</v>
      </c>
      <c r="E124">
        <v>1</v>
      </c>
      <c r="F124">
        <v>2</v>
      </c>
      <c r="H124">
        <v>0</v>
      </c>
      <c r="I124">
        <v>0</v>
      </c>
      <c r="J124">
        <v>0</v>
      </c>
      <c r="K124">
        <v>0</v>
      </c>
      <c r="L124">
        <v>0</v>
      </c>
      <c r="M124">
        <v>0</v>
      </c>
      <c r="N124">
        <v>0</v>
      </c>
    </row>
    <row r="125" spans="1:14" x14ac:dyDescent="0.2">
      <c r="A125" t="s">
        <v>159</v>
      </c>
      <c r="B125" t="s">
        <v>168</v>
      </c>
      <c r="C125">
        <v>0.02</v>
      </c>
      <c r="D125">
        <v>0</v>
      </c>
      <c r="E125">
        <v>0</v>
      </c>
      <c r="F125">
        <v>5</v>
      </c>
      <c r="H125">
        <v>0</v>
      </c>
      <c r="I125">
        <v>0</v>
      </c>
      <c r="J125">
        <v>0</v>
      </c>
      <c r="K125">
        <v>0</v>
      </c>
      <c r="L125">
        <v>0</v>
      </c>
      <c r="M125">
        <v>0</v>
      </c>
      <c r="N125">
        <v>0</v>
      </c>
    </row>
    <row r="126" spans="1:14" x14ac:dyDescent="0.2">
      <c r="A126" t="s">
        <v>159</v>
      </c>
      <c r="B126" t="s">
        <v>169</v>
      </c>
      <c r="C126">
        <v>0.05</v>
      </c>
      <c r="D126">
        <v>0</v>
      </c>
      <c r="E126">
        <v>1</v>
      </c>
      <c r="F126">
        <v>0</v>
      </c>
      <c r="H126">
        <v>0</v>
      </c>
      <c r="I126">
        <v>0</v>
      </c>
      <c r="J126">
        <v>0</v>
      </c>
      <c r="K126">
        <v>0</v>
      </c>
      <c r="L126">
        <v>0</v>
      </c>
      <c r="M126">
        <v>0</v>
      </c>
      <c r="N126">
        <v>0</v>
      </c>
    </row>
    <row r="127" spans="1:14" x14ac:dyDescent="0.2">
      <c r="A127" t="s">
        <v>159</v>
      </c>
      <c r="B127" t="s">
        <v>170</v>
      </c>
      <c r="C127">
        <v>0.03</v>
      </c>
      <c r="D127">
        <v>0</v>
      </c>
      <c r="E127">
        <v>0</v>
      </c>
      <c r="F127">
        <v>8</v>
      </c>
      <c r="H127">
        <v>0</v>
      </c>
      <c r="I127">
        <v>0</v>
      </c>
      <c r="J127">
        <v>0</v>
      </c>
      <c r="K127">
        <v>0</v>
      </c>
      <c r="L127">
        <v>0</v>
      </c>
      <c r="M127">
        <v>0</v>
      </c>
      <c r="N127">
        <v>0</v>
      </c>
    </row>
    <row r="128" spans="1:14" x14ac:dyDescent="0.2">
      <c r="A128" t="s">
        <v>159</v>
      </c>
      <c r="B128" t="s">
        <v>171</v>
      </c>
      <c r="C128">
        <v>0.62</v>
      </c>
      <c r="D128">
        <v>0</v>
      </c>
      <c r="E128">
        <v>12</v>
      </c>
      <c r="F128">
        <v>6</v>
      </c>
      <c r="H128">
        <v>0</v>
      </c>
      <c r="I128">
        <v>0</v>
      </c>
      <c r="J128">
        <v>0</v>
      </c>
      <c r="K128">
        <v>0</v>
      </c>
      <c r="L128">
        <v>0</v>
      </c>
      <c r="M128">
        <v>0</v>
      </c>
      <c r="N128">
        <v>0</v>
      </c>
    </row>
    <row r="129" spans="1:22" x14ac:dyDescent="0.2">
      <c r="A129" t="s">
        <v>159</v>
      </c>
      <c r="B129" t="s">
        <v>164</v>
      </c>
      <c r="C129">
        <v>0</v>
      </c>
      <c r="D129">
        <v>0</v>
      </c>
      <c r="E129">
        <v>0</v>
      </c>
      <c r="F129">
        <v>0</v>
      </c>
      <c r="H129">
        <v>0</v>
      </c>
      <c r="I129">
        <v>0</v>
      </c>
      <c r="J129">
        <v>0</v>
      </c>
      <c r="K129">
        <v>0</v>
      </c>
      <c r="L129">
        <v>0</v>
      </c>
      <c r="M129">
        <v>0</v>
      </c>
      <c r="N129">
        <v>0</v>
      </c>
    </row>
    <row r="130" spans="1:22" x14ac:dyDescent="0.2">
      <c r="A130" t="s">
        <v>159</v>
      </c>
      <c r="B130" t="s">
        <v>172</v>
      </c>
      <c r="C130">
        <v>0.33</v>
      </c>
      <c r="D130">
        <v>0</v>
      </c>
      <c r="E130">
        <v>6</v>
      </c>
      <c r="F130">
        <v>8</v>
      </c>
      <c r="H130">
        <v>0</v>
      </c>
      <c r="I130">
        <v>0</v>
      </c>
      <c r="J130">
        <v>0</v>
      </c>
      <c r="K130">
        <v>0</v>
      </c>
      <c r="L130">
        <v>0</v>
      </c>
      <c r="M130">
        <v>0</v>
      </c>
      <c r="N130">
        <v>0</v>
      </c>
    </row>
    <row r="131" spans="1:22" x14ac:dyDescent="0.2">
      <c r="A131" t="s">
        <v>159</v>
      </c>
      <c r="B131" t="s">
        <v>173</v>
      </c>
      <c r="C131">
        <v>0.06</v>
      </c>
      <c r="D131">
        <v>0</v>
      </c>
      <c r="E131">
        <v>1</v>
      </c>
      <c r="F131">
        <v>3</v>
      </c>
      <c r="H131">
        <v>0</v>
      </c>
      <c r="I131">
        <v>0</v>
      </c>
      <c r="J131">
        <v>0</v>
      </c>
      <c r="K131">
        <v>0</v>
      </c>
      <c r="L131">
        <v>0</v>
      </c>
      <c r="M131">
        <v>0</v>
      </c>
      <c r="N131">
        <v>0</v>
      </c>
    </row>
    <row r="132" spans="1:22" x14ac:dyDescent="0.2">
      <c r="A132" t="s">
        <v>159</v>
      </c>
      <c r="B132" t="s">
        <v>164</v>
      </c>
      <c r="C132">
        <v>0</v>
      </c>
      <c r="D132">
        <v>0</v>
      </c>
      <c r="E132">
        <v>0</v>
      </c>
      <c r="F132">
        <v>0</v>
      </c>
      <c r="H132">
        <v>0</v>
      </c>
      <c r="I132">
        <v>0</v>
      </c>
      <c r="J132">
        <v>0</v>
      </c>
      <c r="K132">
        <v>0</v>
      </c>
      <c r="L132">
        <v>0</v>
      </c>
      <c r="M132">
        <v>0</v>
      </c>
      <c r="N132">
        <v>0</v>
      </c>
    </row>
    <row r="133" spans="1:22" x14ac:dyDescent="0.2">
      <c r="A133" t="s">
        <v>159</v>
      </c>
      <c r="B133" t="s">
        <v>174</v>
      </c>
      <c r="C133">
        <v>0.21</v>
      </c>
      <c r="D133">
        <v>0</v>
      </c>
      <c r="E133">
        <v>4</v>
      </c>
      <c r="F133">
        <v>1.5</v>
      </c>
      <c r="H133">
        <v>0</v>
      </c>
      <c r="I133">
        <v>0</v>
      </c>
      <c r="J133">
        <v>0</v>
      </c>
      <c r="K133">
        <v>0</v>
      </c>
      <c r="L133">
        <v>0</v>
      </c>
      <c r="M133">
        <v>0</v>
      </c>
      <c r="N133">
        <v>0</v>
      </c>
    </row>
    <row r="134" spans="1:22" x14ac:dyDescent="0.2">
      <c r="A134" t="s">
        <v>159</v>
      </c>
      <c r="B134" t="s">
        <v>164</v>
      </c>
      <c r="C134">
        <v>0</v>
      </c>
      <c r="D134">
        <v>0</v>
      </c>
      <c r="E134">
        <v>0</v>
      </c>
      <c r="F134">
        <v>0</v>
      </c>
      <c r="H134">
        <v>0</v>
      </c>
      <c r="I134">
        <v>0</v>
      </c>
      <c r="J134">
        <v>0</v>
      </c>
      <c r="K134">
        <v>0</v>
      </c>
      <c r="L134">
        <v>0</v>
      </c>
      <c r="M134">
        <v>0</v>
      </c>
      <c r="N134">
        <v>0</v>
      </c>
    </row>
    <row r="135" spans="1:22" x14ac:dyDescent="0.2">
      <c r="A135" t="s">
        <v>159</v>
      </c>
      <c r="B135" t="s">
        <v>175</v>
      </c>
      <c r="C135">
        <v>0.13</v>
      </c>
      <c r="D135">
        <v>0</v>
      </c>
      <c r="E135">
        <v>2</v>
      </c>
      <c r="F135">
        <v>7.5</v>
      </c>
      <c r="H135">
        <v>21</v>
      </c>
      <c r="I135">
        <v>0</v>
      </c>
      <c r="J135">
        <v>21</v>
      </c>
      <c r="K135">
        <v>21</v>
      </c>
      <c r="L135">
        <v>0</v>
      </c>
      <c r="M135">
        <v>21</v>
      </c>
      <c r="N135">
        <v>0</v>
      </c>
    </row>
    <row r="136" spans="1:22" x14ac:dyDescent="0.2">
      <c r="A136" t="s">
        <v>159</v>
      </c>
      <c r="B136" t="s">
        <v>176</v>
      </c>
      <c r="C136">
        <v>0.02</v>
      </c>
      <c r="D136">
        <v>0</v>
      </c>
      <c r="E136">
        <v>0</v>
      </c>
      <c r="F136">
        <v>5</v>
      </c>
      <c r="H136">
        <v>0</v>
      </c>
      <c r="I136">
        <v>0</v>
      </c>
      <c r="J136">
        <v>0</v>
      </c>
      <c r="K136">
        <v>0</v>
      </c>
      <c r="L136">
        <v>0</v>
      </c>
      <c r="M136">
        <v>0</v>
      </c>
      <c r="N136">
        <v>0</v>
      </c>
    </row>
    <row r="137" spans="1:22" x14ac:dyDescent="0.2">
      <c r="A137" t="s">
        <v>159</v>
      </c>
      <c r="B137" t="s">
        <v>177</v>
      </c>
      <c r="C137">
        <v>0.31</v>
      </c>
      <c r="D137">
        <v>0</v>
      </c>
      <c r="E137">
        <v>6</v>
      </c>
      <c r="F137">
        <v>3.5</v>
      </c>
      <c r="G137" t="s">
        <v>55</v>
      </c>
      <c r="H137">
        <v>37</v>
      </c>
      <c r="I137">
        <v>6</v>
      </c>
      <c r="J137">
        <v>37.75</v>
      </c>
      <c r="K137">
        <v>37.75</v>
      </c>
      <c r="L137">
        <v>0</v>
      </c>
      <c r="M137">
        <v>37</v>
      </c>
      <c r="N137">
        <v>6</v>
      </c>
    </row>
    <row r="138" spans="1:22" x14ac:dyDescent="0.2">
      <c r="A138" t="s">
        <v>159</v>
      </c>
      <c r="B138" t="s">
        <v>164</v>
      </c>
      <c r="C138">
        <v>0</v>
      </c>
      <c r="D138">
        <v>0</v>
      </c>
      <c r="E138">
        <v>0</v>
      </c>
      <c r="F138">
        <v>0</v>
      </c>
      <c r="H138">
        <v>0</v>
      </c>
      <c r="I138">
        <v>0</v>
      </c>
      <c r="J138">
        <v>0</v>
      </c>
      <c r="K138">
        <v>0</v>
      </c>
      <c r="L138">
        <v>0</v>
      </c>
      <c r="M138">
        <v>0</v>
      </c>
      <c r="N138">
        <v>0</v>
      </c>
    </row>
    <row r="139" spans="1:22" x14ac:dyDescent="0.2">
      <c r="A139" t="s">
        <v>159</v>
      </c>
      <c r="B139" t="s">
        <v>178</v>
      </c>
      <c r="C139">
        <v>0.26</v>
      </c>
      <c r="D139">
        <v>0</v>
      </c>
      <c r="E139">
        <v>5</v>
      </c>
      <c r="F139">
        <v>3.5</v>
      </c>
      <c r="G139" t="s">
        <v>82</v>
      </c>
      <c r="H139">
        <v>64</v>
      </c>
      <c r="I139">
        <v>0</v>
      </c>
      <c r="J139">
        <v>64</v>
      </c>
      <c r="K139">
        <v>64</v>
      </c>
      <c r="L139">
        <v>0</v>
      </c>
      <c r="M139">
        <v>64</v>
      </c>
      <c r="N139">
        <v>0</v>
      </c>
    </row>
    <row r="140" spans="1:22" x14ac:dyDescent="0.2">
      <c r="A140" t="s">
        <v>159</v>
      </c>
      <c r="B140" t="s">
        <v>179</v>
      </c>
      <c r="C140">
        <v>3.67</v>
      </c>
      <c r="D140">
        <v>3</v>
      </c>
      <c r="E140">
        <v>13</v>
      </c>
      <c r="F140">
        <v>5.5</v>
      </c>
      <c r="H140">
        <v>0</v>
      </c>
      <c r="I140">
        <v>0</v>
      </c>
      <c r="J140">
        <v>0</v>
      </c>
      <c r="K140">
        <v>0</v>
      </c>
      <c r="L140">
        <v>0</v>
      </c>
      <c r="M140">
        <v>0</v>
      </c>
      <c r="N140">
        <v>0</v>
      </c>
    </row>
    <row r="141" spans="1:22" x14ac:dyDescent="0.2">
      <c r="A141" t="s">
        <v>180</v>
      </c>
      <c r="B141" t="s">
        <v>181</v>
      </c>
      <c r="C141">
        <v>3.83</v>
      </c>
      <c r="D141">
        <v>3</v>
      </c>
      <c r="E141">
        <v>16</v>
      </c>
      <c r="F141">
        <v>7</v>
      </c>
      <c r="G141" t="s">
        <v>182</v>
      </c>
      <c r="H141">
        <v>19</v>
      </c>
      <c r="I141">
        <v>6.5</v>
      </c>
      <c r="J141">
        <v>19.8125</v>
      </c>
      <c r="K141">
        <v>19.8125</v>
      </c>
      <c r="L141">
        <v>0</v>
      </c>
      <c r="M141">
        <v>19</v>
      </c>
      <c r="N141">
        <v>6.5</v>
      </c>
      <c r="O141">
        <v>4</v>
      </c>
      <c r="P141">
        <v>0</v>
      </c>
      <c r="Q141">
        <v>15</v>
      </c>
      <c r="R141">
        <v>6.5</v>
      </c>
      <c r="S141">
        <v>3</v>
      </c>
      <c r="T141">
        <v>4</v>
      </c>
      <c r="U141">
        <v>4</v>
      </c>
      <c r="V141">
        <v>0</v>
      </c>
    </row>
    <row r="142" spans="1:22" x14ac:dyDescent="0.2">
      <c r="A142" t="s">
        <v>180</v>
      </c>
      <c r="B142" t="s">
        <v>183</v>
      </c>
      <c r="C142">
        <v>5.62</v>
      </c>
      <c r="D142">
        <v>5</v>
      </c>
      <c r="E142">
        <v>12</v>
      </c>
      <c r="F142">
        <v>6</v>
      </c>
      <c r="G142" t="s">
        <v>82</v>
      </c>
      <c r="H142">
        <v>75</v>
      </c>
      <c r="I142">
        <v>0</v>
      </c>
      <c r="J142">
        <v>75</v>
      </c>
      <c r="K142">
        <v>75</v>
      </c>
      <c r="L142">
        <v>0</v>
      </c>
      <c r="M142">
        <v>75</v>
      </c>
      <c r="N142">
        <v>0</v>
      </c>
      <c r="S142">
        <v>1</v>
      </c>
      <c r="T142">
        <v>6</v>
      </c>
    </row>
    <row r="143" spans="1:22" x14ac:dyDescent="0.2">
      <c r="A143" t="s">
        <v>180</v>
      </c>
      <c r="B143" t="s">
        <v>184</v>
      </c>
      <c r="C143">
        <v>9.4499999999999993</v>
      </c>
      <c r="D143">
        <v>9</v>
      </c>
      <c r="E143">
        <v>9</v>
      </c>
      <c r="F143">
        <v>1</v>
      </c>
      <c r="H143">
        <v>0</v>
      </c>
      <c r="I143">
        <v>0</v>
      </c>
      <c r="J143">
        <v>0</v>
      </c>
      <c r="K143">
        <v>0</v>
      </c>
      <c r="L143">
        <v>0</v>
      </c>
      <c r="M143">
        <v>0</v>
      </c>
      <c r="N143">
        <v>0</v>
      </c>
    </row>
    <row r="144" spans="1:22" x14ac:dyDescent="0.2">
      <c r="A144" t="s">
        <v>185</v>
      </c>
      <c r="B144" t="s">
        <v>186</v>
      </c>
      <c r="C144">
        <v>0.25</v>
      </c>
      <c r="D144">
        <v>0</v>
      </c>
      <c r="E144">
        <v>4</v>
      </c>
      <c r="F144">
        <v>11</v>
      </c>
      <c r="H144">
        <v>0</v>
      </c>
      <c r="I144">
        <v>0</v>
      </c>
      <c r="J144">
        <v>0</v>
      </c>
      <c r="K144">
        <v>0</v>
      </c>
      <c r="L144">
        <v>0</v>
      </c>
      <c r="M144">
        <v>0</v>
      </c>
      <c r="N144">
        <v>0</v>
      </c>
    </row>
    <row r="145" spans="1:14" x14ac:dyDescent="0.2">
      <c r="A145" t="s">
        <v>185</v>
      </c>
      <c r="B145" t="s">
        <v>187</v>
      </c>
      <c r="C145">
        <v>0.4</v>
      </c>
      <c r="D145">
        <v>0</v>
      </c>
      <c r="E145">
        <v>8</v>
      </c>
      <c r="F145">
        <v>0.25</v>
      </c>
      <c r="H145">
        <v>0</v>
      </c>
      <c r="I145">
        <v>0</v>
      </c>
      <c r="J145">
        <v>0</v>
      </c>
      <c r="K145">
        <v>0</v>
      </c>
      <c r="L145">
        <v>0</v>
      </c>
      <c r="M145">
        <v>0</v>
      </c>
      <c r="N145">
        <v>0</v>
      </c>
    </row>
    <row r="146" spans="1:14" x14ac:dyDescent="0.2">
      <c r="A146" t="s">
        <v>185</v>
      </c>
      <c r="B146" t="s">
        <v>188</v>
      </c>
      <c r="C146">
        <v>0.03</v>
      </c>
      <c r="D146">
        <v>0</v>
      </c>
      <c r="E146">
        <v>0</v>
      </c>
      <c r="F146">
        <v>6</v>
      </c>
      <c r="H146">
        <v>0</v>
      </c>
      <c r="I146">
        <v>0</v>
      </c>
      <c r="J146">
        <v>0</v>
      </c>
      <c r="K146">
        <v>0</v>
      </c>
      <c r="L146">
        <v>0</v>
      </c>
      <c r="M146">
        <v>0</v>
      </c>
      <c r="N146">
        <v>0</v>
      </c>
    </row>
    <row r="147" spans="1:14" x14ac:dyDescent="0.2">
      <c r="A147" t="s">
        <v>185</v>
      </c>
      <c r="B147" t="s">
        <v>189</v>
      </c>
      <c r="C147">
        <v>0.04</v>
      </c>
      <c r="D147">
        <v>0</v>
      </c>
      <c r="E147">
        <v>0</v>
      </c>
      <c r="F147">
        <v>10</v>
      </c>
      <c r="H147">
        <v>0</v>
      </c>
      <c r="I147">
        <v>0</v>
      </c>
      <c r="J147">
        <v>0</v>
      </c>
      <c r="K147">
        <v>0</v>
      </c>
      <c r="L147">
        <v>0</v>
      </c>
      <c r="M147">
        <v>0</v>
      </c>
      <c r="N147">
        <v>0</v>
      </c>
    </row>
    <row r="148" spans="1:14" x14ac:dyDescent="0.2">
      <c r="A148" t="s">
        <v>185</v>
      </c>
      <c r="B148" t="s">
        <v>190</v>
      </c>
      <c r="C148">
        <v>0.02</v>
      </c>
      <c r="D148">
        <v>0</v>
      </c>
      <c r="E148">
        <v>0</v>
      </c>
      <c r="F148">
        <v>4</v>
      </c>
      <c r="H148">
        <v>0</v>
      </c>
      <c r="I148">
        <v>0</v>
      </c>
      <c r="J148">
        <v>0</v>
      </c>
      <c r="K148">
        <v>0</v>
      </c>
      <c r="L148">
        <v>0</v>
      </c>
      <c r="M148">
        <v>0</v>
      </c>
      <c r="N148">
        <v>0</v>
      </c>
    </row>
    <row r="149" spans="1:14" x14ac:dyDescent="0.2">
      <c r="A149" t="s">
        <v>185</v>
      </c>
      <c r="B149" t="s">
        <v>191</v>
      </c>
      <c r="C149">
        <v>0.13</v>
      </c>
      <c r="D149">
        <v>0</v>
      </c>
      <c r="E149">
        <v>2</v>
      </c>
      <c r="F149">
        <v>8</v>
      </c>
      <c r="H149">
        <v>0</v>
      </c>
      <c r="I149">
        <v>0</v>
      </c>
      <c r="J149">
        <v>0</v>
      </c>
      <c r="K149">
        <v>0</v>
      </c>
      <c r="L149">
        <v>0</v>
      </c>
      <c r="M149">
        <v>0</v>
      </c>
      <c r="N149">
        <v>0</v>
      </c>
    </row>
    <row r="150" spans="1:14" x14ac:dyDescent="0.2">
      <c r="A150" t="s">
        <v>185</v>
      </c>
      <c r="B150" t="s">
        <v>192</v>
      </c>
      <c r="C150">
        <v>0.02</v>
      </c>
      <c r="D150">
        <v>0</v>
      </c>
      <c r="E150">
        <v>0</v>
      </c>
      <c r="F150">
        <v>4</v>
      </c>
      <c r="H150">
        <v>0</v>
      </c>
      <c r="I150">
        <v>0</v>
      </c>
      <c r="J150">
        <v>0</v>
      </c>
      <c r="K150">
        <v>0</v>
      </c>
      <c r="L150">
        <v>0</v>
      </c>
      <c r="M150">
        <v>0</v>
      </c>
      <c r="N150">
        <v>0</v>
      </c>
    </row>
    <row r="151" spans="1:14" x14ac:dyDescent="0.2">
      <c r="A151" t="s">
        <v>185</v>
      </c>
      <c r="B151" t="s">
        <v>193</v>
      </c>
      <c r="C151">
        <v>0.03</v>
      </c>
      <c r="D151">
        <v>0</v>
      </c>
      <c r="E151">
        <v>0</v>
      </c>
      <c r="F151">
        <v>6</v>
      </c>
      <c r="H151">
        <v>0</v>
      </c>
      <c r="I151">
        <v>0</v>
      </c>
      <c r="J151">
        <v>0</v>
      </c>
      <c r="K151">
        <v>0</v>
      </c>
      <c r="L151">
        <v>0</v>
      </c>
      <c r="M151">
        <v>0</v>
      </c>
      <c r="N151">
        <v>0</v>
      </c>
    </row>
    <row r="152" spans="1:14" x14ac:dyDescent="0.2">
      <c r="A152" t="s">
        <v>185</v>
      </c>
      <c r="B152" t="s">
        <v>194</v>
      </c>
      <c r="C152">
        <v>0.03</v>
      </c>
      <c r="D152">
        <v>0</v>
      </c>
      <c r="E152">
        <v>0</v>
      </c>
      <c r="F152">
        <v>6</v>
      </c>
      <c r="H152">
        <v>0</v>
      </c>
      <c r="I152">
        <v>0</v>
      </c>
      <c r="J152">
        <v>0</v>
      </c>
      <c r="K152">
        <v>0</v>
      </c>
      <c r="L152">
        <v>0</v>
      </c>
      <c r="M152">
        <v>0</v>
      </c>
      <c r="N152">
        <v>0</v>
      </c>
    </row>
    <row r="153" spans="1:14" x14ac:dyDescent="0.2">
      <c r="A153" t="s">
        <v>185</v>
      </c>
      <c r="B153" t="s">
        <v>195</v>
      </c>
      <c r="C153">
        <v>0.08</v>
      </c>
      <c r="D153">
        <v>0</v>
      </c>
      <c r="E153">
        <v>1</v>
      </c>
      <c r="F153">
        <v>7.25</v>
      </c>
      <c r="H153">
        <v>0</v>
      </c>
      <c r="I153">
        <v>0</v>
      </c>
      <c r="J153">
        <v>0</v>
      </c>
      <c r="K153">
        <v>0</v>
      </c>
      <c r="L153">
        <v>0</v>
      </c>
      <c r="M153">
        <v>0</v>
      </c>
      <c r="N153">
        <v>0</v>
      </c>
    </row>
    <row r="154" spans="1:14" x14ac:dyDescent="0.2">
      <c r="A154" t="s">
        <v>196</v>
      </c>
      <c r="B154" t="s">
        <v>197</v>
      </c>
      <c r="C154">
        <v>1.31</v>
      </c>
      <c r="D154">
        <v>1</v>
      </c>
      <c r="E154">
        <v>6</v>
      </c>
      <c r="F154">
        <v>3</v>
      </c>
      <c r="H154">
        <v>0</v>
      </c>
      <c r="I154">
        <v>0</v>
      </c>
      <c r="J154">
        <v>0</v>
      </c>
      <c r="K154">
        <v>0</v>
      </c>
      <c r="L154">
        <v>0</v>
      </c>
      <c r="M154">
        <v>0</v>
      </c>
      <c r="N154">
        <v>0</v>
      </c>
    </row>
    <row r="155" spans="1:14" x14ac:dyDescent="0.2">
      <c r="A155" t="s">
        <v>196</v>
      </c>
      <c r="B155" t="s">
        <v>164</v>
      </c>
      <c r="C155">
        <v>0</v>
      </c>
      <c r="D155">
        <v>0</v>
      </c>
      <c r="E155">
        <v>0</v>
      </c>
      <c r="F155">
        <v>0</v>
      </c>
      <c r="H155">
        <v>0</v>
      </c>
      <c r="I155">
        <v>0</v>
      </c>
      <c r="J155">
        <v>0</v>
      </c>
      <c r="K155">
        <v>0</v>
      </c>
      <c r="L155">
        <v>0</v>
      </c>
      <c r="M155">
        <v>0</v>
      </c>
      <c r="N155">
        <v>0</v>
      </c>
    </row>
    <row r="156" spans="1:14" x14ac:dyDescent="0.2">
      <c r="A156" t="s">
        <v>196</v>
      </c>
      <c r="B156" t="s">
        <v>198</v>
      </c>
      <c r="C156">
        <v>0</v>
      </c>
      <c r="D156">
        <v>0</v>
      </c>
      <c r="E156">
        <v>0</v>
      </c>
      <c r="F156">
        <v>0</v>
      </c>
      <c r="H156">
        <v>0</v>
      </c>
      <c r="I156">
        <v>0</v>
      </c>
      <c r="J156">
        <v>0</v>
      </c>
      <c r="K156">
        <v>0</v>
      </c>
      <c r="L156">
        <v>0</v>
      </c>
      <c r="M156">
        <v>0</v>
      </c>
      <c r="N156">
        <v>0</v>
      </c>
    </row>
    <row r="157" spans="1:14" x14ac:dyDescent="0.2">
      <c r="A157" t="s">
        <v>196</v>
      </c>
      <c r="B157" t="s">
        <v>199</v>
      </c>
      <c r="C157">
        <v>0.84</v>
      </c>
      <c r="D157">
        <v>0</v>
      </c>
      <c r="E157">
        <v>16</v>
      </c>
      <c r="F157">
        <v>9</v>
      </c>
      <c r="H157">
        <v>0</v>
      </c>
      <c r="I157">
        <v>0</v>
      </c>
      <c r="J157">
        <v>0</v>
      </c>
      <c r="K157">
        <v>0</v>
      </c>
      <c r="L157">
        <v>0</v>
      </c>
      <c r="M157">
        <v>0</v>
      </c>
      <c r="N157">
        <v>0</v>
      </c>
    </row>
    <row r="158" spans="1:14" x14ac:dyDescent="0.2">
      <c r="A158" t="s">
        <v>196</v>
      </c>
      <c r="B158" t="s">
        <v>200</v>
      </c>
      <c r="C158">
        <v>2.15</v>
      </c>
      <c r="D158">
        <v>2</v>
      </c>
      <c r="E158">
        <v>3</v>
      </c>
      <c r="F158">
        <v>0</v>
      </c>
      <c r="H158">
        <v>0</v>
      </c>
      <c r="I158">
        <v>0</v>
      </c>
      <c r="J158">
        <v>0</v>
      </c>
      <c r="K158">
        <v>0</v>
      </c>
      <c r="L158">
        <v>0</v>
      </c>
      <c r="M158">
        <v>0</v>
      </c>
      <c r="N158">
        <v>0</v>
      </c>
    </row>
    <row r="159" spans="1:14" x14ac:dyDescent="0.2">
      <c r="A159" t="s">
        <v>201</v>
      </c>
      <c r="B159" t="s">
        <v>202</v>
      </c>
      <c r="C159">
        <v>0.04</v>
      </c>
      <c r="D159">
        <v>0</v>
      </c>
      <c r="E159">
        <v>0</v>
      </c>
      <c r="F159">
        <v>10</v>
      </c>
      <c r="H159">
        <v>0</v>
      </c>
      <c r="I159">
        <v>0</v>
      </c>
      <c r="J159">
        <v>0</v>
      </c>
      <c r="K159">
        <v>0</v>
      </c>
      <c r="L159">
        <v>0</v>
      </c>
      <c r="M159">
        <v>0</v>
      </c>
      <c r="N159">
        <v>0</v>
      </c>
    </row>
    <row r="160" spans="1:14" x14ac:dyDescent="0.2">
      <c r="A160" t="s">
        <v>201</v>
      </c>
      <c r="B160" t="s">
        <v>203</v>
      </c>
      <c r="C160">
        <v>0.02</v>
      </c>
      <c r="D160">
        <v>0</v>
      </c>
      <c r="E160">
        <v>0</v>
      </c>
      <c r="F160">
        <v>4</v>
      </c>
      <c r="H160">
        <v>0</v>
      </c>
      <c r="I160">
        <v>0</v>
      </c>
      <c r="J160">
        <v>0</v>
      </c>
      <c r="K160">
        <v>0</v>
      </c>
      <c r="L160">
        <v>0</v>
      </c>
      <c r="M160">
        <v>0</v>
      </c>
      <c r="N160">
        <v>0</v>
      </c>
    </row>
    <row r="161" spans="1:14" x14ac:dyDescent="0.2">
      <c r="A161" t="s">
        <v>201</v>
      </c>
      <c r="B161" t="s">
        <v>204</v>
      </c>
      <c r="C161">
        <v>0.01</v>
      </c>
      <c r="D161">
        <v>0</v>
      </c>
      <c r="E161">
        <v>0</v>
      </c>
      <c r="F161">
        <v>3</v>
      </c>
      <c r="H161">
        <v>0</v>
      </c>
      <c r="I161">
        <v>0</v>
      </c>
      <c r="J161">
        <v>0</v>
      </c>
      <c r="K161">
        <v>0</v>
      </c>
      <c r="L161">
        <v>0</v>
      </c>
      <c r="M161">
        <v>0</v>
      </c>
      <c r="N161">
        <v>0</v>
      </c>
    </row>
    <row r="162" spans="1:14" x14ac:dyDescent="0.2">
      <c r="A162" t="s">
        <v>201</v>
      </c>
      <c r="B162" t="s">
        <v>205</v>
      </c>
      <c r="C162">
        <v>0.04</v>
      </c>
      <c r="D162">
        <v>0</v>
      </c>
      <c r="E162">
        <v>0</v>
      </c>
      <c r="F162">
        <v>10</v>
      </c>
      <c r="H162">
        <v>0</v>
      </c>
      <c r="I162">
        <v>0</v>
      </c>
      <c r="J162">
        <v>0</v>
      </c>
      <c r="K162">
        <v>0</v>
      </c>
      <c r="L162">
        <v>0</v>
      </c>
      <c r="M162">
        <v>0</v>
      </c>
      <c r="N162">
        <v>0</v>
      </c>
    </row>
    <row r="163" spans="1:14" x14ac:dyDescent="0.2">
      <c r="A163" t="s">
        <v>201</v>
      </c>
      <c r="B163" t="s">
        <v>206</v>
      </c>
      <c r="C163">
        <v>0.14000000000000001</v>
      </c>
      <c r="D163">
        <v>0</v>
      </c>
      <c r="E163">
        <v>2</v>
      </c>
      <c r="F163">
        <v>10</v>
      </c>
      <c r="H163">
        <v>0</v>
      </c>
      <c r="I163">
        <v>0</v>
      </c>
      <c r="J163">
        <v>0</v>
      </c>
      <c r="K163">
        <v>0</v>
      </c>
      <c r="L163">
        <v>0</v>
      </c>
      <c r="M163">
        <v>0</v>
      </c>
      <c r="N163">
        <v>0</v>
      </c>
    </row>
    <row r="164" spans="1:14" x14ac:dyDescent="0.2">
      <c r="A164" t="s">
        <v>201</v>
      </c>
      <c r="B164" t="s">
        <v>207</v>
      </c>
      <c r="C164">
        <v>0.04</v>
      </c>
      <c r="D164">
        <v>0</v>
      </c>
      <c r="E164">
        <v>0</v>
      </c>
      <c r="F164">
        <v>9</v>
      </c>
      <c r="H164">
        <v>0</v>
      </c>
      <c r="I164">
        <v>0</v>
      </c>
      <c r="J164">
        <v>0</v>
      </c>
      <c r="K164">
        <v>0</v>
      </c>
      <c r="L164">
        <v>0</v>
      </c>
      <c r="M164">
        <v>0</v>
      </c>
      <c r="N164">
        <v>0</v>
      </c>
    </row>
    <row r="165" spans="1:14" x14ac:dyDescent="0.2">
      <c r="A165" t="s">
        <v>201</v>
      </c>
      <c r="B165" t="s">
        <v>164</v>
      </c>
      <c r="C165">
        <v>0</v>
      </c>
      <c r="D165">
        <v>0</v>
      </c>
      <c r="E165">
        <v>0</v>
      </c>
      <c r="F165">
        <v>0</v>
      </c>
      <c r="H165">
        <v>0</v>
      </c>
      <c r="I165">
        <v>0</v>
      </c>
      <c r="J165">
        <v>0</v>
      </c>
      <c r="K165">
        <v>0</v>
      </c>
      <c r="L165">
        <v>0</v>
      </c>
      <c r="M165">
        <v>0</v>
      </c>
      <c r="N165">
        <v>0</v>
      </c>
    </row>
    <row r="166" spans="1:14" x14ac:dyDescent="0.2">
      <c r="A166" t="s">
        <v>201</v>
      </c>
      <c r="B166" t="s">
        <v>208</v>
      </c>
      <c r="C166">
        <v>0.08</v>
      </c>
      <c r="D166">
        <v>0</v>
      </c>
      <c r="E166">
        <v>1</v>
      </c>
      <c r="F166">
        <v>8</v>
      </c>
      <c r="H166">
        <v>0</v>
      </c>
      <c r="I166">
        <v>0</v>
      </c>
      <c r="J166">
        <v>0</v>
      </c>
      <c r="K166">
        <v>0</v>
      </c>
      <c r="L166">
        <v>0</v>
      </c>
      <c r="M166">
        <v>0</v>
      </c>
      <c r="N166">
        <v>0</v>
      </c>
    </row>
    <row r="167" spans="1:14" x14ac:dyDescent="0.2">
      <c r="A167" t="s">
        <v>209</v>
      </c>
      <c r="B167" t="s">
        <v>210</v>
      </c>
      <c r="C167">
        <v>0.22</v>
      </c>
      <c r="D167">
        <v>0</v>
      </c>
      <c r="E167">
        <v>4</v>
      </c>
      <c r="F167">
        <v>4</v>
      </c>
      <c r="G167" t="s">
        <v>55</v>
      </c>
      <c r="H167">
        <v>20</v>
      </c>
      <c r="I167">
        <v>6</v>
      </c>
      <c r="J167">
        <v>20.75</v>
      </c>
      <c r="K167">
        <v>20.75</v>
      </c>
      <c r="L167">
        <v>0</v>
      </c>
      <c r="M167">
        <v>20</v>
      </c>
      <c r="N167">
        <v>6</v>
      </c>
    </row>
    <row r="168" spans="1:14" x14ac:dyDescent="0.2">
      <c r="A168" t="s">
        <v>209</v>
      </c>
      <c r="B168" t="s">
        <v>211</v>
      </c>
      <c r="C168">
        <v>0.22</v>
      </c>
      <c r="D168">
        <v>0</v>
      </c>
      <c r="E168">
        <v>4</v>
      </c>
      <c r="F168">
        <v>4</v>
      </c>
      <c r="H168">
        <v>0</v>
      </c>
      <c r="I168">
        <v>0</v>
      </c>
      <c r="J168">
        <v>0</v>
      </c>
      <c r="K168">
        <v>0</v>
      </c>
      <c r="L168">
        <v>0</v>
      </c>
      <c r="M168">
        <v>0</v>
      </c>
      <c r="N168">
        <v>0</v>
      </c>
    </row>
    <row r="169" spans="1:14" x14ac:dyDescent="0.2">
      <c r="A169" t="s">
        <v>212</v>
      </c>
      <c r="B169" t="s">
        <v>213</v>
      </c>
      <c r="C169">
        <v>0.03</v>
      </c>
      <c r="D169">
        <v>0</v>
      </c>
      <c r="E169">
        <v>0</v>
      </c>
      <c r="F169">
        <v>6.5</v>
      </c>
      <c r="H169">
        <v>0</v>
      </c>
      <c r="I169">
        <v>0</v>
      </c>
      <c r="J169">
        <v>0</v>
      </c>
      <c r="K169">
        <v>0</v>
      </c>
      <c r="L169">
        <v>0</v>
      </c>
      <c r="M169">
        <v>0</v>
      </c>
      <c r="N169">
        <v>0</v>
      </c>
    </row>
    <row r="170" spans="1:14" x14ac:dyDescent="0.2">
      <c r="A170" t="s">
        <v>212</v>
      </c>
      <c r="B170" t="s">
        <v>214</v>
      </c>
      <c r="C170">
        <v>0.02</v>
      </c>
      <c r="D170">
        <v>0</v>
      </c>
      <c r="E170">
        <v>0</v>
      </c>
      <c r="F170">
        <v>4.5</v>
      </c>
      <c r="H170">
        <v>0</v>
      </c>
      <c r="I170">
        <v>0</v>
      </c>
      <c r="J170">
        <v>0</v>
      </c>
      <c r="K170">
        <v>0</v>
      </c>
      <c r="L170">
        <v>0</v>
      </c>
      <c r="M170">
        <v>0</v>
      </c>
      <c r="N170">
        <v>0</v>
      </c>
    </row>
    <row r="171" spans="1:14" x14ac:dyDescent="0.2">
      <c r="A171" t="s">
        <v>212</v>
      </c>
      <c r="B171" t="s">
        <v>215</v>
      </c>
      <c r="C171">
        <v>0.02</v>
      </c>
      <c r="D171">
        <v>0</v>
      </c>
      <c r="E171">
        <v>0</v>
      </c>
      <c r="F171">
        <v>4</v>
      </c>
      <c r="H171">
        <v>0</v>
      </c>
      <c r="I171">
        <v>0</v>
      </c>
      <c r="J171">
        <v>0</v>
      </c>
      <c r="K171">
        <v>0</v>
      </c>
      <c r="L171">
        <v>0</v>
      </c>
      <c r="M171">
        <v>0</v>
      </c>
      <c r="N171">
        <v>0</v>
      </c>
    </row>
    <row r="172" spans="1:14" x14ac:dyDescent="0.2">
      <c r="A172" t="s">
        <v>212</v>
      </c>
      <c r="B172" t="s">
        <v>216</v>
      </c>
      <c r="C172">
        <v>0</v>
      </c>
      <c r="D172">
        <v>0</v>
      </c>
      <c r="E172">
        <v>0</v>
      </c>
      <c r="F172">
        <v>1</v>
      </c>
      <c r="H172">
        <v>0</v>
      </c>
      <c r="I172">
        <v>0</v>
      </c>
      <c r="J172">
        <v>0</v>
      </c>
      <c r="K172">
        <v>0</v>
      </c>
      <c r="L172">
        <v>0</v>
      </c>
      <c r="M172">
        <v>0</v>
      </c>
      <c r="N172">
        <v>0</v>
      </c>
    </row>
    <row r="173" spans="1:14" x14ac:dyDescent="0.2">
      <c r="A173" t="s">
        <v>212</v>
      </c>
      <c r="B173" t="s">
        <v>217</v>
      </c>
      <c r="C173">
        <v>0.05</v>
      </c>
      <c r="D173">
        <v>0</v>
      </c>
      <c r="E173">
        <v>1</v>
      </c>
      <c r="F173">
        <v>1</v>
      </c>
      <c r="H173">
        <v>0</v>
      </c>
      <c r="I173">
        <v>0</v>
      </c>
      <c r="J173">
        <v>0</v>
      </c>
      <c r="K173">
        <v>0</v>
      </c>
      <c r="L173">
        <v>0</v>
      </c>
      <c r="M173">
        <v>0</v>
      </c>
      <c r="N173">
        <v>0</v>
      </c>
    </row>
    <row r="174" spans="1:14" x14ac:dyDescent="0.2">
      <c r="A174" t="s">
        <v>212</v>
      </c>
      <c r="B174" t="s">
        <v>218</v>
      </c>
      <c r="C174">
        <v>0.12</v>
      </c>
      <c r="D174">
        <v>0</v>
      </c>
      <c r="E174">
        <v>2</v>
      </c>
      <c r="F174">
        <v>6</v>
      </c>
      <c r="H174">
        <v>0</v>
      </c>
      <c r="I174">
        <v>0</v>
      </c>
      <c r="J174">
        <v>0</v>
      </c>
      <c r="K174">
        <v>0</v>
      </c>
      <c r="L174">
        <v>0</v>
      </c>
      <c r="M174">
        <v>0</v>
      </c>
      <c r="N174">
        <v>0</v>
      </c>
    </row>
    <row r="175" spans="1:14" x14ac:dyDescent="0.2">
      <c r="A175" t="s">
        <v>219</v>
      </c>
      <c r="B175" t="s">
        <v>220</v>
      </c>
      <c r="C175">
        <v>0.03</v>
      </c>
      <c r="D175">
        <v>0</v>
      </c>
      <c r="E175">
        <v>0</v>
      </c>
      <c r="F175">
        <v>6</v>
      </c>
      <c r="H175">
        <v>0</v>
      </c>
      <c r="I175">
        <v>0</v>
      </c>
      <c r="J175">
        <v>0</v>
      </c>
      <c r="K175">
        <v>0</v>
      </c>
      <c r="L175">
        <v>0</v>
      </c>
      <c r="M175">
        <v>0</v>
      </c>
      <c r="N175">
        <v>0</v>
      </c>
    </row>
    <row r="176" spans="1:14" x14ac:dyDescent="0.2">
      <c r="A176" t="s">
        <v>219</v>
      </c>
      <c r="B176" t="s">
        <v>221</v>
      </c>
      <c r="C176">
        <v>0.02</v>
      </c>
      <c r="D176">
        <v>0</v>
      </c>
      <c r="E176">
        <v>0</v>
      </c>
      <c r="F176">
        <v>5</v>
      </c>
      <c r="H176">
        <v>0</v>
      </c>
      <c r="I176">
        <v>0</v>
      </c>
      <c r="J176">
        <v>0</v>
      </c>
      <c r="K176">
        <v>0</v>
      </c>
      <c r="L176">
        <v>0</v>
      </c>
      <c r="M176">
        <v>0</v>
      </c>
      <c r="N176">
        <v>0</v>
      </c>
    </row>
    <row r="177" spans="1:16" x14ac:dyDescent="0.2">
      <c r="A177" t="s">
        <v>219</v>
      </c>
      <c r="B177" t="s">
        <v>222</v>
      </c>
      <c r="C177">
        <v>0.03</v>
      </c>
      <c r="D177">
        <v>0</v>
      </c>
      <c r="E177">
        <v>0</v>
      </c>
      <c r="F177">
        <v>6</v>
      </c>
      <c r="H177">
        <v>0</v>
      </c>
      <c r="I177">
        <v>0</v>
      </c>
      <c r="J177">
        <v>0</v>
      </c>
      <c r="K177">
        <v>0</v>
      </c>
      <c r="L177">
        <v>0</v>
      </c>
      <c r="M177">
        <v>0</v>
      </c>
      <c r="N177">
        <v>0</v>
      </c>
    </row>
    <row r="178" spans="1:16" x14ac:dyDescent="0.2">
      <c r="A178" t="s">
        <v>219</v>
      </c>
      <c r="B178" t="s">
        <v>223</v>
      </c>
      <c r="C178">
        <v>0.02</v>
      </c>
      <c r="D178">
        <v>0</v>
      </c>
      <c r="E178">
        <v>0</v>
      </c>
      <c r="F178">
        <v>5</v>
      </c>
      <c r="H178">
        <v>0</v>
      </c>
      <c r="I178">
        <v>0</v>
      </c>
      <c r="J178">
        <v>0</v>
      </c>
      <c r="K178">
        <v>0</v>
      </c>
      <c r="L178">
        <v>0</v>
      </c>
      <c r="M178">
        <v>0</v>
      </c>
      <c r="N178">
        <v>0</v>
      </c>
    </row>
    <row r="179" spans="1:16" x14ac:dyDescent="0.2">
      <c r="A179" t="s">
        <v>219</v>
      </c>
      <c r="B179" t="s">
        <v>224</v>
      </c>
      <c r="C179">
        <v>0.04</v>
      </c>
      <c r="D179">
        <v>0</v>
      </c>
      <c r="E179">
        <v>0</v>
      </c>
      <c r="F179">
        <v>9</v>
      </c>
      <c r="H179">
        <v>0</v>
      </c>
      <c r="I179">
        <v>0</v>
      </c>
      <c r="J179">
        <v>0</v>
      </c>
      <c r="K179">
        <v>0</v>
      </c>
      <c r="L179">
        <v>0</v>
      </c>
      <c r="M179">
        <v>0</v>
      </c>
      <c r="N179">
        <v>0</v>
      </c>
    </row>
    <row r="180" spans="1:16" x14ac:dyDescent="0.2">
      <c r="A180" t="s">
        <v>219</v>
      </c>
      <c r="B180" t="s">
        <v>225</v>
      </c>
      <c r="C180">
        <v>0.17</v>
      </c>
      <c r="D180">
        <v>0</v>
      </c>
      <c r="E180">
        <v>3</v>
      </c>
      <c r="F180">
        <v>6</v>
      </c>
      <c r="H180">
        <v>0</v>
      </c>
      <c r="I180">
        <v>0</v>
      </c>
      <c r="J180">
        <v>0</v>
      </c>
      <c r="K180">
        <v>0</v>
      </c>
      <c r="L180">
        <v>0</v>
      </c>
      <c r="M180">
        <v>0</v>
      </c>
      <c r="N180">
        <v>0</v>
      </c>
    </row>
    <row r="181" spans="1:16" x14ac:dyDescent="0.2">
      <c r="A181" t="s">
        <v>226</v>
      </c>
      <c r="B181" t="s">
        <v>227</v>
      </c>
      <c r="C181">
        <v>17.149999999999999</v>
      </c>
      <c r="D181">
        <v>17</v>
      </c>
      <c r="E181">
        <v>2</v>
      </c>
      <c r="F181">
        <v>11.25</v>
      </c>
      <c r="H181">
        <v>0</v>
      </c>
      <c r="I181">
        <v>0</v>
      </c>
      <c r="J181">
        <v>0</v>
      </c>
      <c r="K181">
        <v>0</v>
      </c>
      <c r="L181">
        <v>0</v>
      </c>
      <c r="M181">
        <v>0</v>
      </c>
      <c r="N181">
        <v>0</v>
      </c>
    </row>
    <row r="182" spans="1:16" x14ac:dyDescent="0.2">
      <c r="A182" t="s">
        <v>228</v>
      </c>
      <c r="B182" t="s">
        <v>229</v>
      </c>
      <c r="C182">
        <v>99.69</v>
      </c>
      <c r="D182">
        <v>99</v>
      </c>
      <c r="E182">
        <v>13</v>
      </c>
      <c r="F182">
        <v>10.25</v>
      </c>
      <c r="H182">
        <v>0</v>
      </c>
      <c r="I182">
        <v>0</v>
      </c>
      <c r="J182">
        <v>0</v>
      </c>
      <c r="K182">
        <v>0</v>
      </c>
      <c r="L182">
        <v>0</v>
      </c>
      <c r="M182">
        <v>0</v>
      </c>
      <c r="N182">
        <v>0</v>
      </c>
    </row>
    <row r="183" spans="1:16" x14ac:dyDescent="0.2">
      <c r="A183" t="s">
        <v>230</v>
      </c>
      <c r="B183" t="s">
        <v>231</v>
      </c>
      <c r="C183">
        <v>0</v>
      </c>
      <c r="D183">
        <v>0</v>
      </c>
      <c r="E183">
        <v>0</v>
      </c>
      <c r="F183">
        <v>0</v>
      </c>
      <c r="H183">
        <v>0</v>
      </c>
      <c r="I183">
        <v>5.5</v>
      </c>
      <c r="J183">
        <v>0.6875</v>
      </c>
      <c r="K183">
        <v>0.6875</v>
      </c>
      <c r="L183">
        <v>0</v>
      </c>
      <c r="M183">
        <v>0</v>
      </c>
      <c r="N183">
        <v>5.5</v>
      </c>
    </row>
    <row r="184" spans="1:16" x14ac:dyDescent="0.2">
      <c r="A184" t="s">
        <v>230</v>
      </c>
      <c r="B184" t="s">
        <v>232</v>
      </c>
      <c r="C184">
        <v>0</v>
      </c>
      <c r="D184">
        <v>0</v>
      </c>
      <c r="E184">
        <v>0</v>
      </c>
      <c r="F184">
        <v>0</v>
      </c>
      <c r="G184" t="s">
        <v>55</v>
      </c>
      <c r="H184">
        <v>83</v>
      </c>
      <c r="I184">
        <v>0.5</v>
      </c>
      <c r="J184">
        <v>83.0625</v>
      </c>
      <c r="K184">
        <v>83.0625</v>
      </c>
      <c r="L184">
        <v>0</v>
      </c>
      <c r="M184">
        <v>83</v>
      </c>
      <c r="N184">
        <v>0.5</v>
      </c>
    </row>
    <row r="185" spans="1:16" x14ac:dyDescent="0.2">
      <c r="A185" t="s">
        <v>230</v>
      </c>
      <c r="B185" t="s">
        <v>233</v>
      </c>
      <c r="C185">
        <v>0</v>
      </c>
      <c r="D185">
        <v>0</v>
      </c>
      <c r="E185">
        <v>0</v>
      </c>
      <c r="F185">
        <v>0</v>
      </c>
      <c r="H185">
        <v>0</v>
      </c>
      <c r="I185">
        <v>0</v>
      </c>
      <c r="J185">
        <v>0</v>
      </c>
      <c r="K185">
        <v>0</v>
      </c>
      <c r="L185">
        <v>0</v>
      </c>
      <c r="M185">
        <v>0</v>
      </c>
      <c r="N185">
        <v>0</v>
      </c>
    </row>
    <row r="186" spans="1:16" x14ac:dyDescent="0.2">
      <c r="A186" t="s">
        <v>230</v>
      </c>
      <c r="B186" t="s">
        <v>234</v>
      </c>
      <c r="C186">
        <v>0</v>
      </c>
      <c r="D186">
        <v>0</v>
      </c>
      <c r="E186">
        <v>0</v>
      </c>
      <c r="F186">
        <v>0</v>
      </c>
      <c r="H186">
        <v>26</v>
      </c>
      <c r="I186">
        <v>2</v>
      </c>
      <c r="J186">
        <v>26.25</v>
      </c>
      <c r="K186">
        <v>26.25</v>
      </c>
      <c r="L186">
        <v>0</v>
      </c>
      <c r="M186">
        <v>26</v>
      </c>
      <c r="N186">
        <v>2</v>
      </c>
    </row>
    <row r="187" spans="1:16" x14ac:dyDescent="0.2">
      <c r="A187" t="s">
        <v>230</v>
      </c>
      <c r="B187" t="s">
        <v>235</v>
      </c>
      <c r="C187">
        <v>0</v>
      </c>
      <c r="D187">
        <v>0</v>
      </c>
      <c r="E187">
        <v>0</v>
      </c>
      <c r="F187">
        <v>0</v>
      </c>
      <c r="H187">
        <v>1</v>
      </c>
      <c r="I187">
        <v>5</v>
      </c>
      <c r="J187">
        <v>1.625</v>
      </c>
      <c r="K187">
        <v>0.25</v>
      </c>
      <c r="L187">
        <v>1.375</v>
      </c>
      <c r="M187">
        <v>0</v>
      </c>
      <c r="N187">
        <v>2</v>
      </c>
      <c r="O187">
        <v>1</v>
      </c>
      <c r="P187">
        <v>5</v>
      </c>
    </row>
    <row r="188" spans="1:16" x14ac:dyDescent="0.2">
      <c r="A188" t="s">
        <v>230</v>
      </c>
      <c r="B188" t="s">
        <v>236</v>
      </c>
      <c r="C188">
        <v>0</v>
      </c>
      <c r="D188">
        <v>0</v>
      </c>
      <c r="E188">
        <v>0</v>
      </c>
      <c r="F188">
        <v>0</v>
      </c>
      <c r="H188">
        <v>4</v>
      </c>
      <c r="I188">
        <v>2.5</v>
      </c>
      <c r="J188">
        <v>4.3125</v>
      </c>
      <c r="K188">
        <v>4.3125</v>
      </c>
      <c r="L188">
        <v>0</v>
      </c>
      <c r="M188">
        <v>4</v>
      </c>
      <c r="N188">
        <v>2.5</v>
      </c>
    </row>
    <row r="189" spans="1:16" x14ac:dyDescent="0.2">
      <c r="A189" t="s">
        <v>230</v>
      </c>
      <c r="B189" t="s">
        <v>237</v>
      </c>
      <c r="C189">
        <v>0</v>
      </c>
      <c r="D189">
        <v>0</v>
      </c>
      <c r="E189">
        <v>0</v>
      </c>
      <c r="F189">
        <v>0</v>
      </c>
      <c r="H189">
        <v>6</v>
      </c>
      <c r="I189">
        <v>0</v>
      </c>
      <c r="J189">
        <v>6</v>
      </c>
      <c r="K189">
        <v>6</v>
      </c>
      <c r="L189">
        <v>0</v>
      </c>
      <c r="M189">
        <v>6</v>
      </c>
      <c r="N189">
        <v>0</v>
      </c>
    </row>
    <row r="190" spans="1:16" x14ac:dyDescent="0.2">
      <c r="A190" t="s">
        <v>230</v>
      </c>
      <c r="B190" t="s">
        <v>238</v>
      </c>
      <c r="C190">
        <v>0</v>
      </c>
      <c r="D190">
        <v>0</v>
      </c>
      <c r="E190">
        <v>0</v>
      </c>
      <c r="F190">
        <v>0</v>
      </c>
      <c r="H190">
        <v>46.5</v>
      </c>
      <c r="I190">
        <v>0</v>
      </c>
      <c r="J190">
        <v>46.5</v>
      </c>
      <c r="K190">
        <v>46.5</v>
      </c>
      <c r="L190">
        <v>0</v>
      </c>
      <c r="M190">
        <v>46.5</v>
      </c>
      <c r="N190">
        <v>0</v>
      </c>
    </row>
    <row r="191" spans="1:16" x14ac:dyDescent="0.2">
      <c r="A191" t="s">
        <v>230</v>
      </c>
      <c r="B191" t="s">
        <v>239</v>
      </c>
      <c r="C191">
        <v>0</v>
      </c>
      <c r="D191">
        <v>0</v>
      </c>
      <c r="E191">
        <v>0</v>
      </c>
      <c r="F191">
        <v>0</v>
      </c>
      <c r="H191">
        <v>83</v>
      </c>
      <c r="I191">
        <v>0.5</v>
      </c>
      <c r="J191">
        <v>83.0625</v>
      </c>
      <c r="K191">
        <v>83.0625</v>
      </c>
      <c r="L191">
        <v>0</v>
      </c>
      <c r="M191">
        <v>83</v>
      </c>
      <c r="N191">
        <v>0.5</v>
      </c>
    </row>
    <row r="192" spans="1:16" x14ac:dyDescent="0.2">
      <c r="A192" t="s">
        <v>240</v>
      </c>
      <c r="B192" t="s">
        <v>241</v>
      </c>
      <c r="C192">
        <v>0</v>
      </c>
      <c r="D192">
        <v>0</v>
      </c>
      <c r="E192">
        <v>0</v>
      </c>
      <c r="F192">
        <v>0</v>
      </c>
      <c r="H192">
        <v>6</v>
      </c>
      <c r="I192">
        <v>6</v>
      </c>
      <c r="J192">
        <v>6.75</v>
      </c>
      <c r="K192">
        <v>6.75</v>
      </c>
      <c r="L192">
        <v>0</v>
      </c>
      <c r="M192">
        <v>6</v>
      </c>
      <c r="N192">
        <v>6</v>
      </c>
    </row>
    <row r="193" spans="1:16" x14ac:dyDescent="0.2">
      <c r="A193" t="s">
        <v>240</v>
      </c>
      <c r="B193" t="s">
        <v>242</v>
      </c>
      <c r="C193">
        <v>0</v>
      </c>
      <c r="D193">
        <v>0</v>
      </c>
      <c r="E193">
        <v>0</v>
      </c>
      <c r="F193">
        <v>0</v>
      </c>
      <c r="G193" t="s">
        <v>82</v>
      </c>
      <c r="H193">
        <v>127</v>
      </c>
      <c r="I193">
        <v>6</v>
      </c>
      <c r="J193">
        <v>127.75</v>
      </c>
      <c r="K193">
        <v>127.75</v>
      </c>
      <c r="L193">
        <v>0</v>
      </c>
      <c r="M193">
        <v>127</v>
      </c>
      <c r="N193">
        <v>6</v>
      </c>
    </row>
    <row r="194" spans="1:16" x14ac:dyDescent="0.2">
      <c r="A194" t="s">
        <v>240</v>
      </c>
      <c r="B194" t="s">
        <v>243</v>
      </c>
      <c r="C194">
        <v>0</v>
      </c>
      <c r="D194">
        <v>0</v>
      </c>
      <c r="E194">
        <v>0</v>
      </c>
      <c r="F194">
        <v>0</v>
      </c>
      <c r="H194">
        <v>75</v>
      </c>
      <c r="I194">
        <v>0</v>
      </c>
      <c r="J194">
        <v>75</v>
      </c>
      <c r="K194">
        <v>75</v>
      </c>
      <c r="L194">
        <v>0</v>
      </c>
      <c r="M194">
        <v>75</v>
      </c>
      <c r="N194">
        <v>0</v>
      </c>
    </row>
    <row r="195" spans="1:16" x14ac:dyDescent="0.2">
      <c r="A195" t="s">
        <v>240</v>
      </c>
      <c r="B195" t="s">
        <v>244</v>
      </c>
      <c r="C195">
        <v>0</v>
      </c>
      <c r="D195">
        <v>0</v>
      </c>
      <c r="E195">
        <v>0</v>
      </c>
      <c r="F195">
        <v>0</v>
      </c>
      <c r="H195">
        <v>202</v>
      </c>
      <c r="I195">
        <v>6</v>
      </c>
      <c r="J195">
        <v>202.75</v>
      </c>
      <c r="K195">
        <v>202.75</v>
      </c>
      <c r="L195">
        <v>0</v>
      </c>
      <c r="M195">
        <v>202</v>
      </c>
      <c r="N195">
        <v>6</v>
      </c>
    </row>
    <row r="196" spans="1:16" x14ac:dyDescent="0.2">
      <c r="A196" t="s">
        <v>240</v>
      </c>
      <c r="B196" t="s">
        <v>245</v>
      </c>
      <c r="C196">
        <v>0</v>
      </c>
      <c r="D196">
        <v>0</v>
      </c>
      <c r="E196">
        <v>0</v>
      </c>
      <c r="F196">
        <v>0</v>
      </c>
      <c r="H196">
        <v>48</v>
      </c>
      <c r="I196">
        <v>6</v>
      </c>
      <c r="J196">
        <v>48.75</v>
      </c>
      <c r="K196">
        <v>48.75</v>
      </c>
      <c r="L196">
        <v>0</v>
      </c>
      <c r="M196">
        <v>48</v>
      </c>
      <c r="N196">
        <v>6</v>
      </c>
    </row>
    <row r="197" spans="1:16" x14ac:dyDescent="0.2">
      <c r="A197" t="s">
        <v>240</v>
      </c>
      <c r="B197" t="s">
        <v>246</v>
      </c>
      <c r="C197">
        <v>0</v>
      </c>
      <c r="D197">
        <v>0</v>
      </c>
      <c r="E197">
        <v>0</v>
      </c>
      <c r="F197">
        <v>0</v>
      </c>
      <c r="H197">
        <v>11</v>
      </c>
      <c r="I197">
        <v>4</v>
      </c>
      <c r="J197">
        <v>11.5</v>
      </c>
      <c r="K197">
        <v>0.5</v>
      </c>
      <c r="L197">
        <v>11</v>
      </c>
      <c r="M197">
        <v>0</v>
      </c>
      <c r="N197">
        <v>4</v>
      </c>
      <c r="O197">
        <v>11</v>
      </c>
      <c r="P197">
        <v>0</v>
      </c>
    </row>
    <row r="198" spans="1:16" x14ac:dyDescent="0.2">
      <c r="A198" t="s">
        <v>240</v>
      </c>
      <c r="B198" t="s">
        <v>247</v>
      </c>
      <c r="C198">
        <v>0</v>
      </c>
      <c r="D198">
        <v>0</v>
      </c>
      <c r="E198">
        <v>0</v>
      </c>
      <c r="F198">
        <v>0</v>
      </c>
      <c r="H198">
        <v>0</v>
      </c>
      <c r="I198">
        <v>0</v>
      </c>
      <c r="J198">
        <v>0</v>
      </c>
      <c r="K198">
        <v>0</v>
      </c>
      <c r="L198">
        <v>0</v>
      </c>
      <c r="M198">
        <v>0</v>
      </c>
      <c r="N198">
        <v>0</v>
      </c>
    </row>
    <row r="199" spans="1:16" x14ac:dyDescent="0.2">
      <c r="A199" t="s">
        <v>240</v>
      </c>
      <c r="B199" t="s">
        <v>248</v>
      </c>
      <c r="C199">
        <v>0</v>
      </c>
      <c r="D199">
        <v>0</v>
      </c>
      <c r="E199">
        <v>0</v>
      </c>
      <c r="F199">
        <v>0</v>
      </c>
      <c r="H199">
        <v>154</v>
      </c>
      <c r="I199">
        <v>0</v>
      </c>
      <c r="J199">
        <v>154</v>
      </c>
      <c r="K199">
        <v>154</v>
      </c>
      <c r="L199">
        <v>0</v>
      </c>
      <c r="M199">
        <v>154</v>
      </c>
      <c r="N199">
        <v>0</v>
      </c>
    </row>
    <row r="200" spans="1:16" x14ac:dyDescent="0.2">
      <c r="A200" t="s">
        <v>240</v>
      </c>
      <c r="B200" t="s">
        <v>249</v>
      </c>
      <c r="C200">
        <v>0</v>
      </c>
      <c r="D200">
        <v>0</v>
      </c>
      <c r="E200">
        <v>0</v>
      </c>
      <c r="F200">
        <v>0</v>
      </c>
      <c r="H200">
        <v>202</v>
      </c>
      <c r="I200">
        <v>6</v>
      </c>
      <c r="J200">
        <v>202.75</v>
      </c>
      <c r="K200">
        <v>202.75</v>
      </c>
      <c r="L200">
        <v>0</v>
      </c>
      <c r="M200">
        <v>202</v>
      </c>
      <c r="N200">
        <v>6</v>
      </c>
    </row>
    <row r="201" spans="1:16" x14ac:dyDescent="0.2">
      <c r="A201" t="s">
        <v>250</v>
      </c>
      <c r="B201" t="s">
        <v>251</v>
      </c>
      <c r="C201">
        <v>0</v>
      </c>
      <c r="D201">
        <v>0</v>
      </c>
      <c r="E201">
        <v>0</v>
      </c>
      <c r="F201">
        <v>0</v>
      </c>
      <c r="G201" t="s">
        <v>55</v>
      </c>
      <c r="H201">
        <v>6</v>
      </c>
      <c r="I201">
        <v>0</v>
      </c>
      <c r="J201">
        <v>6</v>
      </c>
      <c r="K201">
        <v>6</v>
      </c>
      <c r="L201">
        <v>0</v>
      </c>
      <c r="M201">
        <v>6</v>
      </c>
      <c r="N201">
        <v>0</v>
      </c>
    </row>
    <row r="202" spans="1:16" x14ac:dyDescent="0.2">
      <c r="A202" t="s">
        <v>250</v>
      </c>
      <c r="B202" t="s">
        <v>252</v>
      </c>
      <c r="C202">
        <v>0</v>
      </c>
      <c r="D202">
        <v>0</v>
      </c>
      <c r="E202">
        <v>0</v>
      </c>
      <c r="F202">
        <v>0</v>
      </c>
      <c r="H202">
        <v>19</v>
      </c>
      <c r="I202">
        <v>6.5</v>
      </c>
      <c r="J202">
        <v>19.8125</v>
      </c>
      <c r="K202">
        <v>19.8125</v>
      </c>
      <c r="L202">
        <v>0</v>
      </c>
      <c r="M202">
        <v>19</v>
      </c>
      <c r="N202">
        <v>6.5</v>
      </c>
    </row>
    <row r="203" spans="1:16" x14ac:dyDescent="0.2">
      <c r="A203" t="s">
        <v>250</v>
      </c>
      <c r="B203" t="s">
        <v>253</v>
      </c>
      <c r="C203">
        <v>0</v>
      </c>
      <c r="D203">
        <v>0</v>
      </c>
      <c r="E203">
        <v>0</v>
      </c>
      <c r="F203">
        <v>0</v>
      </c>
      <c r="H203">
        <v>21</v>
      </c>
      <c r="I203">
        <v>4.5</v>
      </c>
      <c r="J203">
        <v>21.5625</v>
      </c>
      <c r="K203">
        <v>25.8125</v>
      </c>
      <c r="L203">
        <v>-4.25</v>
      </c>
      <c r="M203">
        <v>25</v>
      </c>
      <c r="N203">
        <v>6.5</v>
      </c>
      <c r="O203">
        <v>21</v>
      </c>
      <c r="P203">
        <v>4.5</v>
      </c>
    </row>
    <row r="204" spans="1:16" x14ac:dyDescent="0.2">
      <c r="A204" t="s">
        <v>250</v>
      </c>
      <c r="B204" t="s">
        <v>254</v>
      </c>
      <c r="C204">
        <v>0</v>
      </c>
      <c r="D204">
        <v>0</v>
      </c>
      <c r="E204">
        <v>0</v>
      </c>
      <c r="F204">
        <v>0</v>
      </c>
      <c r="H204">
        <v>1</v>
      </c>
      <c r="I204">
        <v>2</v>
      </c>
      <c r="J204">
        <v>1.25</v>
      </c>
      <c r="K204">
        <v>1.25</v>
      </c>
      <c r="L204">
        <v>0</v>
      </c>
      <c r="M204">
        <v>1</v>
      </c>
      <c r="N204">
        <v>2</v>
      </c>
    </row>
    <row r="205" spans="1:16" x14ac:dyDescent="0.2">
      <c r="A205" t="s">
        <v>250</v>
      </c>
      <c r="B205" t="s">
        <v>164</v>
      </c>
      <c r="C205">
        <v>0</v>
      </c>
      <c r="D205">
        <v>0</v>
      </c>
      <c r="E205">
        <v>0</v>
      </c>
      <c r="F205">
        <v>0</v>
      </c>
      <c r="H205">
        <v>0</v>
      </c>
      <c r="I205">
        <v>0</v>
      </c>
      <c r="J205">
        <v>0</v>
      </c>
      <c r="K205">
        <v>0</v>
      </c>
      <c r="L205">
        <v>0</v>
      </c>
      <c r="M205">
        <v>0</v>
      </c>
      <c r="N205">
        <v>0</v>
      </c>
    </row>
    <row r="206" spans="1:16" x14ac:dyDescent="0.2">
      <c r="A206" t="s">
        <v>250</v>
      </c>
      <c r="B206" t="s">
        <v>255</v>
      </c>
      <c r="C206">
        <v>0</v>
      </c>
      <c r="D206">
        <v>0</v>
      </c>
      <c r="E206">
        <v>0</v>
      </c>
      <c r="F206">
        <v>0</v>
      </c>
      <c r="H206">
        <v>3</v>
      </c>
      <c r="I206">
        <v>0</v>
      </c>
      <c r="J206">
        <v>3</v>
      </c>
      <c r="K206">
        <v>3</v>
      </c>
      <c r="L206">
        <v>0</v>
      </c>
      <c r="M206">
        <v>3</v>
      </c>
      <c r="N206">
        <v>0</v>
      </c>
    </row>
    <row r="207" spans="1:16" x14ac:dyDescent="0.2">
      <c r="A207" t="s">
        <v>250</v>
      </c>
      <c r="B207" t="s">
        <v>256</v>
      </c>
      <c r="C207">
        <v>0</v>
      </c>
      <c r="D207">
        <v>0</v>
      </c>
      <c r="E207">
        <v>0</v>
      </c>
      <c r="F207">
        <v>0</v>
      </c>
      <c r="H207">
        <v>25</v>
      </c>
      <c r="I207">
        <v>6.5</v>
      </c>
      <c r="J207">
        <v>25.8125</v>
      </c>
      <c r="K207">
        <v>25.8125</v>
      </c>
      <c r="L207">
        <v>0</v>
      </c>
      <c r="M207">
        <v>25</v>
      </c>
      <c r="N207">
        <v>6.5</v>
      </c>
    </row>
    <row r="208" spans="1:16" x14ac:dyDescent="0.2">
      <c r="A208" t="s">
        <v>257</v>
      </c>
      <c r="B208" t="s">
        <v>258</v>
      </c>
      <c r="C208">
        <v>0</v>
      </c>
      <c r="D208">
        <v>0</v>
      </c>
      <c r="E208">
        <v>0</v>
      </c>
      <c r="F208">
        <v>0</v>
      </c>
      <c r="H208">
        <v>0</v>
      </c>
      <c r="I208">
        <v>0</v>
      </c>
      <c r="J208">
        <v>0</v>
      </c>
      <c r="K208">
        <v>0</v>
      </c>
      <c r="L208">
        <v>0</v>
      </c>
      <c r="M208">
        <v>0</v>
      </c>
      <c r="N208">
        <v>0</v>
      </c>
    </row>
    <row r="209" spans="1:14" x14ac:dyDescent="0.2">
      <c r="A209" t="s">
        <v>257</v>
      </c>
      <c r="B209" t="s">
        <v>259</v>
      </c>
      <c r="C209">
        <v>0</v>
      </c>
      <c r="D209">
        <v>0</v>
      </c>
      <c r="E209">
        <v>0</v>
      </c>
      <c r="F209">
        <v>0</v>
      </c>
      <c r="H209">
        <v>0</v>
      </c>
      <c r="I209">
        <v>0</v>
      </c>
      <c r="J209">
        <v>0</v>
      </c>
      <c r="K209">
        <v>0</v>
      </c>
      <c r="L209">
        <v>0</v>
      </c>
      <c r="M209">
        <v>0</v>
      </c>
      <c r="N209">
        <v>0</v>
      </c>
    </row>
    <row r="210" spans="1:14" x14ac:dyDescent="0.2">
      <c r="A210" t="s">
        <v>257</v>
      </c>
      <c r="B210" t="s">
        <v>260</v>
      </c>
      <c r="C210">
        <v>0</v>
      </c>
      <c r="D210">
        <v>0</v>
      </c>
      <c r="E210">
        <v>0</v>
      </c>
      <c r="F210">
        <v>0</v>
      </c>
      <c r="H210">
        <v>0</v>
      </c>
      <c r="I210">
        <v>0</v>
      </c>
      <c r="J210">
        <v>0</v>
      </c>
      <c r="K210">
        <v>0</v>
      </c>
      <c r="L210">
        <v>0</v>
      </c>
      <c r="M210">
        <v>0</v>
      </c>
      <c r="N210">
        <v>0</v>
      </c>
    </row>
    <row r="211" spans="1:14" x14ac:dyDescent="0.2">
      <c r="A211" t="s">
        <v>257</v>
      </c>
      <c r="B211" t="s">
        <v>261</v>
      </c>
      <c r="C211">
        <v>0</v>
      </c>
      <c r="D211">
        <v>0</v>
      </c>
      <c r="E211">
        <v>0</v>
      </c>
      <c r="F211">
        <v>0</v>
      </c>
      <c r="H211">
        <v>0</v>
      </c>
      <c r="I211">
        <v>0</v>
      </c>
      <c r="J211">
        <v>0</v>
      </c>
      <c r="K211">
        <v>0</v>
      </c>
      <c r="L211">
        <v>0</v>
      </c>
      <c r="M211">
        <v>0</v>
      </c>
      <c r="N211">
        <v>0</v>
      </c>
    </row>
    <row r="212" spans="1:14" x14ac:dyDescent="0.2">
      <c r="A212" t="s">
        <v>257</v>
      </c>
      <c r="B212" t="s">
        <v>259</v>
      </c>
      <c r="C212">
        <v>0</v>
      </c>
      <c r="D212">
        <v>0</v>
      </c>
      <c r="E212">
        <v>0</v>
      </c>
      <c r="F212">
        <v>0</v>
      </c>
      <c r="H212">
        <v>0</v>
      </c>
      <c r="I212">
        <v>0</v>
      </c>
      <c r="J212">
        <v>0</v>
      </c>
      <c r="K212">
        <v>0</v>
      </c>
      <c r="L212">
        <v>0</v>
      </c>
      <c r="M212">
        <v>0</v>
      </c>
      <c r="N212">
        <v>0</v>
      </c>
    </row>
    <row r="213" spans="1:14" x14ac:dyDescent="0.2">
      <c r="A213" t="s">
        <v>257</v>
      </c>
      <c r="B213" t="s">
        <v>262</v>
      </c>
      <c r="C213">
        <v>0</v>
      </c>
      <c r="D213">
        <v>0</v>
      </c>
      <c r="E213">
        <v>0</v>
      </c>
      <c r="F213">
        <v>0</v>
      </c>
      <c r="H213">
        <v>0</v>
      </c>
      <c r="I213">
        <v>0</v>
      </c>
      <c r="J213">
        <v>0</v>
      </c>
      <c r="K213">
        <v>0</v>
      </c>
      <c r="L213">
        <v>0</v>
      </c>
      <c r="M213">
        <v>0</v>
      </c>
      <c r="N213">
        <v>0</v>
      </c>
    </row>
    <row r="214" spans="1:14" x14ac:dyDescent="0.2">
      <c r="A214" t="s">
        <v>257</v>
      </c>
      <c r="B214" t="s">
        <v>263</v>
      </c>
      <c r="C214">
        <v>0</v>
      </c>
      <c r="D214">
        <v>0</v>
      </c>
      <c r="E214">
        <v>0</v>
      </c>
      <c r="F214">
        <v>0</v>
      </c>
      <c r="H214">
        <v>0</v>
      </c>
      <c r="I214">
        <v>0</v>
      </c>
      <c r="J214">
        <v>0</v>
      </c>
      <c r="K214">
        <v>0</v>
      </c>
      <c r="L214">
        <v>0</v>
      </c>
      <c r="M214">
        <v>0</v>
      </c>
      <c r="N214">
        <v>0</v>
      </c>
    </row>
    <row r="215" spans="1:14" x14ac:dyDescent="0.2">
      <c r="A215" t="s">
        <v>257</v>
      </c>
      <c r="B215" t="s">
        <v>264</v>
      </c>
      <c r="C215">
        <v>0</v>
      </c>
      <c r="D215">
        <v>0</v>
      </c>
      <c r="E215">
        <v>0</v>
      </c>
      <c r="F215">
        <v>0</v>
      </c>
      <c r="H215">
        <v>0</v>
      </c>
      <c r="I215">
        <v>0</v>
      </c>
      <c r="J215">
        <v>0</v>
      </c>
      <c r="K215">
        <v>0</v>
      </c>
      <c r="L215">
        <v>0</v>
      </c>
      <c r="M215">
        <v>0</v>
      </c>
      <c r="N215">
        <v>0</v>
      </c>
    </row>
    <row r="216" spans="1:14" x14ac:dyDescent="0.2">
      <c r="A216" t="s">
        <v>257</v>
      </c>
      <c r="B216" t="s">
        <v>265</v>
      </c>
      <c r="C216">
        <v>0</v>
      </c>
      <c r="D216">
        <v>0</v>
      </c>
      <c r="E216">
        <v>0</v>
      </c>
      <c r="F216">
        <v>0</v>
      </c>
      <c r="H216">
        <v>0</v>
      </c>
      <c r="I216">
        <v>0</v>
      </c>
      <c r="J216">
        <v>0</v>
      </c>
      <c r="K216">
        <v>0</v>
      </c>
      <c r="L216">
        <v>0</v>
      </c>
      <c r="M216">
        <v>0</v>
      </c>
      <c r="N216">
        <v>0</v>
      </c>
    </row>
    <row r="217" spans="1:14" x14ac:dyDescent="0.2">
      <c r="A217" t="s">
        <v>257</v>
      </c>
      <c r="B217" t="s">
        <v>266</v>
      </c>
      <c r="C217">
        <v>0</v>
      </c>
      <c r="D217">
        <v>0</v>
      </c>
      <c r="E217">
        <v>0</v>
      </c>
      <c r="F217">
        <v>0</v>
      </c>
      <c r="H217">
        <v>0</v>
      </c>
      <c r="I217">
        <v>0</v>
      </c>
      <c r="J217">
        <v>0</v>
      </c>
      <c r="K217">
        <v>0</v>
      </c>
      <c r="L217">
        <v>0</v>
      </c>
      <c r="M217">
        <v>0</v>
      </c>
      <c r="N217">
        <v>0</v>
      </c>
    </row>
    <row r="218" spans="1:14" x14ac:dyDescent="0.2">
      <c r="A218" t="s">
        <v>257</v>
      </c>
      <c r="B218" t="s">
        <v>267</v>
      </c>
      <c r="C218">
        <v>0</v>
      </c>
      <c r="D218">
        <v>0</v>
      </c>
      <c r="E218">
        <v>0</v>
      </c>
      <c r="F218">
        <v>0</v>
      </c>
      <c r="H218">
        <v>0</v>
      </c>
      <c r="I218">
        <v>0</v>
      </c>
      <c r="J218">
        <v>0</v>
      </c>
      <c r="K218">
        <v>0</v>
      </c>
      <c r="L218">
        <v>0</v>
      </c>
      <c r="M218">
        <v>0</v>
      </c>
      <c r="N218">
        <v>0</v>
      </c>
    </row>
    <row r="219" spans="1:14" x14ac:dyDescent="0.2">
      <c r="A219" t="s">
        <v>257</v>
      </c>
      <c r="B219" t="s">
        <v>268</v>
      </c>
      <c r="C219">
        <v>0</v>
      </c>
      <c r="D219">
        <v>0</v>
      </c>
      <c r="E219">
        <v>0</v>
      </c>
      <c r="F219">
        <v>0</v>
      </c>
      <c r="H219">
        <v>0</v>
      </c>
      <c r="I219">
        <v>0</v>
      </c>
      <c r="J219">
        <v>0</v>
      </c>
      <c r="K219">
        <v>0</v>
      </c>
      <c r="L219">
        <v>0</v>
      </c>
      <c r="M219">
        <v>0</v>
      </c>
      <c r="N219">
        <v>0</v>
      </c>
    </row>
    <row r="220" spans="1:14" x14ac:dyDescent="0.2">
      <c r="A220" t="s">
        <v>257</v>
      </c>
      <c r="B220" t="s">
        <v>269</v>
      </c>
      <c r="C220">
        <v>0</v>
      </c>
      <c r="D220">
        <v>0</v>
      </c>
      <c r="E220">
        <v>0</v>
      </c>
      <c r="F220">
        <v>0</v>
      </c>
      <c r="H220">
        <v>0</v>
      </c>
      <c r="I220">
        <v>0</v>
      </c>
      <c r="J220">
        <v>0</v>
      </c>
      <c r="K220">
        <v>0</v>
      </c>
      <c r="L220">
        <v>0</v>
      </c>
      <c r="M220">
        <v>0</v>
      </c>
      <c r="N220">
        <v>0</v>
      </c>
    </row>
    <row r="221" spans="1:14" x14ac:dyDescent="0.2">
      <c r="A221" t="s">
        <v>257</v>
      </c>
      <c r="B221" t="s">
        <v>263</v>
      </c>
      <c r="C221">
        <v>0</v>
      </c>
      <c r="D221">
        <v>0</v>
      </c>
      <c r="E221">
        <v>0</v>
      </c>
      <c r="F221">
        <v>0</v>
      </c>
      <c r="H221">
        <v>0</v>
      </c>
      <c r="I221">
        <v>0</v>
      </c>
      <c r="J221">
        <v>0</v>
      </c>
      <c r="K221">
        <v>0</v>
      </c>
      <c r="L221">
        <v>0</v>
      </c>
      <c r="M221">
        <v>0</v>
      </c>
      <c r="N221">
        <v>0</v>
      </c>
    </row>
    <row r="222" spans="1:14" x14ac:dyDescent="0.2">
      <c r="A222" t="s">
        <v>257</v>
      </c>
      <c r="B222" t="s">
        <v>270</v>
      </c>
      <c r="C222">
        <v>0</v>
      </c>
      <c r="D222">
        <v>0</v>
      </c>
      <c r="E222">
        <v>0</v>
      </c>
      <c r="F222">
        <v>0</v>
      </c>
      <c r="H222">
        <v>0</v>
      </c>
      <c r="I222">
        <v>0</v>
      </c>
      <c r="J222">
        <v>0</v>
      </c>
      <c r="K222">
        <v>0</v>
      </c>
      <c r="L222">
        <v>0</v>
      </c>
      <c r="M222">
        <v>0</v>
      </c>
      <c r="N222">
        <v>0</v>
      </c>
    </row>
    <row r="223" spans="1:14" x14ac:dyDescent="0.2">
      <c r="A223" t="s">
        <v>257</v>
      </c>
      <c r="B223" t="s">
        <v>271</v>
      </c>
      <c r="C223">
        <v>0</v>
      </c>
      <c r="D223">
        <v>0</v>
      </c>
      <c r="E223">
        <v>0</v>
      </c>
      <c r="F223">
        <v>0</v>
      </c>
      <c r="H223">
        <v>0</v>
      </c>
      <c r="I223">
        <v>0</v>
      </c>
      <c r="J223">
        <v>0</v>
      </c>
      <c r="K223">
        <v>0</v>
      </c>
      <c r="L223">
        <v>0</v>
      </c>
      <c r="M223">
        <v>0</v>
      </c>
      <c r="N223">
        <v>0</v>
      </c>
    </row>
    <row r="224" spans="1:14" x14ac:dyDescent="0.2">
      <c r="A224" t="s">
        <v>257</v>
      </c>
      <c r="B224" t="s">
        <v>272</v>
      </c>
      <c r="C224">
        <v>0</v>
      </c>
      <c r="D224">
        <v>0</v>
      </c>
      <c r="E224">
        <v>0</v>
      </c>
      <c r="F224">
        <v>0</v>
      </c>
      <c r="H224">
        <v>0</v>
      </c>
      <c r="I224">
        <v>0</v>
      </c>
      <c r="J224">
        <v>0</v>
      </c>
      <c r="K224">
        <v>0</v>
      </c>
      <c r="L224">
        <v>0</v>
      </c>
      <c r="M224">
        <v>0</v>
      </c>
      <c r="N224">
        <v>0</v>
      </c>
    </row>
    <row r="225" spans="1:14" x14ac:dyDescent="0.2">
      <c r="A225" t="s">
        <v>257</v>
      </c>
      <c r="B225" t="s">
        <v>273</v>
      </c>
      <c r="C225">
        <v>0</v>
      </c>
      <c r="D225">
        <v>0</v>
      </c>
      <c r="E225">
        <v>0</v>
      </c>
      <c r="F225">
        <v>0</v>
      </c>
      <c r="H225">
        <v>0</v>
      </c>
      <c r="I225">
        <v>0</v>
      </c>
      <c r="J225">
        <v>0</v>
      </c>
      <c r="K225">
        <v>0</v>
      </c>
      <c r="L225">
        <v>0</v>
      </c>
      <c r="M225">
        <v>0</v>
      </c>
      <c r="N225">
        <v>0</v>
      </c>
    </row>
    <row r="226" spans="1:14" x14ac:dyDescent="0.2">
      <c r="A226" t="s">
        <v>257</v>
      </c>
      <c r="B226" t="s">
        <v>274</v>
      </c>
      <c r="C226">
        <v>0</v>
      </c>
      <c r="D226">
        <v>0</v>
      </c>
      <c r="E226">
        <v>0</v>
      </c>
      <c r="F226">
        <v>0</v>
      </c>
      <c r="H226">
        <v>0</v>
      </c>
      <c r="I226">
        <v>0</v>
      </c>
      <c r="J226">
        <v>0</v>
      </c>
      <c r="K226">
        <v>0</v>
      </c>
      <c r="L226">
        <v>0</v>
      </c>
      <c r="M226">
        <v>0</v>
      </c>
      <c r="N226">
        <v>0</v>
      </c>
    </row>
    <row r="227" spans="1:14" x14ac:dyDescent="0.2">
      <c r="A227" t="s">
        <v>257</v>
      </c>
      <c r="B227" t="s">
        <v>275</v>
      </c>
      <c r="C227">
        <v>0</v>
      </c>
      <c r="D227">
        <v>0</v>
      </c>
      <c r="E227">
        <v>0</v>
      </c>
      <c r="F227">
        <v>0</v>
      </c>
      <c r="H227">
        <v>0</v>
      </c>
      <c r="I227">
        <v>0</v>
      </c>
      <c r="J227">
        <v>0</v>
      </c>
      <c r="K227">
        <v>0</v>
      </c>
      <c r="L227">
        <v>0</v>
      </c>
      <c r="M227">
        <v>0</v>
      </c>
      <c r="N227">
        <v>0</v>
      </c>
    </row>
    <row r="228" spans="1:14" x14ac:dyDescent="0.2">
      <c r="A228" t="s">
        <v>257</v>
      </c>
      <c r="B228" t="s">
        <v>276</v>
      </c>
      <c r="C228">
        <v>0</v>
      </c>
      <c r="D228">
        <v>0</v>
      </c>
      <c r="E228">
        <v>0</v>
      </c>
      <c r="F228">
        <v>0</v>
      </c>
      <c r="H228">
        <v>0</v>
      </c>
      <c r="I228">
        <v>0</v>
      </c>
      <c r="J228">
        <v>0</v>
      </c>
      <c r="K228">
        <v>0</v>
      </c>
      <c r="L228">
        <v>0</v>
      </c>
      <c r="M228">
        <v>0</v>
      </c>
      <c r="N228">
        <v>0</v>
      </c>
    </row>
    <row r="229" spans="1:14" x14ac:dyDescent="0.2">
      <c r="A229" t="s">
        <v>257</v>
      </c>
      <c r="B229" t="s">
        <v>277</v>
      </c>
      <c r="C229">
        <v>0</v>
      </c>
      <c r="D229">
        <v>0</v>
      </c>
      <c r="E229">
        <v>0</v>
      </c>
      <c r="F229">
        <v>0</v>
      </c>
      <c r="H229">
        <v>0</v>
      </c>
      <c r="I229">
        <v>0</v>
      </c>
      <c r="J229">
        <v>0</v>
      </c>
      <c r="K229">
        <v>0</v>
      </c>
      <c r="L229">
        <v>0</v>
      </c>
      <c r="M229">
        <v>0</v>
      </c>
      <c r="N229">
        <v>0</v>
      </c>
    </row>
    <row r="230" spans="1:14" x14ac:dyDescent="0.2">
      <c r="A230" t="s">
        <v>257</v>
      </c>
      <c r="B230" t="s">
        <v>278</v>
      </c>
      <c r="C230">
        <v>0</v>
      </c>
      <c r="D230">
        <v>0</v>
      </c>
      <c r="E230">
        <v>0</v>
      </c>
      <c r="F230">
        <v>0</v>
      </c>
      <c r="H230">
        <v>0</v>
      </c>
      <c r="I230">
        <v>0</v>
      </c>
      <c r="J230">
        <v>0</v>
      </c>
      <c r="K230">
        <v>0</v>
      </c>
      <c r="L230">
        <v>0</v>
      </c>
      <c r="M230">
        <v>0</v>
      </c>
      <c r="N230">
        <v>0</v>
      </c>
    </row>
    <row r="231" spans="1:14" x14ac:dyDescent="0.2">
      <c r="A231" t="s">
        <v>257</v>
      </c>
      <c r="B231" t="s">
        <v>279</v>
      </c>
      <c r="C231">
        <v>0</v>
      </c>
      <c r="D231">
        <v>0</v>
      </c>
      <c r="E231">
        <v>0</v>
      </c>
      <c r="F231">
        <v>0</v>
      </c>
      <c r="H231">
        <v>0</v>
      </c>
      <c r="I231">
        <v>0</v>
      </c>
      <c r="J231">
        <v>0</v>
      </c>
      <c r="K231">
        <v>0</v>
      </c>
      <c r="L231">
        <v>0</v>
      </c>
      <c r="M231">
        <v>0</v>
      </c>
      <c r="N231">
        <v>0</v>
      </c>
    </row>
    <row r="232" spans="1:14" x14ac:dyDescent="0.2">
      <c r="A232" t="s">
        <v>257</v>
      </c>
      <c r="B232" t="s">
        <v>280</v>
      </c>
      <c r="C232">
        <v>0</v>
      </c>
      <c r="D232">
        <v>0</v>
      </c>
      <c r="E232">
        <v>0</v>
      </c>
      <c r="F232">
        <v>0</v>
      </c>
      <c r="H232">
        <v>0</v>
      </c>
      <c r="I232">
        <v>0</v>
      </c>
      <c r="J232">
        <v>0</v>
      </c>
      <c r="K232">
        <v>0</v>
      </c>
      <c r="L232">
        <v>0</v>
      </c>
      <c r="M232">
        <v>0</v>
      </c>
      <c r="N232">
        <v>0</v>
      </c>
    </row>
    <row r="233" spans="1:14" x14ac:dyDescent="0.2">
      <c r="A233" t="s">
        <v>257</v>
      </c>
      <c r="B233" t="s">
        <v>281</v>
      </c>
      <c r="C233">
        <v>0</v>
      </c>
      <c r="D233">
        <v>0</v>
      </c>
      <c r="E233">
        <v>0</v>
      </c>
      <c r="F233">
        <v>0</v>
      </c>
      <c r="H233">
        <v>0</v>
      </c>
      <c r="I233">
        <v>0</v>
      </c>
      <c r="J233">
        <v>0</v>
      </c>
      <c r="K233">
        <v>0</v>
      </c>
      <c r="L233">
        <v>0</v>
      </c>
      <c r="M233">
        <v>0</v>
      </c>
      <c r="N233">
        <v>0</v>
      </c>
    </row>
    <row r="234" spans="1:14" x14ac:dyDescent="0.2">
      <c r="A234" t="s">
        <v>257</v>
      </c>
      <c r="B234" t="s">
        <v>282</v>
      </c>
      <c r="C234">
        <v>0</v>
      </c>
      <c r="D234">
        <v>0</v>
      </c>
      <c r="E234">
        <v>0</v>
      </c>
      <c r="F234">
        <v>0</v>
      </c>
      <c r="H234">
        <v>0</v>
      </c>
      <c r="I234">
        <v>0</v>
      </c>
      <c r="J234">
        <v>0</v>
      </c>
      <c r="K234">
        <v>0</v>
      </c>
      <c r="L234">
        <v>0</v>
      </c>
      <c r="M234">
        <v>0</v>
      </c>
      <c r="N234">
        <v>0</v>
      </c>
    </row>
    <row r="235" spans="1:14" x14ac:dyDescent="0.2">
      <c r="A235" t="s">
        <v>257</v>
      </c>
      <c r="B235" t="s">
        <v>283</v>
      </c>
      <c r="C235">
        <v>0</v>
      </c>
      <c r="D235">
        <v>0</v>
      </c>
      <c r="E235">
        <v>0</v>
      </c>
      <c r="F235">
        <v>0</v>
      </c>
      <c r="H235">
        <v>0</v>
      </c>
      <c r="I235">
        <v>0</v>
      </c>
      <c r="J235">
        <v>0</v>
      </c>
      <c r="K235">
        <v>0</v>
      </c>
      <c r="L235">
        <v>0</v>
      </c>
      <c r="M235">
        <v>0</v>
      </c>
      <c r="N235">
        <v>0</v>
      </c>
    </row>
    <row r="236" spans="1:14" x14ac:dyDescent="0.2">
      <c r="A236" t="s">
        <v>257</v>
      </c>
      <c r="B236" t="s">
        <v>284</v>
      </c>
      <c r="C236">
        <v>0</v>
      </c>
      <c r="D236">
        <v>0</v>
      </c>
      <c r="E236">
        <v>0</v>
      </c>
      <c r="F236">
        <v>0</v>
      </c>
      <c r="H236">
        <v>0</v>
      </c>
      <c r="I236">
        <v>0</v>
      </c>
      <c r="J236">
        <v>0</v>
      </c>
      <c r="K236">
        <v>0</v>
      </c>
      <c r="L236">
        <v>0</v>
      </c>
      <c r="M236">
        <v>0</v>
      </c>
      <c r="N236">
        <v>0</v>
      </c>
    </row>
    <row r="237" spans="1:14" x14ac:dyDescent="0.2">
      <c r="A237" t="s">
        <v>257</v>
      </c>
      <c r="B237" t="s">
        <v>285</v>
      </c>
      <c r="C237">
        <v>0</v>
      </c>
      <c r="D237">
        <v>0</v>
      </c>
      <c r="E237">
        <v>0</v>
      </c>
      <c r="F237">
        <v>0</v>
      </c>
      <c r="H237">
        <v>0</v>
      </c>
      <c r="I237">
        <v>0</v>
      </c>
      <c r="J237">
        <v>0</v>
      </c>
      <c r="K237">
        <v>0</v>
      </c>
      <c r="L237">
        <v>0</v>
      </c>
      <c r="M237">
        <v>0</v>
      </c>
      <c r="N237">
        <v>0</v>
      </c>
    </row>
    <row r="238" spans="1:14" x14ac:dyDescent="0.2">
      <c r="A238" t="s">
        <v>257</v>
      </c>
      <c r="B238" t="s">
        <v>286</v>
      </c>
      <c r="C238">
        <v>0</v>
      </c>
      <c r="D238">
        <v>0</v>
      </c>
      <c r="E238">
        <v>0</v>
      </c>
      <c r="F238">
        <v>0</v>
      </c>
      <c r="H238">
        <v>0</v>
      </c>
      <c r="I238">
        <v>0</v>
      </c>
      <c r="J238">
        <v>0</v>
      </c>
      <c r="K238">
        <v>0</v>
      </c>
      <c r="L238">
        <v>0</v>
      </c>
      <c r="M238">
        <v>0</v>
      </c>
      <c r="N238">
        <v>0</v>
      </c>
    </row>
    <row r="239" spans="1:14" x14ac:dyDescent="0.2">
      <c r="A239" t="s">
        <v>257</v>
      </c>
      <c r="B239" t="s">
        <v>287</v>
      </c>
      <c r="C239">
        <v>0</v>
      </c>
      <c r="D239">
        <v>0</v>
      </c>
      <c r="E239">
        <v>0</v>
      </c>
      <c r="F239">
        <v>0</v>
      </c>
      <c r="H239">
        <v>0</v>
      </c>
      <c r="I239">
        <v>0</v>
      </c>
      <c r="J239">
        <v>0</v>
      </c>
      <c r="K239">
        <v>0</v>
      </c>
      <c r="L239">
        <v>0</v>
      </c>
      <c r="M239">
        <v>0</v>
      </c>
      <c r="N239">
        <v>0</v>
      </c>
    </row>
    <row r="240" spans="1:14" x14ac:dyDescent="0.2">
      <c r="A240" t="s">
        <v>257</v>
      </c>
      <c r="B240" t="s">
        <v>288</v>
      </c>
      <c r="C240">
        <v>0</v>
      </c>
      <c r="D240">
        <v>0</v>
      </c>
      <c r="E240">
        <v>0</v>
      </c>
      <c r="F240">
        <v>0</v>
      </c>
      <c r="H240">
        <v>0</v>
      </c>
      <c r="I240">
        <v>0</v>
      </c>
      <c r="J240">
        <v>0</v>
      </c>
      <c r="K240">
        <v>0</v>
      </c>
      <c r="L240">
        <v>0</v>
      </c>
      <c r="M240">
        <v>0</v>
      </c>
      <c r="N240">
        <v>0</v>
      </c>
    </row>
    <row r="241" spans="1:14" x14ac:dyDescent="0.2">
      <c r="A241" t="s">
        <v>257</v>
      </c>
      <c r="B241" t="s">
        <v>289</v>
      </c>
      <c r="C241">
        <v>0</v>
      </c>
      <c r="D241">
        <v>0</v>
      </c>
      <c r="E241">
        <v>0</v>
      </c>
      <c r="F241">
        <v>0</v>
      </c>
      <c r="H241">
        <v>0</v>
      </c>
      <c r="I241">
        <v>0</v>
      </c>
      <c r="J241">
        <v>0</v>
      </c>
      <c r="K241">
        <v>0</v>
      </c>
      <c r="L241">
        <v>0</v>
      </c>
      <c r="M241">
        <v>0</v>
      </c>
      <c r="N241">
        <v>0</v>
      </c>
    </row>
    <row r="242" spans="1:14" x14ac:dyDescent="0.2">
      <c r="A242" t="s">
        <v>257</v>
      </c>
      <c r="B242" t="s">
        <v>290</v>
      </c>
      <c r="C242">
        <v>0</v>
      </c>
      <c r="D242">
        <v>0</v>
      </c>
      <c r="E242">
        <v>0</v>
      </c>
      <c r="F242">
        <v>0</v>
      </c>
      <c r="H242">
        <v>0</v>
      </c>
      <c r="I242">
        <v>0</v>
      </c>
      <c r="J242">
        <v>0</v>
      </c>
      <c r="K242">
        <v>0</v>
      </c>
      <c r="L242">
        <v>0</v>
      </c>
      <c r="M242">
        <v>0</v>
      </c>
      <c r="N242">
        <v>0</v>
      </c>
    </row>
    <row r="243" spans="1:14" x14ac:dyDescent="0.2">
      <c r="A243" t="s">
        <v>257</v>
      </c>
      <c r="B243" t="s">
        <v>291</v>
      </c>
      <c r="C243">
        <v>0</v>
      </c>
      <c r="D243">
        <v>0</v>
      </c>
      <c r="E243">
        <v>0</v>
      </c>
      <c r="F243">
        <v>0</v>
      </c>
      <c r="H243">
        <v>0</v>
      </c>
      <c r="I243">
        <v>0</v>
      </c>
      <c r="J243">
        <v>0</v>
      </c>
      <c r="K243">
        <v>0</v>
      </c>
      <c r="L243">
        <v>0</v>
      </c>
      <c r="M243">
        <v>0</v>
      </c>
      <c r="N243">
        <v>0</v>
      </c>
    </row>
    <row r="244" spans="1:14" x14ac:dyDescent="0.2">
      <c r="A244" t="s">
        <v>257</v>
      </c>
      <c r="B244" t="s">
        <v>292</v>
      </c>
      <c r="C244">
        <v>0</v>
      </c>
      <c r="D244">
        <v>0</v>
      </c>
      <c r="E244">
        <v>0</v>
      </c>
      <c r="F244">
        <v>0</v>
      </c>
      <c r="H244">
        <v>0</v>
      </c>
      <c r="I244">
        <v>0</v>
      </c>
      <c r="J244">
        <v>0</v>
      </c>
      <c r="K244">
        <v>0</v>
      </c>
      <c r="L244">
        <v>0</v>
      </c>
      <c r="M244">
        <v>0</v>
      </c>
      <c r="N244">
        <v>0</v>
      </c>
    </row>
    <row r="245" spans="1:14" x14ac:dyDescent="0.2">
      <c r="A245" t="s">
        <v>257</v>
      </c>
      <c r="B245" t="s">
        <v>293</v>
      </c>
      <c r="C245">
        <v>0</v>
      </c>
      <c r="D245">
        <v>0</v>
      </c>
      <c r="E245">
        <v>0</v>
      </c>
      <c r="F245">
        <v>0</v>
      </c>
      <c r="H245">
        <v>0</v>
      </c>
      <c r="I245">
        <v>0</v>
      </c>
      <c r="J245">
        <v>0</v>
      </c>
      <c r="K245">
        <v>0</v>
      </c>
      <c r="L245">
        <v>0</v>
      </c>
      <c r="M245">
        <v>0</v>
      </c>
      <c r="N245">
        <v>0</v>
      </c>
    </row>
    <row r="246" spans="1:14" x14ac:dyDescent="0.2">
      <c r="A246" t="s">
        <v>257</v>
      </c>
      <c r="B246" t="s">
        <v>285</v>
      </c>
      <c r="C246">
        <v>0</v>
      </c>
      <c r="D246">
        <v>0</v>
      </c>
      <c r="E246">
        <v>0</v>
      </c>
      <c r="F246">
        <v>0</v>
      </c>
      <c r="H246">
        <v>0</v>
      </c>
      <c r="I246">
        <v>0</v>
      </c>
      <c r="J246">
        <v>0</v>
      </c>
      <c r="K246">
        <v>0</v>
      </c>
      <c r="L246">
        <v>0</v>
      </c>
      <c r="M246">
        <v>0</v>
      </c>
      <c r="N246">
        <v>0</v>
      </c>
    </row>
    <row r="247" spans="1:14" x14ac:dyDescent="0.2">
      <c r="A247" t="s">
        <v>257</v>
      </c>
      <c r="B247" t="s">
        <v>294</v>
      </c>
      <c r="C247">
        <v>0</v>
      </c>
      <c r="D247">
        <v>0</v>
      </c>
      <c r="E247">
        <v>0</v>
      </c>
      <c r="F247">
        <v>0</v>
      </c>
      <c r="H247">
        <v>0</v>
      </c>
      <c r="I247">
        <v>0</v>
      </c>
      <c r="J247">
        <v>0</v>
      </c>
      <c r="K247">
        <v>0</v>
      </c>
      <c r="L247">
        <v>0</v>
      </c>
      <c r="M247">
        <v>0</v>
      </c>
      <c r="N247">
        <v>0</v>
      </c>
    </row>
    <row r="248" spans="1:14" x14ac:dyDescent="0.2">
      <c r="A248" t="s">
        <v>257</v>
      </c>
      <c r="B248" t="s">
        <v>295</v>
      </c>
      <c r="C248">
        <v>0</v>
      </c>
      <c r="D248">
        <v>0</v>
      </c>
      <c r="E248">
        <v>0</v>
      </c>
      <c r="F248">
        <v>0</v>
      </c>
      <c r="H248">
        <v>0</v>
      </c>
      <c r="I248">
        <v>0</v>
      </c>
      <c r="J248">
        <v>0</v>
      </c>
      <c r="K248">
        <v>0</v>
      </c>
      <c r="L248">
        <v>0</v>
      </c>
      <c r="M248">
        <v>0</v>
      </c>
      <c r="N248">
        <v>0</v>
      </c>
    </row>
    <row r="249" spans="1:14" x14ac:dyDescent="0.2">
      <c r="A249" t="s">
        <v>257</v>
      </c>
      <c r="B249" t="s">
        <v>296</v>
      </c>
      <c r="C249">
        <v>0</v>
      </c>
      <c r="D249">
        <v>0</v>
      </c>
      <c r="E249">
        <v>0</v>
      </c>
      <c r="F249">
        <v>0</v>
      </c>
      <c r="H249">
        <v>0</v>
      </c>
      <c r="I249">
        <v>0</v>
      </c>
      <c r="J249">
        <v>0</v>
      </c>
      <c r="K249">
        <v>0</v>
      </c>
      <c r="L249">
        <v>0</v>
      </c>
      <c r="M249">
        <v>0</v>
      </c>
      <c r="N249">
        <v>0</v>
      </c>
    </row>
    <row r="250" spans="1:14" x14ac:dyDescent="0.2">
      <c r="A250" t="s">
        <v>257</v>
      </c>
      <c r="B250" t="s">
        <v>297</v>
      </c>
      <c r="C250">
        <v>0</v>
      </c>
      <c r="D250">
        <v>0</v>
      </c>
      <c r="E250">
        <v>0</v>
      </c>
      <c r="F250">
        <v>0</v>
      </c>
      <c r="H250">
        <v>0</v>
      </c>
      <c r="I250">
        <v>0</v>
      </c>
      <c r="J250">
        <v>0</v>
      </c>
      <c r="K250">
        <v>0</v>
      </c>
      <c r="L250">
        <v>0</v>
      </c>
      <c r="M250">
        <v>0</v>
      </c>
      <c r="N250">
        <v>0</v>
      </c>
    </row>
    <row r="251" spans="1:14" x14ac:dyDescent="0.2">
      <c r="A251" t="s">
        <v>257</v>
      </c>
      <c r="B251" t="s">
        <v>298</v>
      </c>
      <c r="C251">
        <v>0</v>
      </c>
      <c r="D251">
        <v>0</v>
      </c>
      <c r="E251">
        <v>0</v>
      </c>
      <c r="F251">
        <v>0</v>
      </c>
      <c r="H251">
        <v>0</v>
      </c>
      <c r="I251">
        <v>0</v>
      </c>
      <c r="J251">
        <v>0</v>
      </c>
      <c r="K251">
        <v>0</v>
      </c>
      <c r="L251">
        <v>0</v>
      </c>
      <c r="M251">
        <v>0</v>
      </c>
      <c r="N251">
        <v>0</v>
      </c>
    </row>
    <row r="252" spans="1:14" x14ac:dyDescent="0.2">
      <c r="A252" t="s">
        <v>257</v>
      </c>
      <c r="B252" t="s">
        <v>299</v>
      </c>
      <c r="C252">
        <v>0</v>
      </c>
      <c r="D252">
        <v>0</v>
      </c>
      <c r="E252">
        <v>0</v>
      </c>
      <c r="F252">
        <v>0</v>
      </c>
      <c r="H252">
        <v>0</v>
      </c>
      <c r="I252">
        <v>0</v>
      </c>
      <c r="J252">
        <v>0</v>
      </c>
      <c r="K252">
        <v>0</v>
      </c>
      <c r="L252">
        <v>0</v>
      </c>
      <c r="M252">
        <v>0</v>
      </c>
      <c r="N252">
        <v>0</v>
      </c>
    </row>
    <row r="253" spans="1:14" x14ac:dyDescent="0.2">
      <c r="A253" t="s">
        <v>257</v>
      </c>
      <c r="B253" t="s">
        <v>300</v>
      </c>
      <c r="C253">
        <v>0</v>
      </c>
      <c r="D253">
        <v>0</v>
      </c>
      <c r="E253">
        <v>0</v>
      </c>
      <c r="F253">
        <v>0</v>
      </c>
      <c r="H253">
        <v>0</v>
      </c>
      <c r="I253">
        <v>0</v>
      </c>
      <c r="J253">
        <v>0</v>
      </c>
      <c r="K253">
        <v>0</v>
      </c>
      <c r="L253">
        <v>0</v>
      </c>
      <c r="M253">
        <v>0</v>
      </c>
      <c r="N253">
        <v>0</v>
      </c>
    </row>
    <row r="254" spans="1:14" x14ac:dyDescent="0.2">
      <c r="A254" t="s">
        <v>257</v>
      </c>
      <c r="B254" t="s">
        <v>285</v>
      </c>
      <c r="C254">
        <v>0</v>
      </c>
      <c r="D254">
        <v>0</v>
      </c>
      <c r="E254">
        <v>0</v>
      </c>
      <c r="F254">
        <v>0</v>
      </c>
      <c r="H254">
        <v>0</v>
      </c>
      <c r="I254">
        <v>0</v>
      </c>
      <c r="J254">
        <v>0</v>
      </c>
      <c r="K254">
        <v>0</v>
      </c>
      <c r="L254">
        <v>0</v>
      </c>
      <c r="M254">
        <v>0</v>
      </c>
      <c r="N254">
        <v>0</v>
      </c>
    </row>
    <row r="255" spans="1:14" x14ac:dyDescent="0.2">
      <c r="A255" t="s">
        <v>257</v>
      </c>
      <c r="B255" t="s">
        <v>301</v>
      </c>
      <c r="C255">
        <v>0</v>
      </c>
      <c r="D255">
        <v>0</v>
      </c>
      <c r="E255">
        <v>0</v>
      </c>
      <c r="F255">
        <v>0</v>
      </c>
      <c r="H255">
        <v>0</v>
      </c>
      <c r="I255">
        <v>0</v>
      </c>
      <c r="J255">
        <v>0</v>
      </c>
      <c r="K255">
        <v>0</v>
      </c>
      <c r="L255">
        <v>0</v>
      </c>
      <c r="M255">
        <v>0</v>
      </c>
      <c r="N255">
        <v>0</v>
      </c>
    </row>
    <row r="256" spans="1:14" x14ac:dyDescent="0.2">
      <c r="A256" t="s">
        <v>257</v>
      </c>
      <c r="B256" t="s">
        <v>302</v>
      </c>
      <c r="C256">
        <v>0</v>
      </c>
      <c r="D256">
        <v>0</v>
      </c>
      <c r="E256">
        <v>0</v>
      </c>
      <c r="F256">
        <v>0</v>
      </c>
      <c r="H256">
        <v>0</v>
      </c>
      <c r="I256">
        <v>0</v>
      </c>
      <c r="J256">
        <v>0</v>
      </c>
      <c r="K256">
        <v>0</v>
      </c>
      <c r="L256">
        <v>0</v>
      </c>
      <c r="M256">
        <v>0</v>
      </c>
      <c r="N256">
        <v>0</v>
      </c>
    </row>
    <row r="257" spans="1:14" x14ac:dyDescent="0.2">
      <c r="A257" t="s">
        <v>257</v>
      </c>
      <c r="B257" t="s">
        <v>303</v>
      </c>
      <c r="C257">
        <v>0</v>
      </c>
      <c r="D257">
        <v>0</v>
      </c>
      <c r="E257">
        <v>0</v>
      </c>
      <c r="F257">
        <v>0</v>
      </c>
      <c r="H257">
        <v>0</v>
      </c>
      <c r="I257">
        <v>0</v>
      </c>
      <c r="J257">
        <v>0</v>
      </c>
      <c r="K257">
        <v>0</v>
      </c>
      <c r="L257">
        <v>0</v>
      </c>
      <c r="M257">
        <v>0</v>
      </c>
      <c r="N257">
        <v>0</v>
      </c>
    </row>
    <row r="258" spans="1:14" x14ac:dyDescent="0.2">
      <c r="A258" t="s">
        <v>257</v>
      </c>
      <c r="B258" t="s">
        <v>304</v>
      </c>
      <c r="C258">
        <v>0</v>
      </c>
      <c r="D258">
        <v>0</v>
      </c>
      <c r="E258">
        <v>0</v>
      </c>
      <c r="F258">
        <v>0</v>
      </c>
      <c r="H258">
        <v>0</v>
      </c>
      <c r="I258">
        <v>0</v>
      </c>
      <c r="J258">
        <v>0</v>
      </c>
      <c r="K258">
        <v>0</v>
      </c>
      <c r="L258">
        <v>0</v>
      </c>
      <c r="M258">
        <v>0</v>
      </c>
      <c r="N258">
        <v>0</v>
      </c>
    </row>
    <row r="259" spans="1:14" x14ac:dyDescent="0.2">
      <c r="A259" t="s">
        <v>257</v>
      </c>
      <c r="B259" t="s">
        <v>305</v>
      </c>
      <c r="C259">
        <v>0</v>
      </c>
      <c r="D259">
        <v>0</v>
      </c>
      <c r="E259">
        <v>0</v>
      </c>
      <c r="F259">
        <v>0</v>
      </c>
      <c r="H259">
        <v>0</v>
      </c>
      <c r="I259">
        <v>0</v>
      </c>
      <c r="J259">
        <v>0</v>
      </c>
      <c r="K259">
        <v>0</v>
      </c>
      <c r="L259">
        <v>0</v>
      </c>
      <c r="M259">
        <v>0</v>
      </c>
      <c r="N259">
        <v>0</v>
      </c>
    </row>
    <row r="260" spans="1:14" x14ac:dyDescent="0.2">
      <c r="A260" t="s">
        <v>257</v>
      </c>
      <c r="B260" t="s">
        <v>306</v>
      </c>
      <c r="C260">
        <v>0</v>
      </c>
      <c r="D260">
        <v>0</v>
      </c>
      <c r="E260">
        <v>0</v>
      </c>
      <c r="F260">
        <v>0</v>
      </c>
      <c r="H260">
        <v>0</v>
      </c>
      <c r="I260">
        <v>0</v>
      </c>
      <c r="J260">
        <v>0</v>
      </c>
      <c r="K260">
        <v>0</v>
      </c>
      <c r="L260">
        <v>0</v>
      </c>
      <c r="M260">
        <v>0</v>
      </c>
      <c r="N260">
        <v>0</v>
      </c>
    </row>
    <row r="261" spans="1:14" x14ac:dyDescent="0.2">
      <c r="A261" t="s">
        <v>257</v>
      </c>
      <c r="B261" t="s">
        <v>307</v>
      </c>
      <c r="C261">
        <v>0</v>
      </c>
      <c r="D261">
        <v>0</v>
      </c>
      <c r="E261">
        <v>0</v>
      </c>
      <c r="F261">
        <v>0</v>
      </c>
      <c r="H261">
        <v>0</v>
      </c>
      <c r="I261">
        <v>0</v>
      </c>
      <c r="J261">
        <v>0</v>
      </c>
      <c r="K261">
        <v>0</v>
      </c>
      <c r="L261">
        <v>0</v>
      </c>
      <c r="M261">
        <v>0</v>
      </c>
      <c r="N261">
        <v>0</v>
      </c>
    </row>
    <row r="262" spans="1:14" x14ac:dyDescent="0.2">
      <c r="A262" t="s">
        <v>257</v>
      </c>
      <c r="B262" t="s">
        <v>308</v>
      </c>
      <c r="C262">
        <v>0</v>
      </c>
      <c r="D262">
        <v>0</v>
      </c>
      <c r="E262">
        <v>0</v>
      </c>
      <c r="F262">
        <v>0</v>
      </c>
      <c r="H262">
        <v>0</v>
      </c>
      <c r="I262">
        <v>0</v>
      </c>
      <c r="J262">
        <v>0</v>
      </c>
      <c r="K262">
        <v>0</v>
      </c>
      <c r="L262">
        <v>0</v>
      </c>
      <c r="M262">
        <v>0</v>
      </c>
      <c r="N262">
        <v>0</v>
      </c>
    </row>
    <row r="263" spans="1:14" x14ac:dyDescent="0.2">
      <c r="A263" t="s">
        <v>257</v>
      </c>
      <c r="B263" t="s">
        <v>309</v>
      </c>
      <c r="C263">
        <v>0</v>
      </c>
      <c r="D263">
        <v>0</v>
      </c>
      <c r="E263">
        <v>0</v>
      </c>
      <c r="F263">
        <v>0</v>
      </c>
      <c r="H263">
        <v>0</v>
      </c>
      <c r="I263">
        <v>0</v>
      </c>
      <c r="J263">
        <v>0</v>
      </c>
      <c r="K263">
        <v>0</v>
      </c>
      <c r="L263">
        <v>0</v>
      </c>
      <c r="M263">
        <v>0</v>
      </c>
      <c r="N263">
        <v>0</v>
      </c>
    </row>
    <row r="264" spans="1:14" x14ac:dyDescent="0.2">
      <c r="A264" t="s">
        <v>257</v>
      </c>
      <c r="B264" t="s">
        <v>285</v>
      </c>
      <c r="C264">
        <v>0</v>
      </c>
      <c r="D264">
        <v>0</v>
      </c>
      <c r="E264">
        <v>0</v>
      </c>
      <c r="F264">
        <v>0</v>
      </c>
      <c r="H264">
        <v>0</v>
      </c>
      <c r="I264">
        <v>0</v>
      </c>
      <c r="J264">
        <v>0</v>
      </c>
      <c r="K264">
        <v>0</v>
      </c>
      <c r="L264">
        <v>0</v>
      </c>
      <c r="M264">
        <v>0</v>
      </c>
      <c r="N264">
        <v>0</v>
      </c>
    </row>
    <row r="265" spans="1:14" x14ac:dyDescent="0.2">
      <c r="A265" t="s">
        <v>257</v>
      </c>
      <c r="B265" t="s">
        <v>310</v>
      </c>
      <c r="C265">
        <v>0</v>
      </c>
      <c r="D265">
        <v>0</v>
      </c>
      <c r="E265">
        <v>0</v>
      </c>
      <c r="F265">
        <v>0</v>
      </c>
      <c r="H265">
        <v>0</v>
      </c>
      <c r="I265">
        <v>0</v>
      </c>
      <c r="J265">
        <v>0</v>
      </c>
      <c r="K265">
        <v>0</v>
      </c>
      <c r="L265">
        <v>0</v>
      </c>
      <c r="M265">
        <v>0</v>
      </c>
      <c r="N265">
        <v>0</v>
      </c>
    </row>
    <row r="266" spans="1:14" x14ac:dyDescent="0.2">
      <c r="A266" t="s">
        <v>257</v>
      </c>
      <c r="B266" t="s">
        <v>311</v>
      </c>
      <c r="C266">
        <v>0</v>
      </c>
      <c r="D266">
        <v>0</v>
      </c>
      <c r="E266">
        <v>0</v>
      </c>
      <c r="F266">
        <v>0</v>
      </c>
      <c r="H266">
        <v>0</v>
      </c>
      <c r="I266">
        <v>0</v>
      </c>
      <c r="J266">
        <v>0</v>
      </c>
      <c r="K266">
        <v>0</v>
      </c>
      <c r="L266">
        <v>0</v>
      </c>
      <c r="M266">
        <v>0</v>
      </c>
      <c r="N266">
        <v>0</v>
      </c>
    </row>
    <row r="267" spans="1:14" x14ac:dyDescent="0.2">
      <c r="A267" t="s">
        <v>257</v>
      </c>
      <c r="B267" t="s">
        <v>312</v>
      </c>
      <c r="C267">
        <v>0</v>
      </c>
      <c r="D267">
        <v>0</v>
      </c>
      <c r="E267">
        <v>0</v>
      </c>
      <c r="F267">
        <v>0</v>
      </c>
      <c r="H267">
        <v>0</v>
      </c>
      <c r="I267">
        <v>0</v>
      </c>
      <c r="J267">
        <v>0</v>
      </c>
      <c r="K267">
        <v>0</v>
      </c>
      <c r="L267">
        <v>0</v>
      </c>
      <c r="M267">
        <v>0</v>
      </c>
      <c r="N267">
        <v>0</v>
      </c>
    </row>
    <row r="268" spans="1:14" x14ac:dyDescent="0.2">
      <c r="A268" t="s">
        <v>257</v>
      </c>
      <c r="B268" t="s">
        <v>313</v>
      </c>
      <c r="C268">
        <v>0</v>
      </c>
      <c r="D268">
        <v>0</v>
      </c>
      <c r="E268">
        <v>0</v>
      </c>
      <c r="F268">
        <v>0</v>
      </c>
      <c r="H268">
        <v>0</v>
      </c>
      <c r="I268">
        <v>0</v>
      </c>
      <c r="J268">
        <v>0</v>
      </c>
      <c r="K268">
        <v>0</v>
      </c>
      <c r="L268">
        <v>0</v>
      </c>
      <c r="M268">
        <v>0</v>
      </c>
      <c r="N268">
        <v>0</v>
      </c>
    </row>
    <row r="269" spans="1:14" x14ac:dyDescent="0.2">
      <c r="A269" t="s">
        <v>257</v>
      </c>
      <c r="B269" t="s">
        <v>314</v>
      </c>
      <c r="C269">
        <v>0</v>
      </c>
      <c r="D269">
        <v>0</v>
      </c>
      <c r="E269">
        <v>0</v>
      </c>
      <c r="F269">
        <v>0</v>
      </c>
      <c r="H269">
        <v>0</v>
      </c>
      <c r="I269">
        <v>0</v>
      </c>
      <c r="J269">
        <v>0</v>
      </c>
      <c r="K269">
        <v>0</v>
      </c>
      <c r="L269">
        <v>0</v>
      </c>
      <c r="M269">
        <v>0</v>
      </c>
      <c r="N269">
        <v>0</v>
      </c>
    </row>
    <row r="270" spans="1:14" x14ac:dyDescent="0.2">
      <c r="A270" t="s">
        <v>257</v>
      </c>
      <c r="B270" t="s">
        <v>315</v>
      </c>
      <c r="C270">
        <v>0</v>
      </c>
      <c r="D270">
        <v>0</v>
      </c>
      <c r="E270">
        <v>0</v>
      </c>
      <c r="F270">
        <v>0</v>
      </c>
      <c r="H270">
        <v>0</v>
      </c>
      <c r="I270">
        <v>0</v>
      </c>
      <c r="J270">
        <v>0</v>
      </c>
      <c r="K270">
        <v>0</v>
      </c>
      <c r="L270">
        <v>0</v>
      </c>
      <c r="M270">
        <v>0</v>
      </c>
      <c r="N270">
        <v>0</v>
      </c>
    </row>
    <row r="271" spans="1:14" x14ac:dyDescent="0.2">
      <c r="A271" t="s">
        <v>257</v>
      </c>
      <c r="B271" t="s">
        <v>316</v>
      </c>
      <c r="C271">
        <v>0</v>
      </c>
      <c r="D271">
        <v>0</v>
      </c>
      <c r="E271">
        <v>0</v>
      </c>
      <c r="F271">
        <v>0</v>
      </c>
      <c r="H271">
        <v>0</v>
      </c>
      <c r="I271">
        <v>0</v>
      </c>
      <c r="J271">
        <v>0</v>
      </c>
      <c r="K271">
        <v>0</v>
      </c>
      <c r="L271">
        <v>0</v>
      </c>
      <c r="M271">
        <v>0</v>
      </c>
      <c r="N271">
        <v>0</v>
      </c>
    </row>
    <row r="272" spans="1:14" x14ac:dyDescent="0.2">
      <c r="A272" t="s">
        <v>257</v>
      </c>
      <c r="B272" t="s">
        <v>317</v>
      </c>
      <c r="C272">
        <v>0</v>
      </c>
      <c r="D272">
        <v>0</v>
      </c>
      <c r="E272">
        <v>0</v>
      </c>
      <c r="F272">
        <v>0</v>
      </c>
      <c r="H272">
        <v>0</v>
      </c>
      <c r="I272">
        <v>0</v>
      </c>
      <c r="J272">
        <v>0</v>
      </c>
      <c r="K272">
        <v>0</v>
      </c>
      <c r="L272">
        <v>0</v>
      </c>
      <c r="M272">
        <v>0</v>
      </c>
      <c r="N272">
        <v>0</v>
      </c>
    </row>
    <row r="273" spans="1:14" x14ac:dyDescent="0.2">
      <c r="A273" t="s">
        <v>257</v>
      </c>
      <c r="B273" t="s">
        <v>318</v>
      </c>
      <c r="C273">
        <v>0</v>
      </c>
      <c r="D273">
        <v>0</v>
      </c>
      <c r="E273">
        <v>0</v>
      </c>
      <c r="F273">
        <v>0</v>
      </c>
      <c r="H273">
        <v>21</v>
      </c>
      <c r="I273">
        <v>0</v>
      </c>
      <c r="J273">
        <v>21</v>
      </c>
      <c r="K273">
        <v>21</v>
      </c>
      <c r="L273">
        <v>0</v>
      </c>
      <c r="M273">
        <v>21</v>
      </c>
      <c r="N273">
        <v>0</v>
      </c>
    </row>
    <row r="274" spans="1:14" x14ac:dyDescent="0.2">
      <c r="A274" t="s">
        <v>257</v>
      </c>
      <c r="B274" t="s">
        <v>317</v>
      </c>
      <c r="C274">
        <v>0</v>
      </c>
      <c r="D274">
        <v>0</v>
      </c>
      <c r="E274">
        <v>0</v>
      </c>
      <c r="F274">
        <v>0</v>
      </c>
      <c r="H274">
        <v>0</v>
      </c>
      <c r="I274">
        <v>0</v>
      </c>
      <c r="J274">
        <v>0</v>
      </c>
      <c r="K274">
        <v>0</v>
      </c>
      <c r="L274">
        <v>0</v>
      </c>
      <c r="M274">
        <v>0</v>
      </c>
      <c r="N27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heetViews>
  <sheetFormatPr baseColWidth="10" defaultColWidth="8.83203125" defaultRowHeight="15" x14ac:dyDescent="0.2"/>
  <sheetData>
    <row r="1" spans="1:34" x14ac:dyDescent="0.2">
      <c r="A1" s="1" t="s">
        <v>0</v>
      </c>
      <c r="B1" s="1" t="s">
        <v>1</v>
      </c>
      <c r="C1" s="1" t="s">
        <v>340</v>
      </c>
      <c r="D1" s="1" t="s">
        <v>341</v>
      </c>
      <c r="E1" s="1" t="s">
        <v>342</v>
      </c>
      <c r="F1" s="1" t="s">
        <v>343</v>
      </c>
      <c r="G1" s="1" t="s">
        <v>344</v>
      </c>
      <c r="H1" s="1" t="s">
        <v>345</v>
      </c>
      <c r="I1" s="1" t="s">
        <v>346</v>
      </c>
      <c r="J1" s="1" t="s">
        <v>347</v>
      </c>
      <c r="K1" s="1" t="s">
        <v>348</v>
      </c>
      <c r="L1" s="1" t="s">
        <v>349</v>
      </c>
      <c r="M1" s="1" t="s">
        <v>350</v>
      </c>
      <c r="N1" s="1" t="s">
        <v>351</v>
      </c>
      <c r="O1" s="1" t="s">
        <v>352</v>
      </c>
      <c r="P1" s="1" t="s">
        <v>353</v>
      </c>
      <c r="Q1" s="1" t="s">
        <v>354</v>
      </c>
      <c r="R1" s="1" t="s">
        <v>355</v>
      </c>
      <c r="S1" s="1" t="s">
        <v>356</v>
      </c>
      <c r="T1" s="1" t="s">
        <v>357</v>
      </c>
      <c r="U1" s="1" t="s">
        <v>358</v>
      </c>
      <c r="V1" s="1" t="s">
        <v>359</v>
      </c>
      <c r="W1" s="1" t="s">
        <v>360</v>
      </c>
      <c r="X1" s="1" t="s">
        <v>7</v>
      </c>
      <c r="Y1" s="1" t="s">
        <v>8</v>
      </c>
      <c r="Z1" s="1" t="s">
        <v>9</v>
      </c>
      <c r="AA1" s="1" t="s">
        <v>10</v>
      </c>
      <c r="AB1" s="1" t="s">
        <v>11</v>
      </c>
      <c r="AC1" s="1" t="s">
        <v>361</v>
      </c>
      <c r="AD1" s="1" t="s">
        <v>362</v>
      </c>
      <c r="AE1" s="1" t="s">
        <v>14</v>
      </c>
      <c r="AF1" s="1" t="s">
        <v>15</v>
      </c>
      <c r="AG1" s="1" t="s">
        <v>16</v>
      </c>
      <c r="AH1" s="1" t="s">
        <v>17</v>
      </c>
    </row>
    <row r="2" spans="1:34" x14ac:dyDescent="0.2">
      <c r="A2" t="s">
        <v>228</v>
      </c>
      <c r="B2" t="s">
        <v>320</v>
      </c>
      <c r="C2">
        <v>0</v>
      </c>
      <c r="D2">
        <v>0</v>
      </c>
      <c r="E2">
        <v>0</v>
      </c>
      <c r="F2">
        <v>0</v>
      </c>
      <c r="G2">
        <v>0</v>
      </c>
      <c r="H2">
        <v>0</v>
      </c>
      <c r="I2">
        <v>0</v>
      </c>
      <c r="J2">
        <v>0</v>
      </c>
      <c r="K2">
        <v>0</v>
      </c>
      <c r="L2">
        <v>0</v>
      </c>
      <c r="M2">
        <v>0</v>
      </c>
      <c r="N2">
        <v>0</v>
      </c>
      <c r="O2">
        <v>0</v>
      </c>
      <c r="P2">
        <v>0</v>
      </c>
      <c r="Q2">
        <v>0</v>
      </c>
      <c r="R2">
        <v>0</v>
      </c>
      <c r="S2">
        <v>0</v>
      </c>
      <c r="T2">
        <v>0</v>
      </c>
      <c r="U2">
        <v>0</v>
      </c>
      <c r="V2">
        <v>0</v>
      </c>
      <c r="W2">
        <v>0</v>
      </c>
    </row>
    <row r="3" spans="1:34" x14ac:dyDescent="0.2">
      <c r="A3" t="s">
        <v>230</v>
      </c>
      <c r="B3" t="s">
        <v>231</v>
      </c>
      <c r="C3">
        <v>0</v>
      </c>
      <c r="D3">
        <v>0</v>
      </c>
      <c r="E3">
        <v>0</v>
      </c>
      <c r="F3">
        <v>0</v>
      </c>
      <c r="G3">
        <v>0</v>
      </c>
      <c r="H3">
        <v>0</v>
      </c>
      <c r="I3">
        <v>0</v>
      </c>
      <c r="J3">
        <v>0</v>
      </c>
      <c r="K3">
        <v>0</v>
      </c>
      <c r="L3">
        <v>0</v>
      </c>
      <c r="M3">
        <v>0</v>
      </c>
      <c r="N3">
        <v>0</v>
      </c>
      <c r="O3">
        <v>0</v>
      </c>
      <c r="P3">
        <v>0</v>
      </c>
      <c r="Q3">
        <v>0</v>
      </c>
      <c r="R3">
        <v>0</v>
      </c>
      <c r="S3">
        <v>0</v>
      </c>
      <c r="T3">
        <v>0</v>
      </c>
      <c r="U3">
        <v>0</v>
      </c>
      <c r="V3">
        <v>0</v>
      </c>
      <c r="W3">
        <v>0</v>
      </c>
      <c r="X3">
        <v>0</v>
      </c>
      <c r="Y3">
        <v>5.5</v>
      </c>
      <c r="Z3">
        <v>0.6875</v>
      </c>
      <c r="AA3">
        <v>0.6875</v>
      </c>
      <c r="AB3">
        <v>0</v>
      </c>
      <c r="AC3">
        <v>0</v>
      </c>
      <c r="AD3">
        <v>5.5</v>
      </c>
    </row>
    <row r="4" spans="1:34" x14ac:dyDescent="0.2">
      <c r="A4" t="s">
        <v>230</v>
      </c>
      <c r="B4" t="s">
        <v>232</v>
      </c>
      <c r="C4">
        <v>0</v>
      </c>
      <c r="D4">
        <v>0</v>
      </c>
      <c r="E4">
        <v>0</v>
      </c>
      <c r="F4">
        <v>0</v>
      </c>
      <c r="G4">
        <v>0</v>
      </c>
      <c r="H4">
        <v>0</v>
      </c>
      <c r="I4">
        <v>0</v>
      </c>
      <c r="J4">
        <v>0</v>
      </c>
      <c r="K4">
        <v>0</v>
      </c>
      <c r="L4">
        <v>0</v>
      </c>
      <c r="M4">
        <v>0</v>
      </c>
      <c r="N4">
        <v>0</v>
      </c>
      <c r="O4">
        <v>0</v>
      </c>
      <c r="P4">
        <v>0</v>
      </c>
      <c r="Q4">
        <v>0</v>
      </c>
      <c r="R4">
        <v>0</v>
      </c>
      <c r="S4">
        <v>0</v>
      </c>
      <c r="T4">
        <v>83</v>
      </c>
      <c r="U4">
        <v>0.5</v>
      </c>
      <c r="V4">
        <v>83.0625</v>
      </c>
      <c r="W4">
        <v>0</v>
      </c>
      <c r="X4">
        <v>83</v>
      </c>
      <c r="Y4">
        <v>0.5</v>
      </c>
      <c r="Z4">
        <v>83.0625</v>
      </c>
      <c r="AA4">
        <v>83.0625</v>
      </c>
      <c r="AB4">
        <v>0</v>
      </c>
      <c r="AC4">
        <v>83</v>
      </c>
      <c r="AD4">
        <v>0.5</v>
      </c>
    </row>
    <row r="5" spans="1:34" x14ac:dyDescent="0.2">
      <c r="A5" t="s">
        <v>230</v>
      </c>
      <c r="B5" t="s">
        <v>233</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4" x14ac:dyDescent="0.2">
      <c r="A6" t="s">
        <v>230</v>
      </c>
      <c r="B6" t="s">
        <v>234</v>
      </c>
      <c r="C6">
        <v>0</v>
      </c>
      <c r="D6">
        <v>0</v>
      </c>
      <c r="E6">
        <v>26</v>
      </c>
      <c r="F6">
        <v>2</v>
      </c>
      <c r="G6">
        <v>26.25</v>
      </c>
      <c r="H6">
        <v>0</v>
      </c>
      <c r="I6">
        <v>0</v>
      </c>
      <c r="J6">
        <v>0</v>
      </c>
      <c r="K6">
        <v>0</v>
      </c>
      <c r="L6">
        <v>0</v>
      </c>
      <c r="M6">
        <v>0</v>
      </c>
      <c r="N6">
        <v>0</v>
      </c>
      <c r="O6">
        <v>0</v>
      </c>
      <c r="P6">
        <v>0</v>
      </c>
      <c r="Q6">
        <v>0</v>
      </c>
      <c r="R6">
        <v>0</v>
      </c>
      <c r="S6">
        <v>0</v>
      </c>
      <c r="T6">
        <v>0</v>
      </c>
      <c r="U6">
        <v>0</v>
      </c>
      <c r="V6">
        <v>0</v>
      </c>
      <c r="W6">
        <v>0</v>
      </c>
      <c r="X6">
        <v>26</v>
      </c>
      <c r="Y6">
        <v>2</v>
      </c>
      <c r="Z6">
        <v>26.25</v>
      </c>
      <c r="AA6">
        <v>26.25</v>
      </c>
      <c r="AB6">
        <v>0</v>
      </c>
      <c r="AC6">
        <v>26</v>
      </c>
      <c r="AD6">
        <v>2</v>
      </c>
    </row>
    <row r="7" spans="1:34" x14ac:dyDescent="0.2">
      <c r="A7" t="s">
        <v>230</v>
      </c>
      <c r="B7" t="s">
        <v>363</v>
      </c>
      <c r="C7">
        <v>0</v>
      </c>
      <c r="D7">
        <v>0</v>
      </c>
      <c r="E7">
        <v>0</v>
      </c>
      <c r="F7">
        <v>0</v>
      </c>
      <c r="G7">
        <v>0</v>
      </c>
      <c r="H7">
        <v>0</v>
      </c>
      <c r="I7">
        <v>0</v>
      </c>
      <c r="J7">
        <v>0</v>
      </c>
      <c r="K7">
        <v>0</v>
      </c>
      <c r="L7">
        <v>0</v>
      </c>
      <c r="M7">
        <v>0</v>
      </c>
      <c r="N7">
        <v>0</v>
      </c>
      <c r="O7">
        <v>0</v>
      </c>
      <c r="P7">
        <v>0</v>
      </c>
      <c r="Q7">
        <v>0</v>
      </c>
      <c r="R7">
        <v>0</v>
      </c>
      <c r="S7">
        <v>0</v>
      </c>
      <c r="T7">
        <v>0</v>
      </c>
      <c r="U7">
        <v>0</v>
      </c>
      <c r="V7">
        <v>0</v>
      </c>
      <c r="W7">
        <v>0</v>
      </c>
    </row>
    <row r="8" spans="1:34" x14ac:dyDescent="0.2">
      <c r="A8" t="s">
        <v>230</v>
      </c>
      <c r="B8" t="s">
        <v>236</v>
      </c>
      <c r="C8">
        <v>0</v>
      </c>
      <c r="D8">
        <v>0</v>
      </c>
      <c r="E8">
        <v>4</v>
      </c>
      <c r="F8">
        <v>2.5</v>
      </c>
      <c r="G8">
        <v>4.3125</v>
      </c>
      <c r="H8">
        <v>0</v>
      </c>
      <c r="I8">
        <v>0</v>
      </c>
      <c r="J8">
        <v>0</v>
      </c>
      <c r="K8">
        <v>0</v>
      </c>
      <c r="L8">
        <v>0</v>
      </c>
      <c r="M8">
        <v>0</v>
      </c>
      <c r="N8">
        <v>0</v>
      </c>
      <c r="O8">
        <v>0</v>
      </c>
      <c r="P8">
        <v>0</v>
      </c>
      <c r="Q8">
        <v>0</v>
      </c>
      <c r="R8">
        <v>0</v>
      </c>
      <c r="S8">
        <v>0</v>
      </c>
      <c r="T8">
        <v>0</v>
      </c>
      <c r="U8">
        <v>0</v>
      </c>
      <c r="V8">
        <v>0</v>
      </c>
      <c r="W8">
        <v>0</v>
      </c>
      <c r="X8">
        <v>4</v>
      </c>
      <c r="Y8">
        <v>2.5</v>
      </c>
      <c r="Z8">
        <v>4.3125</v>
      </c>
      <c r="AA8">
        <v>4.3125</v>
      </c>
      <c r="AB8">
        <v>0</v>
      </c>
      <c r="AC8">
        <v>4</v>
      </c>
      <c r="AD8">
        <v>2.5</v>
      </c>
    </row>
    <row r="9" spans="1:34" x14ac:dyDescent="0.2">
      <c r="A9" t="s">
        <v>230</v>
      </c>
      <c r="B9" t="s">
        <v>237</v>
      </c>
      <c r="C9">
        <v>0</v>
      </c>
      <c r="D9">
        <v>0</v>
      </c>
      <c r="E9">
        <v>0</v>
      </c>
      <c r="F9">
        <v>0</v>
      </c>
      <c r="G9">
        <v>0</v>
      </c>
      <c r="H9">
        <v>0</v>
      </c>
      <c r="I9">
        <v>0</v>
      </c>
      <c r="J9">
        <v>0</v>
      </c>
      <c r="K9">
        <v>0</v>
      </c>
      <c r="L9">
        <v>0</v>
      </c>
      <c r="M9">
        <v>0</v>
      </c>
      <c r="N9">
        <v>6</v>
      </c>
      <c r="O9">
        <v>0</v>
      </c>
      <c r="P9">
        <v>6</v>
      </c>
      <c r="Q9">
        <v>0</v>
      </c>
      <c r="R9">
        <v>0</v>
      </c>
      <c r="S9">
        <v>0</v>
      </c>
      <c r="T9">
        <v>0</v>
      </c>
      <c r="U9">
        <v>0</v>
      </c>
      <c r="V9">
        <v>0</v>
      </c>
      <c r="W9">
        <v>0</v>
      </c>
      <c r="X9">
        <v>6</v>
      </c>
      <c r="Y9">
        <v>0</v>
      </c>
      <c r="Z9">
        <v>6</v>
      </c>
      <c r="AA9">
        <v>6</v>
      </c>
      <c r="AB9">
        <v>0</v>
      </c>
      <c r="AC9">
        <v>6</v>
      </c>
      <c r="AD9">
        <v>0</v>
      </c>
    </row>
    <row r="10" spans="1:34" x14ac:dyDescent="0.2">
      <c r="A10" t="s">
        <v>230</v>
      </c>
      <c r="B10" t="s">
        <v>238</v>
      </c>
      <c r="C10">
        <v>0</v>
      </c>
      <c r="D10">
        <v>0</v>
      </c>
      <c r="E10">
        <v>0</v>
      </c>
      <c r="F10">
        <v>0</v>
      </c>
      <c r="G10">
        <v>0</v>
      </c>
      <c r="H10">
        <v>0</v>
      </c>
      <c r="I10">
        <v>0</v>
      </c>
      <c r="J10">
        <v>0</v>
      </c>
      <c r="K10">
        <v>0</v>
      </c>
      <c r="L10">
        <v>0</v>
      </c>
      <c r="M10">
        <v>0</v>
      </c>
      <c r="N10">
        <v>0</v>
      </c>
      <c r="O10">
        <v>0</v>
      </c>
      <c r="P10">
        <v>0</v>
      </c>
      <c r="Q10">
        <v>46.5</v>
      </c>
      <c r="R10">
        <v>0</v>
      </c>
      <c r="S10">
        <v>46.5</v>
      </c>
      <c r="T10">
        <v>0</v>
      </c>
      <c r="U10">
        <v>0</v>
      </c>
      <c r="V10">
        <v>0</v>
      </c>
      <c r="W10">
        <v>0</v>
      </c>
      <c r="X10">
        <v>46.5</v>
      </c>
      <c r="Y10">
        <v>0</v>
      </c>
      <c r="Z10">
        <v>46.5</v>
      </c>
      <c r="AA10">
        <v>46.5</v>
      </c>
      <c r="AB10">
        <v>0</v>
      </c>
      <c r="AC10">
        <v>46.5</v>
      </c>
      <c r="AD10">
        <v>0</v>
      </c>
    </row>
    <row r="11" spans="1:34" x14ac:dyDescent="0.2">
      <c r="A11" t="s">
        <v>230</v>
      </c>
      <c r="B11" t="s">
        <v>239</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83</v>
      </c>
      <c r="Y11">
        <v>0.5</v>
      </c>
      <c r="Z11">
        <v>83.0625</v>
      </c>
      <c r="AA11">
        <v>83.0625</v>
      </c>
      <c r="AB11">
        <v>0</v>
      </c>
      <c r="AC11">
        <v>83</v>
      </c>
      <c r="AD11">
        <v>0.5</v>
      </c>
    </row>
    <row r="12" spans="1:34" x14ac:dyDescent="0.2">
      <c r="A12" t="s">
        <v>230</v>
      </c>
      <c r="B12" t="s">
        <v>320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34" x14ac:dyDescent="0.2">
      <c r="A13" t="s">
        <v>240</v>
      </c>
      <c r="B13" t="s">
        <v>241</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6</v>
      </c>
      <c r="Y13">
        <v>6</v>
      </c>
      <c r="Z13">
        <v>6.75</v>
      </c>
      <c r="AA13">
        <v>6.75</v>
      </c>
      <c r="AB13">
        <v>0</v>
      </c>
      <c r="AC13">
        <v>6</v>
      </c>
      <c r="AD13">
        <v>6</v>
      </c>
    </row>
    <row r="14" spans="1:34" x14ac:dyDescent="0.2">
      <c r="A14" t="s">
        <v>240</v>
      </c>
      <c r="B14" t="s">
        <v>242</v>
      </c>
      <c r="C14">
        <v>0</v>
      </c>
      <c r="D14">
        <v>0</v>
      </c>
      <c r="E14">
        <v>0</v>
      </c>
      <c r="F14">
        <v>0</v>
      </c>
      <c r="G14">
        <v>0</v>
      </c>
      <c r="H14">
        <v>0</v>
      </c>
      <c r="I14">
        <v>0</v>
      </c>
      <c r="J14">
        <v>0</v>
      </c>
      <c r="K14">
        <v>0</v>
      </c>
      <c r="L14">
        <v>0</v>
      </c>
      <c r="M14">
        <v>0</v>
      </c>
      <c r="N14">
        <v>0</v>
      </c>
      <c r="O14">
        <v>0</v>
      </c>
      <c r="P14">
        <v>0</v>
      </c>
      <c r="Q14">
        <v>0</v>
      </c>
      <c r="R14">
        <v>0</v>
      </c>
      <c r="S14">
        <v>0</v>
      </c>
      <c r="T14">
        <v>127</v>
      </c>
      <c r="U14">
        <v>6</v>
      </c>
      <c r="V14">
        <v>127.75</v>
      </c>
      <c r="W14">
        <v>0</v>
      </c>
      <c r="X14">
        <v>127</v>
      </c>
      <c r="Y14">
        <v>6</v>
      </c>
      <c r="Z14">
        <v>127.75</v>
      </c>
      <c r="AA14">
        <v>127.75</v>
      </c>
      <c r="AB14">
        <v>0</v>
      </c>
      <c r="AC14">
        <v>127</v>
      </c>
      <c r="AD14">
        <v>6</v>
      </c>
    </row>
    <row r="15" spans="1:34" x14ac:dyDescent="0.2">
      <c r="A15" t="s">
        <v>240</v>
      </c>
      <c r="B15" t="s">
        <v>243</v>
      </c>
      <c r="C15">
        <v>0</v>
      </c>
      <c r="D15">
        <v>0</v>
      </c>
      <c r="E15">
        <v>0</v>
      </c>
      <c r="F15">
        <v>0</v>
      </c>
      <c r="G15">
        <v>0</v>
      </c>
      <c r="H15">
        <v>75</v>
      </c>
      <c r="I15">
        <v>0</v>
      </c>
      <c r="J15">
        <v>75</v>
      </c>
      <c r="K15">
        <v>0</v>
      </c>
      <c r="L15">
        <v>0</v>
      </c>
      <c r="M15">
        <v>0</v>
      </c>
      <c r="N15">
        <v>0</v>
      </c>
      <c r="O15">
        <v>0</v>
      </c>
      <c r="P15">
        <v>0</v>
      </c>
      <c r="Q15">
        <v>0</v>
      </c>
      <c r="R15">
        <v>0</v>
      </c>
      <c r="S15">
        <v>0</v>
      </c>
      <c r="T15">
        <v>0</v>
      </c>
      <c r="U15">
        <v>0</v>
      </c>
      <c r="V15">
        <v>0</v>
      </c>
      <c r="W15">
        <v>0</v>
      </c>
      <c r="X15">
        <v>75</v>
      </c>
      <c r="Y15">
        <v>0</v>
      </c>
      <c r="Z15">
        <v>75</v>
      </c>
      <c r="AA15">
        <v>75</v>
      </c>
      <c r="AB15">
        <v>0</v>
      </c>
      <c r="AC15">
        <v>75</v>
      </c>
      <c r="AD15">
        <v>0</v>
      </c>
    </row>
    <row r="16" spans="1:34" x14ac:dyDescent="0.2">
      <c r="A16" t="s">
        <v>240</v>
      </c>
      <c r="B16" t="s">
        <v>244</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202</v>
      </c>
      <c r="Y16">
        <v>6</v>
      </c>
      <c r="Z16">
        <v>202.75</v>
      </c>
      <c r="AA16">
        <v>202.75</v>
      </c>
      <c r="AB16">
        <v>0</v>
      </c>
      <c r="AC16">
        <v>202</v>
      </c>
      <c r="AD16">
        <v>6</v>
      </c>
    </row>
    <row r="17" spans="1:32" x14ac:dyDescent="0.2">
      <c r="A17" t="s">
        <v>240</v>
      </c>
      <c r="B17" t="s">
        <v>245</v>
      </c>
      <c r="C17">
        <v>0</v>
      </c>
      <c r="D17">
        <v>0</v>
      </c>
      <c r="E17">
        <v>48</v>
      </c>
      <c r="F17">
        <v>6</v>
      </c>
      <c r="G17">
        <v>48.75</v>
      </c>
      <c r="H17">
        <v>0</v>
      </c>
      <c r="I17">
        <v>0</v>
      </c>
      <c r="J17">
        <v>0</v>
      </c>
      <c r="K17">
        <v>0</v>
      </c>
      <c r="L17">
        <v>0</v>
      </c>
      <c r="M17">
        <v>0</v>
      </c>
      <c r="N17">
        <v>0</v>
      </c>
      <c r="O17">
        <v>0</v>
      </c>
      <c r="P17">
        <v>0</v>
      </c>
      <c r="Q17">
        <v>0</v>
      </c>
      <c r="R17">
        <v>0</v>
      </c>
      <c r="S17">
        <v>0</v>
      </c>
      <c r="T17">
        <v>0</v>
      </c>
      <c r="U17">
        <v>0</v>
      </c>
      <c r="V17">
        <v>0</v>
      </c>
      <c r="W17">
        <v>0</v>
      </c>
      <c r="X17">
        <v>48</v>
      </c>
      <c r="Y17">
        <v>6</v>
      </c>
      <c r="Z17">
        <v>48.75</v>
      </c>
      <c r="AA17">
        <v>48.75</v>
      </c>
      <c r="AB17">
        <v>0</v>
      </c>
      <c r="AC17">
        <v>48</v>
      </c>
      <c r="AD17">
        <v>6</v>
      </c>
    </row>
    <row r="18" spans="1:32" x14ac:dyDescent="0.2">
      <c r="A18" t="s">
        <v>240</v>
      </c>
      <c r="B18" t="s">
        <v>246</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11</v>
      </c>
      <c r="Y18">
        <v>4</v>
      </c>
      <c r="Z18">
        <v>11.5</v>
      </c>
      <c r="AA18">
        <v>0.5</v>
      </c>
      <c r="AB18">
        <v>11</v>
      </c>
      <c r="AC18">
        <v>0</v>
      </c>
      <c r="AD18">
        <v>4</v>
      </c>
      <c r="AE18">
        <v>11</v>
      </c>
      <c r="AF18">
        <v>0</v>
      </c>
    </row>
    <row r="19" spans="1:32" x14ac:dyDescent="0.2">
      <c r="A19" t="s">
        <v>240</v>
      </c>
      <c r="B19" t="s">
        <v>247</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2" x14ac:dyDescent="0.2">
      <c r="A20" t="s">
        <v>240</v>
      </c>
      <c r="B20" t="s">
        <v>248</v>
      </c>
      <c r="C20">
        <v>0</v>
      </c>
      <c r="D20">
        <v>0</v>
      </c>
      <c r="E20">
        <v>0</v>
      </c>
      <c r="F20">
        <v>0</v>
      </c>
      <c r="G20">
        <v>0</v>
      </c>
      <c r="H20">
        <v>0</v>
      </c>
      <c r="I20">
        <v>0</v>
      </c>
      <c r="J20">
        <v>0</v>
      </c>
      <c r="K20">
        <v>0</v>
      </c>
      <c r="L20">
        <v>0</v>
      </c>
      <c r="M20">
        <v>0</v>
      </c>
      <c r="N20">
        <v>0</v>
      </c>
      <c r="O20">
        <v>0</v>
      </c>
      <c r="P20">
        <v>0</v>
      </c>
      <c r="Q20">
        <v>154</v>
      </c>
      <c r="R20">
        <v>0</v>
      </c>
      <c r="S20">
        <v>154</v>
      </c>
      <c r="T20">
        <v>0</v>
      </c>
      <c r="U20">
        <v>0</v>
      </c>
      <c r="V20">
        <v>0</v>
      </c>
      <c r="W20">
        <v>0</v>
      </c>
      <c r="X20">
        <v>154</v>
      </c>
      <c r="Y20">
        <v>0</v>
      </c>
      <c r="Z20">
        <v>154</v>
      </c>
      <c r="AA20">
        <v>154</v>
      </c>
      <c r="AB20">
        <v>0</v>
      </c>
      <c r="AC20">
        <v>154</v>
      </c>
      <c r="AD20">
        <v>0</v>
      </c>
    </row>
    <row r="21" spans="1:32" x14ac:dyDescent="0.2">
      <c r="A21" t="s">
        <v>240</v>
      </c>
      <c r="B21" t="s">
        <v>249</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202</v>
      </c>
      <c r="Y21">
        <v>6</v>
      </c>
      <c r="Z21">
        <v>202.75</v>
      </c>
      <c r="AA21">
        <v>202.75</v>
      </c>
      <c r="AB21">
        <v>0</v>
      </c>
      <c r="AC21">
        <v>202</v>
      </c>
      <c r="AD21">
        <v>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4"/>
  <sheetViews>
    <sheetView workbookViewId="0"/>
  </sheetViews>
  <sheetFormatPr baseColWidth="10" defaultColWidth="8.83203125" defaultRowHeight="15" x14ac:dyDescent="0.2"/>
  <sheetData>
    <row r="1" spans="1:34" x14ac:dyDescent="0.2">
      <c r="A1" s="1" t="s">
        <v>0</v>
      </c>
      <c r="B1" s="1" t="s">
        <v>1</v>
      </c>
      <c r="C1" s="1" t="s">
        <v>2</v>
      </c>
      <c r="D1" s="1" t="s">
        <v>3</v>
      </c>
      <c r="E1" s="1" t="s">
        <v>4</v>
      </c>
      <c r="F1" s="1" t="s">
        <v>5</v>
      </c>
      <c r="G1" s="1" t="s">
        <v>6</v>
      </c>
      <c r="H1" s="1" t="s">
        <v>7</v>
      </c>
      <c r="I1" s="1" t="s">
        <v>8</v>
      </c>
      <c r="J1" s="1" t="s">
        <v>9</v>
      </c>
      <c r="K1" s="1" t="s">
        <v>10</v>
      </c>
      <c r="L1" s="1" t="s">
        <v>11</v>
      </c>
      <c r="M1" s="1" t="s">
        <v>375</v>
      </c>
      <c r="N1" s="1" t="s">
        <v>376</v>
      </c>
      <c r="O1" s="1" t="s">
        <v>18</v>
      </c>
      <c r="P1" s="1" t="s">
        <v>19</v>
      </c>
      <c r="Q1" s="1" t="s">
        <v>12</v>
      </c>
      <c r="R1" s="1" t="s">
        <v>13</v>
      </c>
      <c r="S1" s="1" t="s">
        <v>20</v>
      </c>
      <c r="T1" s="1" t="s">
        <v>21</v>
      </c>
      <c r="U1" s="1" t="s">
        <v>14</v>
      </c>
      <c r="V1" s="1" t="s">
        <v>15</v>
      </c>
      <c r="W1" s="1" t="s">
        <v>22</v>
      </c>
      <c r="X1" s="1" t="s">
        <v>23</v>
      </c>
      <c r="Y1" s="1" t="s">
        <v>24</v>
      </c>
      <c r="Z1" s="1" t="s">
        <v>25</v>
      </c>
      <c r="AA1" s="1" t="s">
        <v>377</v>
      </c>
      <c r="AB1" s="1" t="s">
        <v>378</v>
      </c>
      <c r="AC1" s="1" t="s">
        <v>379</v>
      </c>
      <c r="AD1" s="1" t="s">
        <v>380</v>
      </c>
      <c r="AE1" s="1" t="s">
        <v>381</v>
      </c>
      <c r="AF1" s="1" t="s">
        <v>366</v>
      </c>
      <c r="AG1" s="1" t="s">
        <v>367</v>
      </c>
      <c r="AH1" s="1" t="s">
        <v>382</v>
      </c>
    </row>
    <row r="2" spans="1:34" x14ac:dyDescent="0.2">
      <c r="A2" t="s">
        <v>79</v>
      </c>
      <c r="B2" t="s">
        <v>80</v>
      </c>
      <c r="C2">
        <v>15.81</v>
      </c>
      <c r="D2">
        <v>15</v>
      </c>
      <c r="E2">
        <v>16</v>
      </c>
      <c r="F2">
        <v>3.5</v>
      </c>
      <c r="G2" t="s">
        <v>55</v>
      </c>
      <c r="H2">
        <v>45</v>
      </c>
      <c r="I2">
        <v>12</v>
      </c>
      <c r="J2">
        <v>46.5</v>
      </c>
      <c r="K2">
        <v>46.5</v>
      </c>
      <c r="L2">
        <v>0</v>
      </c>
      <c r="M2">
        <v>46.5</v>
      </c>
      <c r="N2">
        <v>0</v>
      </c>
      <c r="O2">
        <v>6</v>
      </c>
      <c r="P2">
        <v>8</v>
      </c>
      <c r="Q2">
        <v>8</v>
      </c>
      <c r="R2">
        <v>6</v>
      </c>
      <c r="S2">
        <v>6</v>
      </c>
      <c r="T2">
        <v>10</v>
      </c>
      <c r="U2">
        <v>37</v>
      </c>
      <c r="V2">
        <v>6</v>
      </c>
      <c r="AA2">
        <v>0.33333333333333331</v>
      </c>
      <c r="AB2">
        <v>0.34166666666666667</v>
      </c>
      <c r="AE2">
        <v>46.5</v>
      </c>
      <c r="AF2">
        <v>0.3400985663082437</v>
      </c>
      <c r="AG2">
        <v>0.33750000000000002</v>
      </c>
      <c r="AH2" t="s">
        <v>55</v>
      </c>
    </row>
    <row r="3" spans="1:34" x14ac:dyDescent="0.2">
      <c r="A3" t="s">
        <v>79</v>
      </c>
      <c r="B3" t="s">
        <v>81</v>
      </c>
      <c r="C3">
        <v>13.47</v>
      </c>
      <c r="D3">
        <v>13</v>
      </c>
      <c r="E3">
        <v>9</v>
      </c>
      <c r="F3">
        <v>6</v>
      </c>
      <c r="G3" t="s">
        <v>82</v>
      </c>
      <c r="H3">
        <v>154</v>
      </c>
      <c r="I3">
        <v>0</v>
      </c>
      <c r="J3">
        <v>154</v>
      </c>
      <c r="K3">
        <v>154</v>
      </c>
      <c r="L3">
        <v>0</v>
      </c>
      <c r="M3">
        <v>154</v>
      </c>
      <c r="N3">
        <v>0</v>
      </c>
      <c r="O3">
        <v>1</v>
      </c>
      <c r="P3">
        <v>9</v>
      </c>
      <c r="AA3">
        <v>8.7499999999999994E-2</v>
      </c>
      <c r="AE3">
        <v>154</v>
      </c>
      <c r="AF3">
        <v>8.7499999999999994E-2</v>
      </c>
      <c r="AG3">
        <v>8.7499999999999994E-2</v>
      </c>
      <c r="AH3" t="s">
        <v>82</v>
      </c>
    </row>
    <row r="4" spans="1:34" x14ac:dyDescent="0.2">
      <c r="A4" t="s">
        <v>79</v>
      </c>
      <c r="B4" t="s">
        <v>83</v>
      </c>
      <c r="C4">
        <v>29.29</v>
      </c>
      <c r="D4">
        <v>29</v>
      </c>
      <c r="E4">
        <v>5</v>
      </c>
      <c r="F4">
        <v>9.5</v>
      </c>
      <c r="H4">
        <v>0</v>
      </c>
      <c r="I4">
        <v>0</v>
      </c>
      <c r="J4">
        <v>0</v>
      </c>
      <c r="K4">
        <v>0</v>
      </c>
      <c r="L4">
        <v>0</v>
      </c>
      <c r="M4">
        <v>0</v>
      </c>
      <c r="N4">
        <v>0</v>
      </c>
      <c r="AA4" t="s">
        <v>383</v>
      </c>
      <c r="AE4">
        <v>0</v>
      </c>
      <c r="AF4" t="s">
        <v>383</v>
      </c>
      <c r="AG4" t="s">
        <v>383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2024-04-19T11:10:16Z</dcterms:created>
  <dcterms:modified xsi:type="dcterms:W3CDTF">2025-09-02T18:59:13Z</dcterms:modified>
</cp:coreProperties>
</file>
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245B7E4D-3207-354C-B88E-149BEB02EC06}" xr6:coauthVersionLast="47" xr6:coauthVersionMax="47" xr10:uidLastSave="{00000000-0000-0000-0000-000000000000}"/>
  <bookViews>
    <workbookView xWindow="0" yWindow="500" windowWidth="15860" windowHeight="16560" activeTab="5" xr2:uid="{00000000-000D-0000-FFFF-FFFF00000000}"/>
  </bookViews>
  <sheets>
    <sheet name="Overview" sheetId="3" r:id="rId1"/>
    <sheet name="Receipts" sheetId="2" r:id="rId2"/>
    <sheet name="Expenses" sheetId="4" r:id="rId3"/>
    <sheet name="Issues of the Grange" sheetId="11" r:id="rId4"/>
    <sheet name="Issues of the Mills" sheetId="5" r:id="rId5"/>
    <sheet name="Stock" sheetId="13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F17" i="2"/>
  <c r="G17" i="2" s="1"/>
</calcChain>
</file>

<file path=xl/sharedStrings.xml><?xml version="1.0" encoding="utf-8"?>
<sst xmlns="http://schemas.openxmlformats.org/spreadsheetml/2006/main" count="777" uniqueCount="349">
  <si>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</si>
  <si>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</si>
  <si>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</si>
  <si>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</si>
  <si>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</si>
  <si>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</si>
  <si>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</si>
  <si>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</si>
  <si>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</si>
  <si>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</si>
  <si>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</si>
  <si>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</si>
  <si>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</si>
  <si>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</si>
  <si>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</si>
  <si>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</si>
  <si>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</si>
  <si>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</si>
  <si>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</si>
  <si>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</si>
  <si>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</si>
  <si>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</si>
  <si>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</si>
  <si>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</si>
  <si>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</si>
  <si>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</si>
  <si>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</si>
  <si>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</si>
  <si>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</si>
  <si>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</si>
  <si>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</si>
  <si>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</si>
  <si>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</si>
  <si>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</si>
  <si>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Rents of assize</t>
  </si>
  <si>
    <t>Theobald de Theygden', bailiff, and Walter Mossel render account for £6 9 shilling 2.5pence for all rents of assize from the vill of Hindon for the year at Michaelmas (29 September).</t>
  </si>
  <si>
    <t>Total, £6 9 shilling 2.5pence</t>
  </si>
  <si>
    <t>Quittances</t>
  </si>
  <si>
    <t>In quittance of 1 reeve for the year 1 shilling Total, 1 shilling</t>
  </si>
  <si>
    <t>Defaults of rent</t>
  </si>
  <si>
    <t>In default of 8 acres of land and 1 burgage which Andrew de la Mar' held during the time of Peter, formerly bishop of Winchester, 4 shilling 8pence, of which Robert de la Mar' holds the land and pays 4pence a year which is included above in the rents.</t>
  </si>
  <si>
    <t>Total, 4 shilling 8pence</t>
  </si>
  <si>
    <t>Total of quittances and defaults of rent, 5 shilling 8pence</t>
  </si>
  <si>
    <t>Total of rents remaining, £6 3 shilling 6.5pence</t>
  </si>
  <si>
    <t>Stallage</t>
  </si>
  <si>
    <t>The same render account for 1 shilling from Thomas le Hopere for stallage in the market for the year.</t>
  </si>
  <si>
    <t>6pence from Hamo Deverel for the same.</t>
  </si>
  <si>
    <t>6pence from John le Hackar' for the same.</t>
  </si>
  <si>
    <t>1pence from Philip Tette for the same.</t>
  </si>
  <si>
    <t>1 shilling from John Tryllawey for the same.</t>
  </si>
  <si>
    <t>6pence from Robert Pycok for the same.</t>
  </si>
  <si>
    <t>9pence from Walter Juvedy and Robert le Palmere for the same.</t>
  </si>
  <si>
    <t>4pence from Mericia, widow, for the same.</t>
  </si>
  <si>
    <t>Pleas and perquisites</t>
  </si>
  <si>
    <t>The same render account for 19 shilling 2pence from the pleas and perquisites of the court of Hindon this year.</t>
  </si>
  <si>
    <t>Total, 19 shilling 2pence</t>
  </si>
  <si>
    <t>Total of all receipts</t>
  </si>
  <si>
    <t>Total of all receipts, £7 7 shilling 4.5pence</t>
  </si>
  <si>
    <t>And he owes it all.</t>
  </si>
  <si>
    <t>Delivered to Sir Geoffrey, treasurer of Wolvesey, by 1 tally, £7 7 shilling 4.5pence</t>
  </si>
  <si>
    <t>And he is quit.</t>
  </si>
  <si>
    <t>Wheat</t>
  </si>
  <si>
    <t>(yield: 5-fold less 7 quarters)</t>
  </si>
  <si>
    <t>The same render account for 105 quarters from the whole issue of wheat by struck measure.</t>
  </si>
  <si>
    <t>wheat</t>
  </si>
  <si>
    <t>9 quarters by estimation in sheaves given to the reapers at harvest-time.</t>
  </si>
  <si>
    <t>1.5 quarters by estimation in 2 acres which the smith and beadle receive according to custom, because they receive at a better rate (de melior'), besides manure and folding, according to their choice.</t>
  </si>
  <si>
    <t>Total, 115.5 quarters.</t>
  </si>
  <si>
    <t>Sown over 81.5 acres measured by the perch (per pertic') in the fields of Crabewyke and Alphesheyeth', 30.5 quarters.</t>
  </si>
  <si>
    <t>that is, 3 bushels an acre.</t>
  </si>
  <si>
    <t>Delivered to 1 attendant who is through the bailiff to oversee the threshing by the ploughmen and other officials of the curia, 1 quarters 5 bushels, because he takes the rest in barley.</t>
  </si>
  <si>
    <t>barley</t>
  </si>
  <si>
    <t>Delivered to 1 warrener for the same time, 1 quarters 5 bushels, taking the rest in barley, at a bushel a week.</t>
  </si>
  <si>
    <t>.</t>
  </si>
  <si>
    <t>provision of the steward for 1 visit, 2 bushels.</t>
  </si>
  <si>
    <t>provision of Peter de Schypton', bailiff from Michaelmas until Hilary, 2.5 quarters.</t>
  </si>
  <si>
    <t>provision of the bailiff now for his visits, 1 quarters 2 bushels.</t>
  </si>
  <si>
    <t>provision of the harvest, 1 quarters.</t>
  </si>
  <si>
    <t>customary payment to 1 beadle who sowed all the corn, 2 bushels, taking the rest in barley.</t>
  </si>
  <si>
    <t>Given to the reapers by estimation in sheaves for reaping corn at harvest-time, 9 quarters, because they take the fifteenth sheaf.</t>
  </si>
  <si>
    <t>Delivered to the smith and beadle by estimation in 2 acres, 1.5 quarters.</t>
  </si>
  <si>
    <t>Sold, 66 quarters.</t>
  </si>
  <si>
    <t>It balances.</t>
  </si>
  <si>
    <t>Curall</t>
  </si>
  <si>
    <t>The same render account for 20 quarters of curall from the whole issue by struck measure.</t>
  </si>
  <si>
    <t>curall</t>
  </si>
  <si>
    <t>And solpence</t>
  </si>
  <si>
    <t>Barley</t>
  </si>
  <si>
    <t>(yield: 4-fold less 1 quarters)</t>
  </si>
  <si>
    <t>The same render account for 97.5 quarters from the whole issue of barley by struck measure.</t>
  </si>
  <si>
    <t>8.5 quarters by estimation in sheaves given to the reapers at harvest-time.</t>
  </si>
  <si>
    <t>Total, 106 quarters.</t>
  </si>
  <si>
    <t>Sown over 57 acres measured by the perch, of which 40 acres lie beside the ewe-house, and 17 lie in Garstonselylond' and Heled', 28.5 quarters.</t>
  </si>
  <si>
    <t>that is, 1 quarters an acre.</t>
  </si>
  <si>
    <t>Delivered to 2 carters and 2 oxherds, 24 quarters, each taking a quarter every 8 weeks, and takingthe rest, that is, 2 quarters, in peas.</t>
  </si>
  <si>
    <t>peas</t>
  </si>
  <si>
    <t>Delivered to 1 attendant who kept the oxen in winter, harrowed at both sowings, and spread dung, 2.5 quarters.</t>
  </si>
  <si>
    <t>customary payment to 1 beadle who sowed the seed, 2 bushels, because 2 bushels are subtracted from the wheat which he was accustomed to receive before.</t>
  </si>
  <si>
    <t>customary payment for food and drink at Christmas and Easter, 2 quarters.</t>
  </si>
  <si>
    <t>Delivered to 1 dairymaid for .5 year, 2.5 quarters.</t>
  </si>
  <si>
    <t>Delivered to 1 attendant who is through the bailiff to oversee the ploughmen threshing and winnowing at East Knoyle, Upton and Bishops Fonthill from the Purification (2 February) until Lammas (1 August), 1 quarters 5 bushels, because he takes the rest in wheat, at 1 quarters every 8 weeks.</t>
  </si>
  <si>
    <t>Delivered to 1 warrener for the same time, 1 quarters 5 bushels Henceforth the warrener will take a quarter every 10 weeks, half of wheat and half of barley.</t>
  </si>
  <si>
    <t>barley, wheat</t>
  </si>
  <si>
    <t>Given to the reapers by estimation in sheaves at harvest-time, 8.5 quarters.</t>
  </si>
  <si>
    <t>Sold, 34.5 quarters.</t>
  </si>
  <si>
    <t>Oats</t>
  </si>
  <si>
    <t>(yield: two-fold less 6 quarters}</t>
  </si>
  <si>
    <t>The same render account for 98 quarters of oats from the whole issue by struck measure.</t>
  </si>
  <si>
    <t>oats</t>
  </si>
  <si>
    <t>8 quarters by estimation in sheaves given to the reapers for reaping corn at harvest-time.</t>
  </si>
  <si>
    <t>30 quarters bought.</t>
  </si>
  <si>
    <t>Total, 136 quarters.</t>
  </si>
  <si>
    <t>Sown over 87 acres which lie in Kygwoderigg' and le Brech', 65 quarters 2 bushels.</t>
  </si>
  <si>
    <t>that is, 6 bushels an acre.</t>
  </si>
  <si>
    <t>fodder of 6 horses at the time of both sowings, 6.5 quarters.</t>
  </si>
  <si>
    <t>fodder of the horses of Peter de Scypton' from Michaelmas until Hilary, 1.5 quarters.</t>
  </si>
  <si>
    <t>fodder of the horses of the bailiff now for his visits, 1.5 quarters.</t>
  </si>
  <si>
    <t>Given to the reapers by estimation in sheaves for reaping corn at harvest-time, 8 quarters, because they take as much from other corn.</t>
  </si>
  <si>
    <t>making meal (farina) for the pottage of the manorial servants, 1 quarters.</t>
  </si>
  <si>
    <t>fodder of the steward's horses, 6 bushels.</t>
  </si>
  <si>
    <t>fodder of the horses of Simon de Farham, 3.5 bushels Sold, 51 quarters 0.5 bushels It balances.</t>
  </si>
  <si>
    <t>Peas</t>
  </si>
  <si>
    <t>(yield: 5-fold plus 1 quarters)</t>
  </si>
  <si>
    <t>The same render account for 22 quarters from the whole issue of peas by struck measure.</t>
  </si>
  <si>
    <t>1.5 quarters by estimation in sheaves given to the reapers at harvest-time.</t>
  </si>
  <si>
    <t>Total, 23.5 quarters.</t>
  </si>
  <si>
    <t>Sown over 13 acres which lie in Cumbe, 3 quarters 2 bushels.</t>
  </si>
  <si>
    <t>that is, 2 bushels an acre.</t>
  </si>
  <si>
    <t>Given to the reapers by estimation in sheaves at harvest-time, 1.5 quarters.</t>
  </si>
  <si>
    <t>Mixed with barley for the liveries of the manorial servants, 2 quarters.</t>
  </si>
  <si>
    <t>supporting pigs in winter, 0.5 quarters.</t>
  </si>
  <si>
    <t>Sold, 12 quarters 2 bushels Total, 18 quarters. 4 quarters remain in the granary.</t>
  </si>
  <si>
    <t>Vetches</t>
  </si>
  <si>
    <t>(yield: two-and-a-half-fold less .5 bushels)</t>
  </si>
  <si>
    <t>The same render account for 14 quarters of vetches by estimation in the stack.</t>
  </si>
  <si>
    <t>vetches</t>
  </si>
  <si>
    <t>They remain in the stack.</t>
  </si>
  <si>
    <t>Lamb's-wool (yield of fleece 11/4d. less 2d. in all): 440 lambs' fleeces produced at</t>
  </si>
  <si>
    <t>the shearing this year.</t>
  </si>
  <si>
    <t>all sent to Wolvesey with the coarse wool, which made 25</t>
  </si>
  <si>
    <t>cloves.</t>
  </si>
  <si>
    <t>Summer cheese: (yield of cow 3s.. . . sick and sheep . . . 3s. 93/4. with . . . and</t>
  </si>
  <si>
    <t>between...Palm Easter (22 April): 301 cheeses made in summer between Thursday before Palm Sunday and Michaelmas, at 2 cheeses a day for the 131 days between Easter and the decollation of of the blessed John the Baptist (29August), and 1 cheese for each of the other days within the said time.</t>
  </si>
  <si>
    <t>Total, 301. 30 in tithe.</t>
  </si>
  <si>
    <t>1 in customary payment to the sheep-shearers.</t>
  </si>
  <si>
    <t>1 in provision of the harvest.</t>
  </si>
  <si>
    <t>Total, 32. 269 sold, which made 22 weys.</t>
  </si>
  <si>
    <t>Moreover, the dairymaid and milkmaid have milk on Sundays by ancient custom, which made 2 weys by estimation.</t>
  </si>
  <si>
    <t>Error</t>
  </si>
  <si>
    <t>Total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</si>
  <si>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</si>
  <si>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</si>
  <si>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</si>
  <si>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</si>
  <si>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</si>
  <si>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</si>
  <si>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</si>
  <si>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</si>
  <si>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</si>
  <si>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</si>
  <si>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</si>
  <si>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</si>
  <si>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</si>
  <si>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</si>
  <si>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</si>
  <si>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</si>
  <si>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</si>
  <si>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</si>
  <si>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</si>
  <si>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</si>
  <si>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</si>
  <si>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</si>
  <si>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</si>
  <si>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Delivered to 1 attendant who is through the bailiff to oversee the threshing by the ploughmen and other officials of the curia, 1 qr 5 bushels, because he takes the rest in barley.</t>
  </si>
  <si>
    <t>Delivered to 1 warrener for the same time, 1 qr 5 bushels, taking the rest in barley, at a bushel a week.</t>
  </si>
  <si>
    <t>provision of the bailiff now for his visits, 1 qr 2 bushels.</t>
  </si>
  <si>
    <t>provision of the harvest, 1 qr.</t>
  </si>
  <si>
    <t>that is, 1 qr an acre.</t>
  </si>
  <si>
    <t>Delivered to 1 attendant who is through the bailiff to oversee the ploughmen threshing and winnowing at East Knoyle, Upton and Bishops Fonthill from the Purification (2 February) until Lammas (1 August), 1 qr 5 bushels, because he takes the rest in wheat, at 1 qr every 8 weeks.</t>
  </si>
  <si>
    <t>Delivered to 1 warrener for the same time, 1 qr 5 bushels Henceforth the warrener will take a quarter every 10 weeks, half of wheat and half of barley.</t>
  </si>
  <si>
    <t>making meal (farina) for the pottage of the manorial servants, 1 qr.</t>
  </si>
  <si>
    <t>(yield: 5-fold plus 1 qr)</t>
  </si>
  <si>
    <t>supporting pigs in winter, 0.5 qr.</t>
  </si>
  <si>
    <t>Weighted Average Price per Quarter</t>
  </si>
  <si>
    <t>Non-Weighted Average Price per Quarter</t>
  </si>
  <si>
    <t>Maslin</t>
  </si>
  <si>
    <t>Oatmeal</t>
  </si>
  <si>
    <t>Rye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</si>
  <si>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</si>
  <si>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</si>
  <si>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</si>
  <si>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</si>
  <si>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</si>
  <si>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</si>
  <si>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</si>
  <si>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</si>
  <si>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</si>
  <si>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</si>
  <si>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</si>
  <si>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</si>
  <si>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</si>
  <si>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</si>
  <si>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</si>
  <si>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</si>
  <si>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</si>
  <si>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</si>
  <si>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</si>
  <si>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</si>
  <si>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</si>
  <si>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</si>
  <si>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</si>
  <si>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</si>
  <si>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</si>
  <si>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</si>
  <si>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</si>
  <si>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</si>
  <si>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</si>
  <si>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</si>
  <si>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</si>
  <si>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</si>
  <si>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</si>
  <si>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</si>
  <si>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</si>
  <si>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</si>
  <si>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</si>
  <si>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</si>
  <si>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</si>
  <si>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</si>
  <si>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</si>
  <si>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</si>
  <si>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</si>
  <si>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</si>
  <si>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</si>
  <si>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</si>
  <si>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</si>
  <si>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</si>
  <si>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</si>
  <si>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</si>
  <si>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</si>
  <si>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</si>
  <si>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</si>
  <si>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</si>
  <si>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</si>
  <si>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</si>
  <si>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</si>
  <si>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</si>
  <si>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</si>
  <si>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</si>
  <si>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</si>
  <si>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</si>
  <si>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Dredge</t>
  </si>
  <si>
    <t>Beans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</si>
  <si>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</si>
  <si>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</si>
  <si>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</si>
  <si>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</si>
  <si>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</si>
  <si>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</si>
  <si>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</si>
  <si>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</si>
  <si>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</si>
  <si>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</si>
  <si>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</si>
  <si>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</si>
  <si>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</si>
  <si>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</si>
  <si>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</si>
  <si>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</si>
  <si>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</si>
  <si>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</si>
  <si>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</si>
  <si>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</si>
  <si>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</si>
  <si>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</si>
  <si>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</si>
  <si>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</si>
  <si>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</si>
  <si>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</si>
  <si>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</si>
  <si>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</si>
  <si>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</si>
  <si>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</si>
  <si>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</si>
  <si>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</si>
  <si>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</si>
  <si>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</si>
  <si>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</si>
  <si>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</si>
  <si>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</si>
  <si>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</si>
  <si>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</si>
  <si>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</si>
  <si>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</si>
  <si>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</si>
  <si>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</si>
  <si>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</si>
  <si>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</si>
  <si>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</si>
  <si>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</si>
  <si>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</si>
  <si>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</si>
  <si>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</si>
  <si>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</si>
  <si>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</si>
  <si>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</si>
  <si>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</si>
  <si>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</si>
  <si>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</si>
  <si>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</si>
  <si>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</si>
  <si>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</si>
  <si>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</si>
  <si>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</si>
  <si>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</si>
  <si>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</si>
  <si>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</si>
  <si>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</si>
  <si>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</si>
  <si>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</si>
  <si>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</si>
  <si>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</si>
  <si>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</si>
  <si>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</si>
  <si>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</si>
  <si>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</si>
  <si>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</si>
  <si>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</si>
  <si>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</si>
  <si>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</si>
  <si>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</si>
  <si>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</si>
  <si>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</si>
  <si>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</si>
  <si>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</si>
  <si>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</si>
  <si>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</si>
  <si>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</si>
  <si>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Total in £</t>
  </si>
  <si>
    <t>Note</t>
  </si>
  <si>
    <t>HINDON BOROUGH RECEIPTS</t>
  </si>
  <si>
    <t>£</t>
  </si>
  <si>
    <t xml:space="preserve">s </t>
  </si>
  <si>
    <t>d</t>
  </si>
  <si>
    <t>Notes</t>
  </si>
  <si>
    <t xml:space="preserve">In quittance of 1 reeve for the year 1 shilling </t>
  </si>
  <si>
    <t>Total, 1 shilling</t>
  </si>
  <si>
    <t>Hindon Borough is only listed with its receipts as part of East Knoyle - integrate receipts in East Knoyle?</t>
  </si>
  <si>
    <t>HINDON BOROUGH (part of East Knoyle - only lists receipts)</t>
  </si>
  <si>
    <t>all part of East Knoyle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</si>
</sst>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 (Body)"/>
    </font>
    <font>
      <b/>
      <sz val="12"/>
      <color theme="1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1" fillId="0" borderId="0" xfId="0" applyFont="1"/>
    <xf numFmtId="0" fontId="6" fillId="3" borderId="2" xfId="0" applyFont="1" applyFill="1" applyBorder="1"/>
    <xf numFmtId="0" fontId="6" fillId="3" borderId="0" xfId="0" applyFont="1" applyFill="1"/>
    <xf numFmtId="0" fontId="7" fillId="2" borderId="0" xfId="0" applyFont="1" applyFill="1"/>
    <xf numFmtId="0" fontId="5" fillId="0" borderId="3" xfId="0" applyFont="1" applyBorder="1"/>
    <xf numFmtId="0" fontId="3" fillId="0" borderId="0" xfId="0" applyFont="1"/>
    <xf numFmtId="0" fontId="5" fillId="4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2" borderId="0" xfId="0" applyFont="1" applyFill="1"/>
    <xf numFmtId="0" fontId="4" fillId="6" borderId="0" xfId="0" applyFont="1" applyFill="1"/>
    <xf numFmtId="0" fontId="4" fillId="3" borderId="0" xfId="0" applyFont="1" applyFill="1"/>
    <xf numFmtId="0" fontId="5" fillId="0" borderId="0" xfId="0" applyFont="1" applyAlignment="1">
      <alignment wrapText="1"/>
    </xf>
    <xf numFmtId="0" fontId="8" fillId="6" borderId="0" xfId="0" applyFont="1" applyFill="1"/>
    <xf numFmtId="0" fontId="5" fillId="0" borderId="4" xfId="0" applyFont="1" applyBorder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left"/>
    </xf>
    <xf numFmtId="0" fontId="5" fillId="3" borderId="5" xfId="0" applyFont="1" applyFill="1" applyBorder="1"/>
    <xf numFmtId="0" fontId="8" fillId="2" borderId="6" xfId="0" applyFont="1" applyFill="1" applyBorder="1"/>
    <xf numFmtId="0" fontId="8" fillId="5" borderId="6" xfId="0" applyFont="1" applyFill="1" applyBorder="1"/>
    <xf numFmtId="0" fontId="5" fillId="0" borderId="6" xfId="0" applyFont="1" applyBorder="1"/>
    <xf numFmtId="10" fontId="8" fillId="2" borderId="6" xfId="0" applyNumberFormat="1" applyFont="1" applyFill="1" applyBorder="1"/>
    <xf numFmtId="10" fontId="8" fillId="5" borderId="7" xfId="0" applyNumberFormat="1" applyFont="1" applyFill="1" applyBorder="1"/>
    <xf numFmtId="2" fontId="4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top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6" x14ac:dyDescent="0.2"/>
  <cols>
    <col min="1" max="1" width="80" style="5" bestFit="1" customWidth="1"/>
  </cols>
  <sheetData>
    <row r="1" spans="1:4" x14ac:dyDescent="0.2">
      <c r="A1" s="2" t="s">
        <v>347</v>
      </c>
      <c r="B1" s="28" t="s">
        <v>337</v>
      </c>
      <c r="C1" s="29" t="s">
        <v>148</v>
      </c>
      <c r="D1" s="10" t="s">
        <v>338</v>
      </c>
    </row>
    <row r="2" spans="1:4" x14ac:dyDescent="0.2">
      <c r="A2" s="2" t="s">
        <v>196</v>
      </c>
    </row>
    <row r="3" spans="1:4" x14ac:dyDescent="0.2">
      <c r="A3" s="3" t="s">
        <v>197</v>
      </c>
    </row>
    <row r="4" spans="1:4" x14ac:dyDescent="0.2">
      <c r="A4" s="4" t="s">
        <v>198</v>
      </c>
    </row>
    <row r="5" spans="1:4" x14ac:dyDescent="0.2">
      <c r="A5" s="4" t="s">
        <v>199</v>
      </c>
    </row>
    <row r="6" spans="1:4" x14ac:dyDescent="0.2">
      <c r="A6" s="4" t="s">
        <v>200</v>
      </c>
    </row>
    <row r="7" spans="1:4" x14ac:dyDescent="0.2">
      <c r="A7" s="4" t="s">
        <v>201</v>
      </c>
    </row>
    <row r="8" spans="1:4" x14ac:dyDescent="0.2">
      <c r="A8" s="5" t="s">
        <v>202</v>
      </c>
    </row>
    <row r="9" spans="1:4" x14ac:dyDescent="0.2">
      <c r="A9" s="5" t="s">
        <v>203</v>
      </c>
    </row>
    <row r="10" spans="1:4" x14ac:dyDescent="0.2">
      <c r="A10" s="5" t="s">
        <v>204</v>
      </c>
    </row>
    <row r="11" spans="1:4" x14ac:dyDescent="0.2">
      <c r="A11" s="5" t="s">
        <v>205</v>
      </c>
    </row>
    <row r="12" spans="1:4" x14ac:dyDescent="0.2">
      <c r="A12" s="5" t="s">
        <v>206</v>
      </c>
    </row>
    <row r="13" spans="1:4" x14ac:dyDescent="0.2">
      <c r="A13" s="5" t="s">
        <v>207</v>
      </c>
    </row>
    <row r="14" spans="1:4" x14ac:dyDescent="0.2">
      <c r="A14" s="4" t="s">
        <v>208</v>
      </c>
    </row>
    <row r="15" spans="1:4" x14ac:dyDescent="0.2">
      <c r="A15" s="4" t="s">
        <v>209</v>
      </c>
    </row>
    <row r="16" spans="1:4" x14ac:dyDescent="0.2">
      <c r="A16" s="5" t="s">
        <v>210</v>
      </c>
    </row>
    <row r="17" spans="1:1" x14ac:dyDescent="0.2">
      <c r="A17" s="5" t="s">
        <v>211</v>
      </c>
    </row>
    <row r="18" spans="1:1" x14ac:dyDescent="0.2">
      <c r="A18" s="4" t="s">
        <v>212</v>
      </c>
    </row>
    <row r="19" spans="1:1" x14ac:dyDescent="0.2">
      <c r="A19" s="4" t="s">
        <v>213</v>
      </c>
    </row>
    <row r="20" spans="1:1" x14ac:dyDescent="0.2">
      <c r="A20" s="4" t="s">
        <v>214</v>
      </c>
    </row>
    <row r="21" spans="1:1" x14ac:dyDescent="0.2">
      <c r="A21" s="5" t="s">
        <v>215</v>
      </c>
    </row>
    <row r="22" spans="1:1" x14ac:dyDescent="0.2">
      <c r="A22" s="5" t="s">
        <v>216</v>
      </c>
    </row>
    <row r="23" spans="1:1" x14ac:dyDescent="0.2">
      <c r="A23" s="6" t="s">
        <v>217</v>
      </c>
    </row>
    <row r="24" spans="1:1" x14ac:dyDescent="0.2">
      <c r="A24" s="7" t="s">
        <v>218</v>
      </c>
    </row>
    <row r="25" spans="1:1" x14ac:dyDescent="0.2">
      <c r="A25" s="8" t="s">
        <v>219</v>
      </c>
    </row>
    <row r="26" spans="1:1" x14ac:dyDescent="0.2">
      <c r="A26" s="8" t="s">
        <v>220</v>
      </c>
    </row>
    <row r="27" spans="1:1" x14ac:dyDescent="0.2">
      <c r="A27" s="4"/>
    </row>
    <row r="28" spans="1:1" x14ac:dyDescent="0.2">
      <c r="A28" s="4"/>
    </row>
    <row r="29" spans="1:1" x14ac:dyDescent="0.2">
      <c r="A29" s="3" t="s">
        <v>221</v>
      </c>
    </row>
    <row r="30" spans="1:1" x14ac:dyDescent="0.2">
      <c r="A30" s="4" t="s">
        <v>222</v>
      </c>
    </row>
    <row r="31" spans="1:1" x14ac:dyDescent="0.2">
      <c r="A31" s="4" t="s">
        <v>223</v>
      </c>
    </row>
    <row r="32" spans="1:1" x14ac:dyDescent="0.2">
      <c r="A32" s="4" t="s">
        <v>224</v>
      </c>
    </row>
    <row r="33" spans="1:1" x14ac:dyDescent="0.2">
      <c r="A33" s="4" t="s">
        <v>225</v>
      </c>
    </row>
    <row r="34" spans="1:1" x14ac:dyDescent="0.2">
      <c r="A34" s="4" t="s">
        <v>226</v>
      </c>
    </row>
    <row r="35" spans="1:1" x14ac:dyDescent="0.2">
      <c r="A35" s="4" t="s">
        <v>227</v>
      </c>
    </row>
    <row r="36" spans="1:1" x14ac:dyDescent="0.2">
      <c r="A36" s="4" t="s">
        <v>228</v>
      </c>
    </row>
    <row r="37" spans="1:1" x14ac:dyDescent="0.2">
      <c r="A37" s="4" t="s">
        <v>229</v>
      </c>
    </row>
    <row r="38" spans="1:1" x14ac:dyDescent="0.2">
      <c r="A38" s="4" t="s">
        <v>230</v>
      </c>
    </row>
    <row r="39" spans="1:1" x14ac:dyDescent="0.2">
      <c r="A39" s="4" t="s">
        <v>231</v>
      </c>
    </row>
    <row r="40" spans="1:1" x14ac:dyDescent="0.2">
      <c r="A40" s="4" t="s">
        <v>232</v>
      </c>
    </row>
    <row r="41" spans="1:1" x14ac:dyDescent="0.2">
      <c r="A41" s="4" t="s">
        <v>233</v>
      </c>
    </row>
    <row r="42" spans="1:1" x14ac:dyDescent="0.2">
      <c r="A42" s="4" t="s">
        <v>234</v>
      </c>
    </row>
    <row r="43" spans="1:1" x14ac:dyDescent="0.2">
      <c r="A43" s="9" t="s">
        <v>235</v>
      </c>
    </row>
    <row r="44" spans="1:1" x14ac:dyDescent="0.2">
      <c r="A44" s="7" t="s">
        <v>236</v>
      </c>
    </row>
    <row r="45" spans="1:1" x14ac:dyDescent="0.2">
      <c r="A45" s="7" t="s">
        <v>237</v>
      </c>
    </row>
    <row r="46" spans="1:1" x14ac:dyDescent="0.2">
      <c r="A46" s="7" t="s">
        <v>238</v>
      </c>
    </row>
    <row r="47" spans="1:1" x14ac:dyDescent="0.2">
      <c r="A47" s="7" t="s">
        <v>239</v>
      </c>
    </row>
    <row r="48" spans="1:1" x14ac:dyDescent="0.2">
      <c r="A48" s="10"/>
    </row>
    <row r="49" spans="1:1" x14ac:dyDescent="0.2">
      <c r="A49" s="11" t="s">
        <v>240</v>
      </c>
    </row>
    <row r="50" spans="1:1" x14ac:dyDescent="0.2">
      <c r="A50" s="11" t="s">
        <v>241</v>
      </c>
    </row>
    <row r="51" spans="1:1" x14ac:dyDescent="0.2">
      <c r="A51" s="4"/>
    </row>
    <row r="52" spans="1:1" x14ac:dyDescent="0.2">
      <c r="A52" s="11" t="s">
        <v>242</v>
      </c>
    </row>
    <row r="53" spans="1:1" x14ac:dyDescent="0.2">
      <c r="A53" s="11" t="s">
        <v>243</v>
      </c>
    </row>
    <row r="54" spans="1:1" x14ac:dyDescent="0.2">
      <c r="A54" s="12" t="s">
        <v>244</v>
      </c>
    </row>
    <row r="55" spans="1:1" x14ac:dyDescent="0.2">
      <c r="A55" s="13" t="s">
        <v>245</v>
      </c>
    </row>
    <row r="56" spans="1:1" x14ac:dyDescent="0.2">
      <c r="A56" s="4"/>
    </row>
    <row r="57" spans="1:1" x14ac:dyDescent="0.2">
      <c r="A57" s="11" t="s">
        <v>246</v>
      </c>
    </row>
    <row r="58" spans="1:1" x14ac:dyDescent="0.2">
      <c r="A58" s="11" t="s">
        <v>247</v>
      </c>
    </row>
    <row r="59" spans="1:1" x14ac:dyDescent="0.2">
      <c r="A59" s="4"/>
    </row>
    <row r="60" spans="1:1" x14ac:dyDescent="0.2">
      <c r="A60" s="3" t="s">
        <v>248</v>
      </c>
    </row>
    <row r="61" spans="1:1" x14ac:dyDescent="0.2">
      <c r="A61" s="2" t="s">
        <v>249</v>
      </c>
    </row>
    <row r="62" spans="1:1" x14ac:dyDescent="0.2">
      <c r="A62" s="5" t="s">
        <v>61</v>
      </c>
    </row>
    <row r="63" spans="1:1" x14ac:dyDescent="0.2">
      <c r="A63" s="5" t="s">
        <v>187</v>
      </c>
    </row>
    <row r="64" spans="1:1" x14ac:dyDescent="0.2">
      <c r="A64" s="5" t="s">
        <v>250</v>
      </c>
    </row>
    <row r="65" spans="1:1" x14ac:dyDescent="0.2">
      <c r="A65" s="5" t="s">
        <v>83</v>
      </c>
    </row>
    <row r="66" spans="1:1" x14ac:dyDescent="0.2">
      <c r="A66" s="5" t="s">
        <v>87</v>
      </c>
    </row>
    <row r="67" spans="1:1" x14ac:dyDescent="0.2">
      <c r="A67" s="5" t="s">
        <v>105</v>
      </c>
    </row>
    <row r="68" spans="1:1" x14ac:dyDescent="0.2">
      <c r="A68" s="5" t="s">
        <v>251</v>
      </c>
    </row>
    <row r="69" spans="1:1" x14ac:dyDescent="0.2">
      <c r="A69" s="5" t="s">
        <v>121</v>
      </c>
    </row>
    <row r="70" spans="1:1" x14ac:dyDescent="0.2">
      <c r="A70" s="5" t="s">
        <v>132</v>
      </c>
    </row>
    <row r="71" spans="1:1" x14ac:dyDescent="0.2">
      <c r="A71" s="14" t="s">
        <v>252</v>
      </c>
    </row>
    <row r="72" spans="1:1" x14ac:dyDescent="0.2">
      <c r="A72" s="14" t="s">
        <v>253</v>
      </c>
    </row>
    <row r="73" spans="1:1" x14ac:dyDescent="0.2">
      <c r="A73" s="14" t="s">
        <v>254</v>
      </c>
    </row>
    <row r="74" spans="1:1" x14ac:dyDescent="0.2">
      <c r="A74" s="4"/>
    </row>
    <row r="75" spans="1:1" x14ac:dyDescent="0.2">
      <c r="A75" s="3" t="s">
        <v>255</v>
      </c>
    </row>
    <row r="76" spans="1:1" x14ac:dyDescent="0.2">
      <c r="A76" s="2" t="s">
        <v>256</v>
      </c>
    </row>
    <row r="77" spans="1:1" x14ac:dyDescent="0.2">
      <c r="A77" s="4" t="s">
        <v>61</v>
      </c>
    </row>
    <row r="78" spans="1:1" x14ac:dyDescent="0.2">
      <c r="A78" s="4" t="s">
        <v>186</v>
      </c>
    </row>
    <row r="79" spans="1:1" x14ac:dyDescent="0.2">
      <c r="A79" s="4" t="s">
        <v>257</v>
      </c>
    </row>
    <row r="80" spans="1:1" x14ac:dyDescent="0.2">
      <c r="A80" s="4" t="s">
        <v>258</v>
      </c>
    </row>
    <row r="81" spans="1:1" x14ac:dyDescent="0.2">
      <c r="A81" s="4" t="s">
        <v>185</v>
      </c>
    </row>
    <row r="82" spans="1:1" x14ac:dyDescent="0.2">
      <c r="A82" s="14" t="s">
        <v>259</v>
      </c>
    </row>
    <row r="83" spans="1:1" x14ac:dyDescent="0.2">
      <c r="A83" s="14" t="s">
        <v>254</v>
      </c>
    </row>
    <row r="84" spans="1:1" x14ac:dyDescent="0.2">
      <c r="A84" s="4"/>
    </row>
    <row r="85" spans="1:1" x14ac:dyDescent="0.2">
      <c r="A85" s="15" t="s">
        <v>260</v>
      </c>
    </row>
    <row r="86" spans="1:1" x14ac:dyDescent="0.2">
      <c r="A86" s="16" t="s">
        <v>261</v>
      </c>
    </row>
    <row r="87" spans="1:1" ht="17" x14ac:dyDescent="0.2">
      <c r="A87" s="17" t="s">
        <v>262</v>
      </c>
    </row>
    <row r="88" spans="1:1" ht="17" x14ac:dyDescent="0.2">
      <c r="A88" s="17" t="s">
        <v>263</v>
      </c>
    </row>
    <row r="89" spans="1:1" x14ac:dyDescent="0.2">
      <c r="A89" s="4" t="s">
        <v>264</v>
      </c>
    </row>
    <row r="90" spans="1:1" x14ac:dyDescent="0.2">
      <c r="A90" s="4" t="s">
        <v>265</v>
      </c>
    </row>
    <row r="91" spans="1:1" x14ac:dyDescent="0.2">
      <c r="A91" s="4" t="s">
        <v>265</v>
      </c>
    </row>
    <row r="92" spans="1:1" x14ac:dyDescent="0.2">
      <c r="A92" s="4" t="s">
        <v>266</v>
      </c>
    </row>
    <row r="93" spans="1:1" x14ac:dyDescent="0.2">
      <c r="A93" s="4" t="s">
        <v>267</v>
      </c>
    </row>
    <row r="94" spans="1:1" x14ac:dyDescent="0.2">
      <c r="A94" s="4" t="s">
        <v>268</v>
      </c>
    </row>
    <row r="95" spans="1:1" x14ac:dyDescent="0.2">
      <c r="A95" s="4" t="s">
        <v>269</v>
      </c>
    </row>
    <row r="96" spans="1:1" x14ac:dyDescent="0.2">
      <c r="A96" s="4" t="s">
        <v>270</v>
      </c>
    </row>
    <row r="97" spans="1:1" x14ac:dyDescent="0.2">
      <c r="A97" s="4" t="s">
        <v>271</v>
      </c>
    </row>
    <row r="98" spans="1:1" x14ac:dyDescent="0.2">
      <c r="A98" s="4" t="s">
        <v>272</v>
      </c>
    </row>
    <row r="99" spans="1:1" x14ac:dyDescent="0.2">
      <c r="A99" s="4" t="s">
        <v>273</v>
      </c>
    </row>
    <row r="100" spans="1:1" x14ac:dyDescent="0.2">
      <c r="A100" s="4" t="s">
        <v>274</v>
      </c>
    </row>
    <row r="101" spans="1:1" x14ac:dyDescent="0.2">
      <c r="A101" s="4" t="s">
        <v>275</v>
      </c>
    </row>
    <row r="102" spans="1:1" x14ac:dyDescent="0.2">
      <c r="A102" s="4" t="s">
        <v>276</v>
      </c>
    </row>
    <row r="103" spans="1:1" x14ac:dyDescent="0.2">
      <c r="A103" s="4" t="s">
        <v>277</v>
      </c>
    </row>
    <row r="104" spans="1:1" x14ac:dyDescent="0.2">
      <c r="A104" s="4" t="s">
        <v>278</v>
      </c>
    </row>
    <row r="105" spans="1:1" x14ac:dyDescent="0.2">
      <c r="A105" s="4" t="s">
        <v>279</v>
      </c>
    </row>
    <row r="106" spans="1:1" x14ac:dyDescent="0.2">
      <c r="A106" s="4" t="s">
        <v>280</v>
      </c>
    </row>
    <row r="107" spans="1:1" x14ac:dyDescent="0.2">
      <c r="A107" s="4" t="s">
        <v>281</v>
      </c>
    </row>
    <row r="108" spans="1:1" x14ac:dyDescent="0.2">
      <c r="A108" s="4" t="s">
        <v>282</v>
      </c>
    </row>
    <row r="109" spans="1:1" x14ac:dyDescent="0.2">
      <c r="A109" s="4" t="s">
        <v>283</v>
      </c>
    </row>
    <row r="110" spans="1:1" x14ac:dyDescent="0.2">
      <c r="A110" s="4" t="s">
        <v>284</v>
      </c>
    </row>
    <row r="111" spans="1:1" x14ac:dyDescent="0.2">
      <c r="A111" s="4" t="s">
        <v>285</v>
      </c>
    </row>
    <row r="112" spans="1:1" x14ac:dyDescent="0.2">
      <c r="A112" s="4" t="s">
        <v>286</v>
      </c>
    </row>
    <row r="113" spans="1:1" x14ac:dyDescent="0.2">
      <c r="A113" s="14" t="s">
        <v>287</v>
      </c>
    </row>
    <row r="114" spans="1:1" x14ac:dyDescent="0.2">
      <c r="A114" s="14" t="s">
        <v>288</v>
      </c>
    </row>
    <row r="115" spans="1:1" x14ac:dyDescent="0.2">
      <c r="A115" s="14" t="s">
        <v>254</v>
      </c>
    </row>
    <row r="116" spans="1:1" x14ac:dyDescent="0.2">
      <c r="A116" s="4"/>
    </row>
    <row r="117" spans="1:1" x14ac:dyDescent="0.2">
      <c r="A117" s="3" t="s">
        <v>289</v>
      </c>
    </row>
    <row r="118" spans="1:1" ht="17" x14ac:dyDescent="0.2">
      <c r="A118" s="17" t="s">
        <v>290</v>
      </c>
    </row>
    <row r="119" spans="1:1" x14ac:dyDescent="0.2">
      <c r="A119" s="4" t="s">
        <v>291</v>
      </c>
    </row>
    <row r="120" spans="1:1" x14ac:dyDescent="0.2">
      <c r="A120" s="4" t="s">
        <v>292</v>
      </c>
    </row>
    <row r="121" spans="1:1" x14ac:dyDescent="0.2">
      <c r="A121" s="4" t="s">
        <v>293</v>
      </c>
    </row>
    <row r="122" spans="1:1" x14ac:dyDescent="0.2">
      <c r="A122" s="4" t="s">
        <v>294</v>
      </c>
    </row>
    <row r="123" spans="1:1" x14ac:dyDescent="0.2">
      <c r="A123" s="18" t="s">
        <v>259</v>
      </c>
    </row>
    <row r="124" spans="1:1" x14ac:dyDescent="0.2">
      <c r="A124" s="18" t="s">
        <v>254</v>
      </c>
    </row>
    <row r="125" spans="1:1" x14ac:dyDescent="0.2">
      <c r="A125" s="2"/>
    </row>
    <row r="126" spans="1:1" x14ac:dyDescent="0.2">
      <c r="A126" s="3" t="s">
        <v>295</v>
      </c>
    </row>
    <row r="127" spans="1:1" x14ac:dyDescent="0.2">
      <c r="A127" s="4" t="s">
        <v>296</v>
      </c>
    </row>
    <row r="128" spans="1:1" x14ac:dyDescent="0.2">
      <c r="A128" s="4" t="s">
        <v>297</v>
      </c>
    </row>
    <row r="129" spans="1:1" x14ac:dyDescent="0.2">
      <c r="A129" s="4" t="s">
        <v>298</v>
      </c>
    </row>
    <row r="130" spans="1:1" x14ac:dyDescent="0.2">
      <c r="A130" s="4" t="s">
        <v>299</v>
      </c>
    </row>
    <row r="131" spans="1:1" x14ac:dyDescent="0.2">
      <c r="A131" s="4" t="s">
        <v>300</v>
      </c>
    </row>
    <row r="132" spans="1:1" x14ac:dyDescent="0.2">
      <c r="A132" s="4" t="s">
        <v>301</v>
      </c>
    </row>
    <row r="133" spans="1:1" x14ac:dyDescent="0.2">
      <c r="A133" s="19" t="s">
        <v>302</v>
      </c>
    </row>
    <row r="134" spans="1:1" x14ac:dyDescent="0.2">
      <c r="A134" s="20" t="s">
        <v>303</v>
      </c>
    </row>
    <row r="135" spans="1:1" x14ac:dyDescent="0.2">
      <c r="A135" s="20" t="s">
        <v>304</v>
      </c>
    </row>
    <row r="136" spans="1:1" x14ac:dyDescent="0.2">
      <c r="A136" s="20" t="s">
        <v>305</v>
      </c>
    </row>
    <row r="137" spans="1:1" x14ac:dyDescent="0.2">
      <c r="A137" s="20" t="s">
        <v>306</v>
      </c>
    </row>
    <row r="138" spans="1:1" x14ac:dyDescent="0.2">
      <c r="A138" s="21" t="s">
        <v>307</v>
      </c>
    </row>
    <row r="139" spans="1:1" x14ac:dyDescent="0.2">
      <c r="A139" s="20" t="s">
        <v>308</v>
      </c>
    </row>
    <row r="140" spans="1:1" x14ac:dyDescent="0.2">
      <c r="A140" s="20" t="s">
        <v>309</v>
      </c>
    </row>
    <row r="141" spans="1:1" x14ac:dyDescent="0.2">
      <c r="A141" s="20" t="s">
        <v>310</v>
      </c>
    </row>
    <row r="142" spans="1:1" x14ac:dyDescent="0.2">
      <c r="A142" s="20" t="s">
        <v>311</v>
      </c>
    </row>
    <row r="143" spans="1:1" x14ac:dyDescent="0.2">
      <c r="A143" s="21" t="s">
        <v>312</v>
      </c>
    </row>
    <row r="144" spans="1:1" x14ac:dyDescent="0.2">
      <c r="A144" s="4" t="s">
        <v>313</v>
      </c>
    </row>
    <row r="145" spans="1:1" x14ac:dyDescent="0.2">
      <c r="A145" s="4" t="s">
        <v>314</v>
      </c>
    </row>
    <row r="146" spans="1:1" x14ac:dyDescent="0.2">
      <c r="A146" s="4" t="s">
        <v>315</v>
      </c>
    </row>
    <row r="147" spans="1:1" x14ac:dyDescent="0.2">
      <c r="A147" s="14" t="s">
        <v>259</v>
      </c>
    </row>
    <row r="148" spans="1:1" x14ac:dyDescent="0.2">
      <c r="A148" s="14" t="s">
        <v>254</v>
      </c>
    </row>
    <row r="149" spans="1:1" x14ac:dyDescent="0.2">
      <c r="A149" s="4"/>
    </row>
    <row r="150" spans="1:1" x14ac:dyDescent="0.2">
      <c r="A150" s="3" t="s">
        <v>316</v>
      </c>
    </row>
    <row r="151" spans="1:1" ht="17" x14ac:dyDescent="0.2">
      <c r="A151" s="17" t="s">
        <v>317</v>
      </c>
    </row>
    <row r="152" spans="1:1" x14ac:dyDescent="0.2">
      <c r="A152" s="4" t="s">
        <v>318</v>
      </c>
    </row>
    <row r="153" spans="1:1" x14ac:dyDescent="0.2">
      <c r="A153" s="4" t="s">
        <v>319</v>
      </c>
    </row>
    <row r="154" spans="1:1" x14ac:dyDescent="0.2">
      <c r="A154" s="4" t="s">
        <v>320</v>
      </c>
    </row>
    <row r="155" spans="1:1" x14ac:dyDescent="0.2">
      <c r="A155" s="18" t="s">
        <v>259</v>
      </c>
    </row>
    <row r="156" spans="1:1" x14ac:dyDescent="0.2">
      <c r="A156" s="18" t="s">
        <v>254</v>
      </c>
    </row>
    <row r="157" spans="1:1" x14ac:dyDescent="0.2">
      <c r="A157" s="4"/>
    </row>
    <row r="158" spans="1:1" x14ac:dyDescent="0.2">
      <c r="A158" s="3" t="s">
        <v>321</v>
      </c>
    </row>
    <row r="159" spans="1:1" x14ac:dyDescent="0.2">
      <c r="A159" s="4" t="s">
        <v>322</v>
      </c>
    </row>
    <row r="160" spans="1:1" x14ac:dyDescent="0.2">
      <c r="A160" s="4" t="s">
        <v>323</v>
      </c>
    </row>
    <row r="161" spans="1:1" x14ac:dyDescent="0.2">
      <c r="A161" s="4" t="s">
        <v>324</v>
      </c>
    </row>
    <row r="162" spans="1:1" x14ac:dyDescent="0.2">
      <c r="A162" s="14" t="s">
        <v>325</v>
      </c>
    </row>
    <row r="163" spans="1:1" x14ac:dyDescent="0.2">
      <c r="A163" s="14" t="s">
        <v>254</v>
      </c>
    </row>
    <row r="164" spans="1:1" x14ac:dyDescent="0.2">
      <c r="A164" s="4"/>
    </row>
    <row r="165" spans="1:1" x14ac:dyDescent="0.2">
      <c r="A165" s="3" t="s">
        <v>326</v>
      </c>
    </row>
    <row r="166" spans="1:1" x14ac:dyDescent="0.2">
      <c r="A166" s="4" t="s">
        <v>327</v>
      </c>
    </row>
    <row r="167" spans="1:1" x14ac:dyDescent="0.2">
      <c r="A167" s="4" t="s">
        <v>328</v>
      </c>
    </row>
    <row r="168" spans="1:1" x14ac:dyDescent="0.2">
      <c r="A168" s="4" t="s">
        <v>329</v>
      </c>
    </row>
    <row r="169" spans="1:1" x14ac:dyDescent="0.2">
      <c r="A169" s="14" t="s">
        <v>259</v>
      </c>
    </row>
    <row r="170" spans="1:1" x14ac:dyDescent="0.2">
      <c r="A170" s="14" t="s">
        <v>254</v>
      </c>
    </row>
    <row r="171" spans="1:1" x14ac:dyDescent="0.2">
      <c r="A171" s="4"/>
    </row>
    <row r="172" spans="1:1" x14ac:dyDescent="0.2">
      <c r="A172" s="4"/>
    </row>
    <row r="173" spans="1:1" ht="17" thickBot="1" x14ac:dyDescent="0.25"/>
    <row r="174" spans="1:1" ht="17" thickBot="1" x14ac:dyDescent="0.25">
      <c r="A174" s="22"/>
    </row>
    <row r="175" spans="1:1" x14ac:dyDescent="0.2">
      <c r="A175" s="23" t="s">
        <v>330</v>
      </c>
    </row>
    <row r="176" spans="1:1" x14ac:dyDescent="0.2">
      <c r="A176" s="24" t="s">
        <v>331</v>
      </c>
    </row>
    <row r="177" spans="1:1" x14ac:dyDescent="0.2">
      <c r="A177" s="24" t="s">
        <v>332</v>
      </c>
    </row>
    <row r="178" spans="1:1" x14ac:dyDescent="0.2">
      <c r="A178" s="24" t="s">
        <v>333</v>
      </c>
    </row>
    <row r="179" spans="1:1" x14ac:dyDescent="0.2">
      <c r="A179" s="25"/>
    </row>
    <row r="180" spans="1:1" x14ac:dyDescent="0.2">
      <c r="A180" s="26" t="s">
        <v>334</v>
      </c>
    </row>
    <row r="181" spans="1:1" x14ac:dyDescent="0.2">
      <c r="A181" s="24" t="s">
        <v>335</v>
      </c>
    </row>
    <row r="182" spans="1:1" x14ac:dyDescent="0.2">
      <c r="A182" s="25"/>
    </row>
    <row r="183" spans="1:1" ht="17" thickBot="1" x14ac:dyDescent="0.25">
      <c r="A183" s="27" t="s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7" sqref="G37"/>
    </sheetView>
  </sheetViews>
  <sheetFormatPr baseColWidth="10" defaultColWidth="8.83203125" defaultRowHeight="15" x14ac:dyDescent="0.2"/>
  <cols>
    <col min="1" max="1" width="17" bestFit="1" customWidth="1"/>
    <col min="7" max="7" width="8.83203125" style="30"/>
  </cols>
  <sheetData>
    <row r="1" spans="1:8" ht="16" x14ac:dyDescent="0.2">
      <c r="A1" s="31" t="s">
        <v>339</v>
      </c>
    </row>
    <row r="2" spans="1:8" ht="16" x14ac:dyDescent="0.2">
      <c r="A2" s="32" t="s">
        <v>0</v>
      </c>
      <c r="B2" s="33" t="s">
        <v>340</v>
      </c>
      <c r="C2" s="34" t="s">
        <v>341</v>
      </c>
      <c r="D2" s="34" t="s">
        <v>342</v>
      </c>
      <c r="E2" s="34"/>
      <c r="F2" s="35" t="s">
        <v>337</v>
      </c>
      <c r="G2" s="36" t="s">
        <v>148</v>
      </c>
      <c r="H2" s="37" t="s">
        <v>343</v>
      </c>
    </row>
    <row r="3" spans="1:8" x14ac:dyDescent="0.2">
      <c r="A3" t="s">
        <v>34</v>
      </c>
      <c r="B3">
        <v>6</v>
      </c>
      <c r="C3">
        <v>9</v>
      </c>
      <c r="D3">
        <v>2.5</v>
      </c>
      <c r="F3">
        <v>6.46</v>
      </c>
      <c r="H3" t="s">
        <v>35</v>
      </c>
    </row>
    <row r="4" spans="1:8" x14ac:dyDescent="0.2">
      <c r="A4" t="s">
        <v>34</v>
      </c>
      <c r="B4">
        <v>6</v>
      </c>
      <c r="C4">
        <v>9</v>
      </c>
      <c r="D4">
        <v>2.5</v>
      </c>
      <c r="F4">
        <v>6.46</v>
      </c>
      <c r="H4" t="s">
        <v>36</v>
      </c>
    </row>
    <row r="5" spans="1:8" x14ac:dyDescent="0.2">
      <c r="A5" t="s">
        <v>34</v>
      </c>
      <c r="F5">
        <v>6.46</v>
      </c>
      <c r="G5" s="30">
        <v>0</v>
      </c>
      <c r="H5" t="s">
        <v>149</v>
      </c>
    </row>
    <row r="7" spans="1:8" x14ac:dyDescent="0.2">
      <c r="A7" t="s">
        <v>37</v>
      </c>
      <c r="B7">
        <v>0</v>
      </c>
      <c r="C7">
        <v>1</v>
      </c>
      <c r="D7">
        <v>0</v>
      </c>
      <c r="F7">
        <v>0.05</v>
      </c>
      <c r="H7" t="s">
        <v>344</v>
      </c>
    </row>
    <row r="8" spans="1:8" x14ac:dyDescent="0.2">
      <c r="F8">
        <v>0.05</v>
      </c>
      <c r="H8" t="s">
        <v>345</v>
      </c>
    </row>
    <row r="9" spans="1:8" x14ac:dyDescent="0.2">
      <c r="A9" t="s">
        <v>37</v>
      </c>
      <c r="F9">
        <v>0.05</v>
      </c>
      <c r="G9" s="30">
        <v>0</v>
      </c>
      <c r="H9" t="s">
        <v>149</v>
      </c>
    </row>
    <row r="11" spans="1:8" x14ac:dyDescent="0.2">
      <c r="A11" t="s">
        <v>39</v>
      </c>
      <c r="B11">
        <v>0</v>
      </c>
      <c r="C11">
        <v>4</v>
      </c>
      <c r="D11">
        <v>8</v>
      </c>
      <c r="F11">
        <v>0.23</v>
      </c>
      <c r="H11" t="s">
        <v>40</v>
      </c>
    </row>
    <row r="12" spans="1:8" x14ac:dyDescent="0.2">
      <c r="A12" t="s">
        <v>39</v>
      </c>
      <c r="B12">
        <v>0</v>
      </c>
      <c r="C12">
        <v>4</v>
      </c>
      <c r="D12">
        <v>8</v>
      </c>
      <c r="F12">
        <v>0.23</v>
      </c>
      <c r="H12" t="s">
        <v>41</v>
      </c>
    </row>
    <row r="14" spans="1:8" x14ac:dyDescent="0.2">
      <c r="A14" t="s">
        <v>39</v>
      </c>
      <c r="B14">
        <v>0</v>
      </c>
      <c r="C14">
        <v>5</v>
      </c>
      <c r="D14">
        <v>8</v>
      </c>
      <c r="F14">
        <v>0.28000000000000003</v>
      </c>
      <c r="H14" t="s">
        <v>42</v>
      </c>
    </row>
    <row r="16" spans="1:8" x14ac:dyDescent="0.2">
      <c r="A16" t="s">
        <v>39</v>
      </c>
      <c r="B16">
        <v>6</v>
      </c>
      <c r="C16">
        <v>3</v>
      </c>
      <c r="D16">
        <v>6.5</v>
      </c>
      <c r="F16">
        <v>6.18</v>
      </c>
      <c r="H16" t="s">
        <v>43</v>
      </c>
    </row>
    <row r="17" spans="1:8" x14ac:dyDescent="0.2">
      <c r="A17" t="s">
        <v>39</v>
      </c>
      <c r="F17">
        <f>F5-(F14)</f>
        <v>6.18</v>
      </c>
      <c r="G17" s="30">
        <f>F17-F16</f>
        <v>0</v>
      </c>
      <c r="H17" t="s">
        <v>149</v>
      </c>
    </row>
    <row r="19" spans="1:8" x14ac:dyDescent="0.2">
      <c r="A19" t="s">
        <v>44</v>
      </c>
      <c r="B19">
        <v>0</v>
      </c>
      <c r="C19">
        <v>1</v>
      </c>
      <c r="D19">
        <v>0</v>
      </c>
      <c r="F19">
        <v>0.05</v>
      </c>
      <c r="H19" t="s">
        <v>45</v>
      </c>
    </row>
    <row r="20" spans="1:8" x14ac:dyDescent="0.2">
      <c r="A20" t="s">
        <v>44</v>
      </c>
      <c r="B20">
        <v>0</v>
      </c>
      <c r="C20">
        <v>0</v>
      </c>
      <c r="D20">
        <v>6</v>
      </c>
      <c r="F20">
        <v>0.03</v>
      </c>
      <c r="H20" t="s">
        <v>46</v>
      </c>
    </row>
    <row r="21" spans="1:8" x14ac:dyDescent="0.2">
      <c r="A21" t="s">
        <v>44</v>
      </c>
      <c r="B21">
        <v>0</v>
      </c>
      <c r="C21">
        <v>0</v>
      </c>
      <c r="D21">
        <v>6</v>
      </c>
      <c r="F21">
        <v>0.03</v>
      </c>
      <c r="H21" t="s">
        <v>47</v>
      </c>
    </row>
    <row r="22" spans="1:8" x14ac:dyDescent="0.2">
      <c r="A22" t="s">
        <v>44</v>
      </c>
      <c r="B22">
        <v>0</v>
      </c>
      <c r="C22">
        <v>0</v>
      </c>
      <c r="D22">
        <v>1</v>
      </c>
      <c r="F22">
        <v>0</v>
      </c>
      <c r="H22" t="s">
        <v>48</v>
      </c>
    </row>
    <row r="23" spans="1:8" x14ac:dyDescent="0.2">
      <c r="A23" t="s">
        <v>44</v>
      </c>
      <c r="B23">
        <v>0</v>
      </c>
      <c r="C23">
        <v>1</v>
      </c>
      <c r="D23">
        <v>0</v>
      </c>
      <c r="F23">
        <v>0.05</v>
      </c>
      <c r="H23" t="s">
        <v>49</v>
      </c>
    </row>
    <row r="24" spans="1:8" x14ac:dyDescent="0.2">
      <c r="A24" t="s">
        <v>44</v>
      </c>
      <c r="B24">
        <v>0</v>
      </c>
      <c r="C24">
        <v>0</v>
      </c>
      <c r="D24">
        <v>6</v>
      </c>
      <c r="F24">
        <v>0.03</v>
      </c>
      <c r="H24" t="s">
        <v>50</v>
      </c>
    </row>
    <row r="25" spans="1:8" x14ac:dyDescent="0.2">
      <c r="A25" t="s">
        <v>44</v>
      </c>
      <c r="B25">
        <v>0</v>
      </c>
      <c r="C25">
        <v>0</v>
      </c>
      <c r="D25">
        <v>9</v>
      </c>
      <c r="F25">
        <v>0.04</v>
      </c>
      <c r="H25" t="s">
        <v>51</v>
      </c>
    </row>
    <row r="26" spans="1:8" x14ac:dyDescent="0.2">
      <c r="A26" t="s">
        <v>44</v>
      </c>
      <c r="B26">
        <v>0</v>
      </c>
      <c r="C26">
        <v>0</v>
      </c>
      <c r="D26">
        <v>4</v>
      </c>
      <c r="F26">
        <v>0.02</v>
      </c>
      <c r="H26" t="s">
        <v>52</v>
      </c>
    </row>
    <row r="27" spans="1:8" x14ac:dyDescent="0.2">
      <c r="A27" t="s">
        <v>44</v>
      </c>
      <c r="B27">
        <v>0</v>
      </c>
      <c r="C27">
        <v>4</v>
      </c>
      <c r="D27">
        <v>8</v>
      </c>
      <c r="F27">
        <v>0.23</v>
      </c>
      <c r="H27" t="s">
        <v>41</v>
      </c>
    </row>
    <row r="28" spans="1:8" x14ac:dyDescent="0.2">
      <c r="A28" t="s">
        <v>44</v>
      </c>
      <c r="F28">
        <v>0.25</v>
      </c>
      <c r="G28" s="30">
        <v>1.999999999999999E-2</v>
      </c>
      <c r="H28" t="s">
        <v>149</v>
      </c>
    </row>
    <row r="30" spans="1:8" x14ac:dyDescent="0.2">
      <c r="A30" t="s">
        <v>53</v>
      </c>
      <c r="B30">
        <v>0</v>
      </c>
      <c r="C30">
        <v>19</v>
      </c>
      <c r="D30">
        <v>2</v>
      </c>
      <c r="F30">
        <v>0.96</v>
      </c>
      <c r="H30" t="s">
        <v>54</v>
      </c>
    </row>
    <row r="31" spans="1:8" x14ac:dyDescent="0.2">
      <c r="A31" t="s">
        <v>53</v>
      </c>
      <c r="B31">
        <v>0</v>
      </c>
      <c r="C31">
        <v>19</v>
      </c>
      <c r="D31">
        <v>2</v>
      </c>
      <c r="F31">
        <v>0.96</v>
      </c>
      <c r="H31" t="s">
        <v>55</v>
      </c>
    </row>
    <row r="32" spans="1:8" x14ac:dyDescent="0.2">
      <c r="A32" t="s">
        <v>53</v>
      </c>
      <c r="F32">
        <v>0.96</v>
      </c>
      <c r="G32" s="30">
        <v>0</v>
      </c>
      <c r="H32" t="s">
        <v>149</v>
      </c>
    </row>
    <row r="34" spans="1:8" x14ac:dyDescent="0.2">
      <c r="A34" t="s">
        <v>56</v>
      </c>
      <c r="B34">
        <v>7</v>
      </c>
      <c r="C34">
        <v>7</v>
      </c>
      <c r="D34">
        <v>4.5</v>
      </c>
      <c r="F34">
        <v>7.37</v>
      </c>
      <c r="H34" t="s">
        <v>57</v>
      </c>
    </row>
    <row r="35" spans="1:8" x14ac:dyDescent="0.2">
      <c r="A35" t="s">
        <v>56</v>
      </c>
      <c r="B35">
        <v>0</v>
      </c>
      <c r="C35">
        <v>0</v>
      </c>
      <c r="D35">
        <v>0</v>
      </c>
      <c r="F35">
        <v>0</v>
      </c>
      <c r="H35" t="s">
        <v>58</v>
      </c>
    </row>
    <row r="36" spans="1:8" x14ac:dyDescent="0.2">
      <c r="A36" t="s">
        <v>56</v>
      </c>
      <c r="B36">
        <v>7</v>
      </c>
      <c r="C36">
        <v>7</v>
      </c>
      <c r="D36">
        <v>4.5</v>
      </c>
      <c r="F36">
        <v>7.37</v>
      </c>
      <c r="G36" s="30">
        <f>F36-F34</f>
        <v>0</v>
      </c>
      <c r="H36" t="s">
        <v>59</v>
      </c>
    </row>
    <row r="37" spans="1:8" x14ac:dyDescent="0.2">
      <c r="A37" t="s">
        <v>56</v>
      </c>
      <c r="B37">
        <v>0</v>
      </c>
      <c r="C37">
        <v>0</v>
      </c>
      <c r="D37">
        <v>0</v>
      </c>
      <c r="F37">
        <v>0</v>
      </c>
      <c r="H3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"/>
  <sheetViews>
    <sheetView workbookViewId="0">
      <selection activeCell="F9" sqref="F9"/>
    </sheetView>
  </sheetViews>
  <sheetFormatPr baseColWidth="10" defaultColWidth="8.83203125" defaultRowHeight="15" x14ac:dyDescent="0.2"/>
  <sheetData>
    <row r="1" spans="1:17" x14ac:dyDescent="0.2">
      <c r="A1" t="s">
        <v>346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0C3-DCD1-D844-B8C9-AE33641E115C}">
  <dimension ref="A1"/>
  <sheetViews>
    <sheetView tabSelected="1" zoomScale="92" workbookViewId="0">
      <selection activeCell="A2" sqref="A2"/>
    </sheetView>
  </sheetViews>
  <sheetFormatPr baseColWidth="10" defaultRowHeight="15" x14ac:dyDescent="0.2"/>
  <sheetData>
    <row r="1" spans="1:1" x14ac:dyDescent="0.2">
      <c r="A1" t="s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6"/>
  <sheetViews>
    <sheetView workbookViewId="0"/>
  </sheetViews>
  <sheetFormatPr baseColWidth="10" defaultColWidth="8.83203125" defaultRowHeight="15" x14ac:dyDescent="0.2"/>
  <cols>
    <col min="1" max="1" width="41.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>
        <v>6.46</v>
      </c>
      <c r="D2">
        <v>6</v>
      </c>
      <c r="E2">
        <v>9</v>
      </c>
      <c r="F2">
        <v>2.5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4" x14ac:dyDescent="0.2">
      <c r="A3" t="s">
        <v>34</v>
      </c>
      <c r="B3" t="s">
        <v>36</v>
      </c>
      <c r="C3">
        <v>6.46</v>
      </c>
      <c r="D3">
        <v>6</v>
      </c>
      <c r="E3">
        <v>9</v>
      </c>
      <c r="F3">
        <v>2.5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4" x14ac:dyDescent="0.2">
      <c r="A4" t="s">
        <v>37</v>
      </c>
      <c r="B4" t="s">
        <v>38</v>
      </c>
      <c r="C4">
        <v>0.05</v>
      </c>
      <c r="D4">
        <v>0</v>
      </c>
      <c r="E4">
        <v>1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4" x14ac:dyDescent="0.2">
      <c r="A5" t="s">
        <v>39</v>
      </c>
      <c r="B5" t="s">
        <v>40</v>
      </c>
      <c r="C5">
        <v>0.23</v>
      </c>
      <c r="D5">
        <v>0</v>
      </c>
      <c r="E5">
        <v>4</v>
      </c>
      <c r="F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4" x14ac:dyDescent="0.2">
      <c r="A6" t="s">
        <v>39</v>
      </c>
      <c r="B6" t="s">
        <v>41</v>
      </c>
      <c r="C6">
        <v>0.23</v>
      </c>
      <c r="D6">
        <v>0</v>
      </c>
      <c r="E6">
        <v>4</v>
      </c>
      <c r="F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4" x14ac:dyDescent="0.2">
      <c r="A7" t="s">
        <v>39</v>
      </c>
      <c r="B7" t="s">
        <v>42</v>
      </c>
      <c r="C7">
        <v>0.28000000000000003</v>
      </c>
      <c r="D7">
        <v>0</v>
      </c>
      <c r="E7">
        <v>5</v>
      </c>
      <c r="F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4" x14ac:dyDescent="0.2">
      <c r="A8" t="s">
        <v>39</v>
      </c>
      <c r="B8" t="s">
        <v>43</v>
      </c>
      <c r="C8">
        <v>6.18</v>
      </c>
      <c r="D8">
        <v>6</v>
      </c>
      <c r="E8">
        <v>3</v>
      </c>
      <c r="F8">
        <v>6.5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4" x14ac:dyDescent="0.2">
      <c r="A9" t="s">
        <v>44</v>
      </c>
      <c r="B9" t="s">
        <v>45</v>
      </c>
      <c r="C9">
        <v>0.05</v>
      </c>
      <c r="D9">
        <v>0</v>
      </c>
      <c r="E9">
        <v>1</v>
      </c>
      <c r="F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4" x14ac:dyDescent="0.2">
      <c r="A10" t="s">
        <v>44</v>
      </c>
      <c r="B10" t="s">
        <v>46</v>
      </c>
      <c r="C10">
        <v>0.03</v>
      </c>
      <c r="D10">
        <v>0</v>
      </c>
      <c r="E10">
        <v>0</v>
      </c>
      <c r="F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4" x14ac:dyDescent="0.2">
      <c r="A11" t="s">
        <v>44</v>
      </c>
      <c r="B11" t="s">
        <v>47</v>
      </c>
      <c r="C11">
        <v>0.03</v>
      </c>
      <c r="D11">
        <v>0</v>
      </c>
      <c r="E11">
        <v>0</v>
      </c>
      <c r="F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4" x14ac:dyDescent="0.2">
      <c r="A12" t="s">
        <v>44</v>
      </c>
      <c r="B12" t="s">
        <v>48</v>
      </c>
      <c r="C12">
        <v>0</v>
      </c>
      <c r="D12">
        <v>0</v>
      </c>
      <c r="E12">
        <v>0</v>
      </c>
      <c r="F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4" x14ac:dyDescent="0.2">
      <c r="A13" t="s">
        <v>44</v>
      </c>
      <c r="B13" t="s">
        <v>49</v>
      </c>
      <c r="C13">
        <v>0.05</v>
      </c>
      <c r="D13">
        <v>0</v>
      </c>
      <c r="E13">
        <v>1</v>
      </c>
      <c r="F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4" x14ac:dyDescent="0.2">
      <c r="A14" t="s">
        <v>44</v>
      </c>
      <c r="B14" t="s">
        <v>50</v>
      </c>
      <c r="C14">
        <v>0.03</v>
      </c>
      <c r="D14">
        <v>0</v>
      </c>
      <c r="E14">
        <v>0</v>
      </c>
      <c r="F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4" x14ac:dyDescent="0.2">
      <c r="A15" t="s">
        <v>44</v>
      </c>
      <c r="B15" t="s">
        <v>51</v>
      </c>
      <c r="C15">
        <v>0.04</v>
      </c>
      <c r="D15">
        <v>0</v>
      </c>
      <c r="E15">
        <v>0</v>
      </c>
      <c r="F15">
        <v>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4" x14ac:dyDescent="0.2">
      <c r="A16" t="s">
        <v>44</v>
      </c>
      <c r="B16" t="s">
        <v>52</v>
      </c>
      <c r="C16">
        <v>0.02</v>
      </c>
      <c r="D16">
        <v>0</v>
      </c>
      <c r="E16">
        <v>0</v>
      </c>
      <c r="F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28" x14ac:dyDescent="0.2">
      <c r="A17" t="s">
        <v>44</v>
      </c>
      <c r="B17" t="s">
        <v>41</v>
      </c>
      <c r="C17">
        <v>0.23</v>
      </c>
      <c r="D17">
        <v>0</v>
      </c>
      <c r="E17">
        <v>4</v>
      </c>
      <c r="F17">
        <v>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28" x14ac:dyDescent="0.2">
      <c r="A18" t="s">
        <v>53</v>
      </c>
      <c r="B18" t="s">
        <v>54</v>
      </c>
      <c r="C18">
        <v>0.96</v>
      </c>
      <c r="D18">
        <v>0</v>
      </c>
      <c r="E18">
        <v>19</v>
      </c>
      <c r="F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28" x14ac:dyDescent="0.2">
      <c r="A19" t="s">
        <v>53</v>
      </c>
      <c r="B19" t="s">
        <v>55</v>
      </c>
      <c r="C19">
        <v>0.96</v>
      </c>
      <c r="D19">
        <v>0</v>
      </c>
      <c r="E19">
        <v>19</v>
      </c>
      <c r="F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8" x14ac:dyDescent="0.2">
      <c r="A20" t="s">
        <v>56</v>
      </c>
      <c r="B20" t="s">
        <v>57</v>
      </c>
      <c r="C20">
        <v>7.37</v>
      </c>
      <c r="D20">
        <v>7</v>
      </c>
      <c r="E20">
        <v>7</v>
      </c>
      <c r="F20">
        <v>4.5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28" x14ac:dyDescent="0.2">
      <c r="A21" t="s">
        <v>56</v>
      </c>
      <c r="B21" t="s">
        <v>58</v>
      </c>
      <c r="C21">
        <v>0</v>
      </c>
      <c r="D21">
        <v>0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28" x14ac:dyDescent="0.2">
      <c r="A22" t="s">
        <v>56</v>
      </c>
      <c r="B22" t="s">
        <v>59</v>
      </c>
      <c r="C22">
        <v>7.37</v>
      </c>
      <c r="D22">
        <v>7</v>
      </c>
      <c r="E22">
        <v>7</v>
      </c>
      <c r="F22">
        <v>4.5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28" x14ac:dyDescent="0.2">
      <c r="A23" t="s">
        <v>56</v>
      </c>
      <c r="B23" t="s">
        <v>60</v>
      </c>
      <c r="C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28" x14ac:dyDescent="0.2">
      <c r="A24" t="s">
        <v>61</v>
      </c>
      <c r="B24" t="s">
        <v>62</v>
      </c>
      <c r="C24">
        <v>0</v>
      </c>
      <c r="D24">
        <v>0</v>
      </c>
      <c r="E24">
        <v>0</v>
      </c>
      <c r="F24">
        <v>0</v>
      </c>
      <c r="H24">
        <v>7</v>
      </c>
      <c r="I24">
        <v>0</v>
      </c>
      <c r="J24">
        <v>7</v>
      </c>
      <c r="K24">
        <v>7</v>
      </c>
      <c r="L24">
        <v>0</v>
      </c>
      <c r="M24">
        <v>7</v>
      </c>
      <c r="N24">
        <v>0</v>
      </c>
    </row>
    <row r="25" spans="1:28" x14ac:dyDescent="0.2">
      <c r="A25" t="s">
        <v>61</v>
      </c>
      <c r="B25" t="s">
        <v>63</v>
      </c>
      <c r="C25">
        <v>0</v>
      </c>
      <c r="D25">
        <v>0</v>
      </c>
      <c r="E25">
        <v>0</v>
      </c>
      <c r="F25">
        <v>0</v>
      </c>
      <c r="G25" t="s">
        <v>64</v>
      </c>
      <c r="H25">
        <v>105</v>
      </c>
      <c r="I25">
        <v>0</v>
      </c>
      <c r="J25">
        <v>105</v>
      </c>
      <c r="K25">
        <v>105</v>
      </c>
      <c r="L25">
        <v>0</v>
      </c>
      <c r="M25">
        <v>105</v>
      </c>
      <c r="N25">
        <v>0</v>
      </c>
    </row>
    <row r="26" spans="1:28" x14ac:dyDescent="0.2">
      <c r="A26" t="s">
        <v>61</v>
      </c>
      <c r="B26" t="s">
        <v>65</v>
      </c>
      <c r="C26">
        <v>0</v>
      </c>
      <c r="D26">
        <v>0</v>
      </c>
      <c r="E26">
        <v>0</v>
      </c>
      <c r="F26">
        <v>0</v>
      </c>
      <c r="H26">
        <v>9</v>
      </c>
      <c r="I26">
        <v>0</v>
      </c>
      <c r="J26">
        <v>9</v>
      </c>
      <c r="K26">
        <v>9</v>
      </c>
      <c r="L26">
        <v>0</v>
      </c>
      <c r="M26">
        <v>9</v>
      </c>
      <c r="N26">
        <v>0</v>
      </c>
    </row>
    <row r="27" spans="1:28" x14ac:dyDescent="0.2">
      <c r="A27" t="s">
        <v>61</v>
      </c>
      <c r="B27" t="s">
        <v>66</v>
      </c>
      <c r="C27">
        <v>0</v>
      </c>
      <c r="D27">
        <v>0</v>
      </c>
      <c r="E27">
        <v>0</v>
      </c>
      <c r="F27">
        <v>0</v>
      </c>
      <c r="H27">
        <v>1.5</v>
      </c>
      <c r="I27">
        <v>0</v>
      </c>
      <c r="J27">
        <v>1.5</v>
      </c>
      <c r="K27">
        <v>1.5</v>
      </c>
      <c r="L27">
        <v>0</v>
      </c>
      <c r="M27">
        <v>1.5</v>
      </c>
      <c r="N27">
        <v>0</v>
      </c>
    </row>
    <row r="28" spans="1:28" x14ac:dyDescent="0.2">
      <c r="A28" t="s">
        <v>61</v>
      </c>
      <c r="B28" t="s">
        <v>67</v>
      </c>
      <c r="C28">
        <v>0</v>
      </c>
      <c r="D28">
        <v>0</v>
      </c>
      <c r="E28">
        <v>0</v>
      </c>
      <c r="F28">
        <v>0</v>
      </c>
      <c r="H28">
        <v>115.5</v>
      </c>
      <c r="I28">
        <v>0</v>
      </c>
      <c r="J28">
        <v>115.5</v>
      </c>
      <c r="K28">
        <v>115.5</v>
      </c>
      <c r="L28">
        <v>0</v>
      </c>
      <c r="M28">
        <v>115.5</v>
      </c>
      <c r="N28">
        <v>0</v>
      </c>
    </row>
    <row r="29" spans="1:28" x14ac:dyDescent="0.2">
      <c r="A29" t="s">
        <v>61</v>
      </c>
      <c r="B29" t="s">
        <v>68</v>
      </c>
      <c r="C29">
        <v>0</v>
      </c>
      <c r="D29">
        <v>0</v>
      </c>
      <c r="E29">
        <v>0</v>
      </c>
      <c r="F29">
        <v>0</v>
      </c>
      <c r="H29">
        <v>30.5</v>
      </c>
      <c r="I29">
        <v>0</v>
      </c>
      <c r="J29">
        <v>30.5</v>
      </c>
      <c r="K29">
        <v>30.5</v>
      </c>
      <c r="L29">
        <v>0</v>
      </c>
      <c r="M29">
        <v>30.5</v>
      </c>
      <c r="N29">
        <v>0</v>
      </c>
    </row>
    <row r="30" spans="1:28" x14ac:dyDescent="0.2">
      <c r="A30" t="s">
        <v>61</v>
      </c>
      <c r="B30" t="s">
        <v>69</v>
      </c>
      <c r="C30">
        <v>0</v>
      </c>
      <c r="D30">
        <v>0</v>
      </c>
      <c r="E30">
        <v>0</v>
      </c>
      <c r="F30">
        <v>0</v>
      </c>
      <c r="H30">
        <v>0</v>
      </c>
      <c r="I30">
        <v>3</v>
      </c>
      <c r="J30">
        <v>0.375</v>
      </c>
      <c r="K30">
        <v>0.375</v>
      </c>
      <c r="L30">
        <v>0</v>
      </c>
      <c r="M30">
        <v>0</v>
      </c>
      <c r="N30">
        <v>3</v>
      </c>
    </row>
    <row r="31" spans="1:28" x14ac:dyDescent="0.2">
      <c r="A31" t="s">
        <v>61</v>
      </c>
      <c r="B31" t="s">
        <v>70</v>
      </c>
      <c r="C31">
        <v>0</v>
      </c>
      <c r="D31">
        <v>0</v>
      </c>
      <c r="E31">
        <v>0</v>
      </c>
      <c r="F31">
        <v>0</v>
      </c>
      <c r="G31" t="s">
        <v>71</v>
      </c>
      <c r="H31">
        <v>1</v>
      </c>
      <c r="I31">
        <v>5</v>
      </c>
      <c r="J31">
        <v>1.625</v>
      </c>
      <c r="K31">
        <v>1.625</v>
      </c>
      <c r="L31">
        <v>0</v>
      </c>
      <c r="M31">
        <v>1</v>
      </c>
      <c r="N31">
        <v>5</v>
      </c>
    </row>
    <row r="32" spans="1:28" x14ac:dyDescent="0.2">
      <c r="A32" t="s">
        <v>61</v>
      </c>
      <c r="B32" t="s">
        <v>72</v>
      </c>
      <c r="C32">
        <v>0</v>
      </c>
      <c r="D32">
        <v>0</v>
      </c>
      <c r="E32">
        <v>0</v>
      </c>
      <c r="F32">
        <v>0</v>
      </c>
      <c r="G32" t="s">
        <v>71</v>
      </c>
      <c r="H32">
        <v>1</v>
      </c>
      <c r="I32">
        <v>5</v>
      </c>
      <c r="J32">
        <v>1.625</v>
      </c>
      <c r="K32">
        <v>1.625</v>
      </c>
      <c r="L32">
        <v>0</v>
      </c>
      <c r="M32">
        <v>1</v>
      </c>
      <c r="N32">
        <v>5</v>
      </c>
      <c r="AA32">
        <v>0</v>
      </c>
      <c r="AB32">
        <v>0</v>
      </c>
    </row>
    <row r="33" spans="1:14" x14ac:dyDescent="0.2">
      <c r="A33" t="s">
        <v>61</v>
      </c>
      <c r="B33" t="s">
        <v>73</v>
      </c>
      <c r="C33">
        <v>0</v>
      </c>
      <c r="D33">
        <v>0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61</v>
      </c>
      <c r="B34" t="s">
        <v>74</v>
      </c>
      <c r="C34">
        <v>0</v>
      </c>
      <c r="D34">
        <v>0</v>
      </c>
      <c r="E34">
        <v>0</v>
      </c>
      <c r="F34">
        <v>0</v>
      </c>
      <c r="H34">
        <v>0</v>
      </c>
      <c r="I34">
        <v>2</v>
      </c>
      <c r="J34">
        <v>0.25</v>
      </c>
      <c r="K34">
        <v>0.25</v>
      </c>
      <c r="L34">
        <v>0</v>
      </c>
      <c r="M34">
        <v>0</v>
      </c>
      <c r="N34">
        <v>2</v>
      </c>
    </row>
    <row r="35" spans="1:14" x14ac:dyDescent="0.2">
      <c r="A35" t="s">
        <v>61</v>
      </c>
      <c r="B35" t="s">
        <v>75</v>
      </c>
      <c r="C35">
        <v>0</v>
      </c>
      <c r="D35">
        <v>0</v>
      </c>
      <c r="E35">
        <v>0</v>
      </c>
      <c r="F35">
        <v>0</v>
      </c>
      <c r="H35">
        <v>2.5</v>
      </c>
      <c r="I35">
        <v>0</v>
      </c>
      <c r="J35">
        <v>2.5</v>
      </c>
      <c r="K35">
        <v>2.5</v>
      </c>
      <c r="L35">
        <v>0</v>
      </c>
      <c r="M35">
        <v>2.5</v>
      </c>
      <c r="N35">
        <v>0</v>
      </c>
    </row>
    <row r="36" spans="1:14" x14ac:dyDescent="0.2">
      <c r="A36" t="s">
        <v>61</v>
      </c>
      <c r="B36" t="s">
        <v>73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61</v>
      </c>
      <c r="B37" t="s">
        <v>76</v>
      </c>
      <c r="C37">
        <v>0</v>
      </c>
      <c r="D37">
        <v>0</v>
      </c>
      <c r="E37">
        <v>0</v>
      </c>
      <c r="F37">
        <v>0</v>
      </c>
      <c r="H37">
        <v>1</v>
      </c>
      <c r="I37">
        <v>2</v>
      </c>
      <c r="J37">
        <v>1.25</v>
      </c>
      <c r="K37">
        <v>1.25</v>
      </c>
      <c r="L37">
        <v>0</v>
      </c>
      <c r="M37">
        <v>1</v>
      </c>
      <c r="N37">
        <v>2</v>
      </c>
    </row>
    <row r="38" spans="1:14" x14ac:dyDescent="0.2">
      <c r="A38" t="s">
        <v>61</v>
      </c>
      <c r="B38" t="s">
        <v>77</v>
      </c>
      <c r="C38">
        <v>0</v>
      </c>
      <c r="D38">
        <v>0</v>
      </c>
      <c r="E38">
        <v>0</v>
      </c>
      <c r="F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</row>
    <row r="39" spans="1:14" x14ac:dyDescent="0.2">
      <c r="A39" t="s">
        <v>61</v>
      </c>
      <c r="B39" t="s">
        <v>73</v>
      </c>
      <c r="C39">
        <v>0</v>
      </c>
      <c r="D39">
        <v>0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61</v>
      </c>
      <c r="B40" t="s">
        <v>78</v>
      </c>
      <c r="C40">
        <v>0</v>
      </c>
      <c r="D40">
        <v>0</v>
      </c>
      <c r="E40">
        <v>0</v>
      </c>
      <c r="F40">
        <v>0</v>
      </c>
      <c r="G40" t="s">
        <v>71</v>
      </c>
      <c r="H40">
        <v>0</v>
      </c>
      <c r="I40">
        <v>2</v>
      </c>
      <c r="J40">
        <v>0.25</v>
      </c>
      <c r="K40">
        <v>0.25</v>
      </c>
      <c r="L40">
        <v>0</v>
      </c>
      <c r="M40">
        <v>0</v>
      </c>
      <c r="N40">
        <v>2</v>
      </c>
    </row>
    <row r="41" spans="1:14" x14ac:dyDescent="0.2">
      <c r="A41" t="s">
        <v>61</v>
      </c>
      <c r="B41" t="s">
        <v>79</v>
      </c>
      <c r="C41">
        <v>0</v>
      </c>
      <c r="D41">
        <v>0</v>
      </c>
      <c r="E41">
        <v>0</v>
      </c>
      <c r="F41">
        <v>0</v>
      </c>
      <c r="H41">
        <v>9</v>
      </c>
      <c r="I41">
        <v>0</v>
      </c>
      <c r="J41">
        <v>9</v>
      </c>
      <c r="K41">
        <v>9</v>
      </c>
      <c r="L41">
        <v>0</v>
      </c>
      <c r="M41">
        <v>9</v>
      </c>
      <c r="N41">
        <v>0</v>
      </c>
    </row>
    <row r="42" spans="1:14" x14ac:dyDescent="0.2">
      <c r="A42" t="s">
        <v>61</v>
      </c>
      <c r="B42" t="s">
        <v>80</v>
      </c>
      <c r="C42">
        <v>0</v>
      </c>
      <c r="D42">
        <v>0</v>
      </c>
      <c r="E42">
        <v>0</v>
      </c>
      <c r="F42">
        <v>0</v>
      </c>
      <c r="H42">
        <v>1.5</v>
      </c>
      <c r="I42">
        <v>0</v>
      </c>
      <c r="J42">
        <v>1.5</v>
      </c>
      <c r="K42">
        <v>1.5</v>
      </c>
      <c r="L42">
        <v>0</v>
      </c>
      <c r="M42">
        <v>1.5</v>
      </c>
      <c r="N42">
        <v>0</v>
      </c>
    </row>
    <row r="43" spans="1:14" x14ac:dyDescent="0.2">
      <c r="A43" t="s">
        <v>61</v>
      </c>
      <c r="B43" t="s">
        <v>81</v>
      </c>
      <c r="C43">
        <v>0</v>
      </c>
      <c r="D43">
        <v>0</v>
      </c>
      <c r="E43">
        <v>0</v>
      </c>
      <c r="F43">
        <v>0</v>
      </c>
      <c r="H43">
        <v>66</v>
      </c>
      <c r="I43">
        <v>0</v>
      </c>
      <c r="J43">
        <v>66</v>
      </c>
      <c r="K43">
        <v>66</v>
      </c>
      <c r="L43">
        <v>0</v>
      </c>
      <c r="M43">
        <v>66</v>
      </c>
      <c r="N43">
        <v>0</v>
      </c>
    </row>
    <row r="44" spans="1:14" x14ac:dyDescent="0.2">
      <c r="A44" t="s">
        <v>61</v>
      </c>
      <c r="B44" t="s">
        <v>82</v>
      </c>
      <c r="C44">
        <v>0</v>
      </c>
      <c r="D44">
        <v>0</v>
      </c>
      <c r="E44">
        <v>0</v>
      </c>
      <c r="F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83</v>
      </c>
      <c r="B45" t="s">
        <v>84</v>
      </c>
      <c r="C45">
        <v>0</v>
      </c>
      <c r="D45">
        <v>0</v>
      </c>
      <c r="E45">
        <v>0</v>
      </c>
      <c r="F45">
        <v>0</v>
      </c>
      <c r="G45" t="s">
        <v>85</v>
      </c>
      <c r="H45">
        <v>20</v>
      </c>
      <c r="I45">
        <v>0</v>
      </c>
      <c r="J45">
        <v>20</v>
      </c>
      <c r="K45">
        <v>20</v>
      </c>
      <c r="L45">
        <v>0</v>
      </c>
      <c r="M45">
        <v>20</v>
      </c>
      <c r="N45">
        <v>0</v>
      </c>
    </row>
    <row r="46" spans="1:14" x14ac:dyDescent="0.2">
      <c r="A46" t="s">
        <v>83</v>
      </c>
      <c r="B46" t="s">
        <v>86</v>
      </c>
      <c r="C46">
        <v>0</v>
      </c>
      <c r="D46">
        <v>0</v>
      </c>
      <c r="E46">
        <v>0</v>
      </c>
      <c r="F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87</v>
      </c>
      <c r="B47" t="s">
        <v>88</v>
      </c>
      <c r="C47">
        <v>0</v>
      </c>
      <c r="D47">
        <v>0</v>
      </c>
      <c r="E47">
        <v>0</v>
      </c>
      <c r="F47">
        <v>0</v>
      </c>
      <c r="H47">
        <v>1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</row>
    <row r="48" spans="1:14" x14ac:dyDescent="0.2">
      <c r="A48" t="s">
        <v>87</v>
      </c>
      <c r="B48" t="s">
        <v>89</v>
      </c>
      <c r="C48">
        <v>0</v>
      </c>
      <c r="D48">
        <v>0</v>
      </c>
      <c r="E48">
        <v>0</v>
      </c>
      <c r="F48">
        <v>0</v>
      </c>
      <c r="G48" t="s">
        <v>71</v>
      </c>
      <c r="H48">
        <v>97.5</v>
      </c>
      <c r="I48">
        <v>0</v>
      </c>
      <c r="J48">
        <v>97.5</v>
      </c>
      <c r="K48">
        <v>97.5</v>
      </c>
      <c r="L48">
        <v>0</v>
      </c>
      <c r="M48">
        <v>97.5</v>
      </c>
      <c r="N48">
        <v>0</v>
      </c>
    </row>
    <row r="49" spans="1:16" x14ac:dyDescent="0.2">
      <c r="A49" t="s">
        <v>87</v>
      </c>
      <c r="B49" t="s">
        <v>90</v>
      </c>
      <c r="C49">
        <v>0</v>
      </c>
      <c r="D49">
        <v>0</v>
      </c>
      <c r="E49">
        <v>0</v>
      </c>
      <c r="F49">
        <v>0</v>
      </c>
      <c r="H49">
        <v>8.5</v>
      </c>
      <c r="I49">
        <v>0</v>
      </c>
      <c r="J49">
        <v>8.5</v>
      </c>
      <c r="K49">
        <v>8.5</v>
      </c>
      <c r="L49">
        <v>0</v>
      </c>
      <c r="M49">
        <v>8.5</v>
      </c>
      <c r="N49">
        <v>0</v>
      </c>
    </row>
    <row r="50" spans="1:16" x14ac:dyDescent="0.2">
      <c r="A50" t="s">
        <v>87</v>
      </c>
      <c r="B50" t="s">
        <v>91</v>
      </c>
      <c r="C50">
        <v>0</v>
      </c>
      <c r="D50">
        <v>0</v>
      </c>
      <c r="E50">
        <v>0</v>
      </c>
      <c r="F50">
        <v>0</v>
      </c>
      <c r="H50">
        <v>106</v>
      </c>
      <c r="I50">
        <v>0</v>
      </c>
      <c r="J50">
        <v>106</v>
      </c>
      <c r="K50">
        <v>106</v>
      </c>
      <c r="L50">
        <v>0</v>
      </c>
      <c r="M50">
        <v>106</v>
      </c>
      <c r="N50">
        <v>0</v>
      </c>
    </row>
    <row r="51" spans="1:16" x14ac:dyDescent="0.2">
      <c r="A51" t="s">
        <v>87</v>
      </c>
      <c r="B51" t="s">
        <v>92</v>
      </c>
      <c r="C51">
        <v>0</v>
      </c>
      <c r="D51">
        <v>0</v>
      </c>
      <c r="E51">
        <v>0</v>
      </c>
      <c r="F51">
        <v>0</v>
      </c>
      <c r="H51">
        <v>28.5</v>
      </c>
      <c r="I51">
        <v>0</v>
      </c>
      <c r="J51">
        <v>28.5</v>
      </c>
      <c r="K51">
        <v>28.5</v>
      </c>
      <c r="L51">
        <v>0</v>
      </c>
      <c r="M51">
        <v>28.5</v>
      </c>
      <c r="N51">
        <v>0</v>
      </c>
    </row>
    <row r="52" spans="1:16" x14ac:dyDescent="0.2">
      <c r="A52" t="s">
        <v>87</v>
      </c>
      <c r="B52" t="s">
        <v>93</v>
      </c>
      <c r="C52">
        <v>0</v>
      </c>
      <c r="D52">
        <v>0</v>
      </c>
      <c r="E52">
        <v>0</v>
      </c>
      <c r="F52">
        <v>0</v>
      </c>
      <c r="H52">
        <v>1</v>
      </c>
      <c r="I52">
        <v>0</v>
      </c>
      <c r="J52">
        <v>1</v>
      </c>
      <c r="K52">
        <v>1</v>
      </c>
      <c r="L52">
        <v>0</v>
      </c>
      <c r="M52">
        <v>1</v>
      </c>
      <c r="N52">
        <v>0</v>
      </c>
    </row>
    <row r="53" spans="1:16" x14ac:dyDescent="0.2">
      <c r="A53" t="s">
        <v>87</v>
      </c>
      <c r="B53" t="s">
        <v>94</v>
      </c>
      <c r="C53">
        <v>0</v>
      </c>
      <c r="D53">
        <v>0</v>
      </c>
      <c r="E53">
        <v>0</v>
      </c>
      <c r="F53">
        <v>0</v>
      </c>
      <c r="G53" t="s">
        <v>95</v>
      </c>
      <c r="H53">
        <v>2</v>
      </c>
      <c r="I53">
        <v>0</v>
      </c>
      <c r="J53">
        <v>2</v>
      </c>
      <c r="K53">
        <v>24</v>
      </c>
      <c r="L53">
        <v>-22</v>
      </c>
      <c r="M53">
        <v>24</v>
      </c>
      <c r="N53">
        <v>0</v>
      </c>
      <c r="O53">
        <v>2</v>
      </c>
      <c r="P53">
        <v>0</v>
      </c>
    </row>
    <row r="54" spans="1:16" x14ac:dyDescent="0.2">
      <c r="A54" t="s">
        <v>87</v>
      </c>
      <c r="B54" t="s">
        <v>96</v>
      </c>
      <c r="C54">
        <v>0</v>
      </c>
      <c r="D54">
        <v>0</v>
      </c>
      <c r="E54">
        <v>0</v>
      </c>
      <c r="F54">
        <v>0</v>
      </c>
      <c r="H54">
        <v>2.5</v>
      </c>
      <c r="I54">
        <v>0</v>
      </c>
      <c r="J54">
        <v>2.5</v>
      </c>
      <c r="K54">
        <v>2.5</v>
      </c>
      <c r="L54">
        <v>0</v>
      </c>
      <c r="M54">
        <v>2.5</v>
      </c>
      <c r="N54">
        <v>0</v>
      </c>
    </row>
    <row r="55" spans="1:16" x14ac:dyDescent="0.2">
      <c r="A55" t="s">
        <v>87</v>
      </c>
      <c r="B55" t="s">
        <v>73</v>
      </c>
      <c r="C55">
        <v>0</v>
      </c>
      <c r="D55">
        <v>0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6" x14ac:dyDescent="0.2">
      <c r="A56" t="s">
        <v>87</v>
      </c>
      <c r="B56" t="s">
        <v>97</v>
      </c>
      <c r="C56">
        <v>0</v>
      </c>
      <c r="D56">
        <v>0</v>
      </c>
      <c r="E56">
        <v>0</v>
      </c>
      <c r="F56">
        <v>0</v>
      </c>
      <c r="G56" t="s">
        <v>64</v>
      </c>
      <c r="H56">
        <v>0</v>
      </c>
      <c r="I56">
        <v>2</v>
      </c>
      <c r="J56">
        <v>0.25</v>
      </c>
      <c r="K56">
        <v>0.25</v>
      </c>
      <c r="L56">
        <v>0</v>
      </c>
      <c r="M56">
        <v>0</v>
      </c>
      <c r="N56">
        <v>2</v>
      </c>
      <c r="O56">
        <v>0</v>
      </c>
      <c r="P56">
        <v>2</v>
      </c>
    </row>
    <row r="57" spans="1:16" x14ac:dyDescent="0.2">
      <c r="A57" t="s">
        <v>87</v>
      </c>
      <c r="B57" t="s">
        <v>73</v>
      </c>
      <c r="C57">
        <v>0</v>
      </c>
      <c r="D57">
        <v>0</v>
      </c>
      <c r="E57">
        <v>0</v>
      </c>
      <c r="F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6" x14ac:dyDescent="0.2">
      <c r="A58" t="s">
        <v>87</v>
      </c>
      <c r="B58" t="s">
        <v>98</v>
      </c>
      <c r="C58">
        <v>0</v>
      </c>
      <c r="D58">
        <v>0</v>
      </c>
      <c r="E58">
        <v>0</v>
      </c>
      <c r="F58">
        <v>0</v>
      </c>
      <c r="H58">
        <v>2</v>
      </c>
      <c r="I58">
        <v>0</v>
      </c>
      <c r="J58">
        <v>2</v>
      </c>
      <c r="K58">
        <v>2</v>
      </c>
      <c r="L58">
        <v>0</v>
      </c>
      <c r="M58">
        <v>2</v>
      </c>
      <c r="N58">
        <v>0</v>
      </c>
    </row>
    <row r="59" spans="1:16" x14ac:dyDescent="0.2">
      <c r="A59" t="s">
        <v>87</v>
      </c>
      <c r="B59" t="s">
        <v>99</v>
      </c>
      <c r="C59">
        <v>0</v>
      </c>
      <c r="D59">
        <v>0</v>
      </c>
      <c r="E59">
        <v>0</v>
      </c>
      <c r="F59">
        <v>0</v>
      </c>
      <c r="H59">
        <v>2.5</v>
      </c>
      <c r="I59">
        <v>0</v>
      </c>
      <c r="J59">
        <v>2.5</v>
      </c>
      <c r="K59">
        <v>2.5</v>
      </c>
      <c r="L59">
        <v>0</v>
      </c>
      <c r="M59">
        <v>2.5</v>
      </c>
      <c r="N59">
        <v>0</v>
      </c>
    </row>
    <row r="60" spans="1:16" x14ac:dyDescent="0.2">
      <c r="A60" t="s">
        <v>87</v>
      </c>
      <c r="B60" t="s">
        <v>100</v>
      </c>
      <c r="C60">
        <v>0</v>
      </c>
      <c r="D60">
        <v>0</v>
      </c>
      <c r="E60">
        <v>0</v>
      </c>
      <c r="F60">
        <v>0</v>
      </c>
      <c r="G60" t="s">
        <v>64</v>
      </c>
      <c r="H60">
        <v>1</v>
      </c>
      <c r="I60">
        <v>5</v>
      </c>
      <c r="J60">
        <v>1.625</v>
      </c>
      <c r="K60">
        <v>1.625</v>
      </c>
      <c r="L60">
        <v>0</v>
      </c>
      <c r="M60">
        <v>1</v>
      </c>
      <c r="N60">
        <v>5</v>
      </c>
      <c r="O60">
        <v>1</v>
      </c>
      <c r="P60">
        <v>0</v>
      </c>
    </row>
    <row r="61" spans="1:16" x14ac:dyDescent="0.2">
      <c r="A61" t="s">
        <v>87</v>
      </c>
      <c r="B61" t="s">
        <v>101</v>
      </c>
      <c r="C61">
        <v>0</v>
      </c>
      <c r="D61">
        <v>0</v>
      </c>
      <c r="E61">
        <v>0</v>
      </c>
      <c r="F61">
        <v>0</v>
      </c>
      <c r="G61" t="s">
        <v>102</v>
      </c>
      <c r="H61">
        <v>1</v>
      </c>
      <c r="I61">
        <v>5</v>
      </c>
      <c r="J61">
        <v>1.625</v>
      </c>
      <c r="K61">
        <v>1.625</v>
      </c>
      <c r="L61">
        <v>0</v>
      </c>
      <c r="M61">
        <v>1</v>
      </c>
      <c r="N61">
        <v>5</v>
      </c>
    </row>
    <row r="62" spans="1:16" x14ac:dyDescent="0.2">
      <c r="A62" t="s">
        <v>87</v>
      </c>
      <c r="B62" t="s">
        <v>103</v>
      </c>
      <c r="C62">
        <v>0</v>
      </c>
      <c r="D62">
        <v>0</v>
      </c>
      <c r="E62">
        <v>0</v>
      </c>
      <c r="F62">
        <v>0</v>
      </c>
      <c r="H62">
        <v>8.5</v>
      </c>
      <c r="I62">
        <v>0</v>
      </c>
      <c r="J62">
        <v>8.5</v>
      </c>
      <c r="K62">
        <v>8.5</v>
      </c>
      <c r="L62">
        <v>0</v>
      </c>
      <c r="M62">
        <v>8.5</v>
      </c>
      <c r="N62">
        <v>0</v>
      </c>
    </row>
    <row r="63" spans="1:16" x14ac:dyDescent="0.2">
      <c r="A63" t="s">
        <v>87</v>
      </c>
      <c r="B63" t="s">
        <v>104</v>
      </c>
      <c r="C63">
        <v>0</v>
      </c>
      <c r="D63">
        <v>0</v>
      </c>
      <c r="E63">
        <v>0</v>
      </c>
      <c r="F63">
        <v>0</v>
      </c>
      <c r="H63">
        <v>34.5</v>
      </c>
      <c r="I63">
        <v>0</v>
      </c>
      <c r="J63">
        <v>34.5</v>
      </c>
      <c r="K63">
        <v>34.5</v>
      </c>
      <c r="L63">
        <v>0</v>
      </c>
      <c r="M63">
        <v>34.5</v>
      </c>
      <c r="N63">
        <v>0</v>
      </c>
    </row>
    <row r="64" spans="1:16" x14ac:dyDescent="0.2">
      <c r="A64" t="s">
        <v>87</v>
      </c>
      <c r="B64" t="s">
        <v>82</v>
      </c>
      <c r="C64">
        <v>0</v>
      </c>
      <c r="D64">
        <v>0</v>
      </c>
      <c r="E64">
        <v>0</v>
      </c>
      <c r="F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105</v>
      </c>
      <c r="B65" t="s">
        <v>106</v>
      </c>
      <c r="C65">
        <v>0</v>
      </c>
      <c r="D65">
        <v>0</v>
      </c>
      <c r="E65">
        <v>0</v>
      </c>
      <c r="F65">
        <v>0</v>
      </c>
      <c r="H65">
        <v>6</v>
      </c>
      <c r="I65">
        <v>0</v>
      </c>
      <c r="J65">
        <v>6</v>
      </c>
      <c r="K65">
        <v>6</v>
      </c>
      <c r="L65">
        <v>0</v>
      </c>
      <c r="M65">
        <v>6</v>
      </c>
      <c r="N65">
        <v>0</v>
      </c>
    </row>
    <row r="66" spans="1:14" x14ac:dyDescent="0.2">
      <c r="A66" t="s">
        <v>105</v>
      </c>
      <c r="B66" t="s">
        <v>107</v>
      </c>
      <c r="C66">
        <v>0</v>
      </c>
      <c r="D66">
        <v>0</v>
      </c>
      <c r="E66">
        <v>0</v>
      </c>
      <c r="F66">
        <v>0</v>
      </c>
      <c r="G66" t="s">
        <v>108</v>
      </c>
      <c r="H66">
        <v>98</v>
      </c>
      <c r="I66">
        <v>0</v>
      </c>
      <c r="J66">
        <v>98</v>
      </c>
      <c r="K66">
        <v>98</v>
      </c>
      <c r="L66">
        <v>0</v>
      </c>
      <c r="M66">
        <v>98</v>
      </c>
      <c r="N66">
        <v>0</v>
      </c>
    </row>
    <row r="67" spans="1:14" x14ac:dyDescent="0.2">
      <c r="A67" t="s">
        <v>105</v>
      </c>
      <c r="B67" t="s">
        <v>109</v>
      </c>
      <c r="C67">
        <v>0</v>
      </c>
      <c r="D67">
        <v>0</v>
      </c>
      <c r="E67">
        <v>0</v>
      </c>
      <c r="F67">
        <v>0</v>
      </c>
      <c r="H67">
        <v>8</v>
      </c>
      <c r="I67">
        <v>0</v>
      </c>
      <c r="J67">
        <v>8</v>
      </c>
      <c r="K67">
        <v>8</v>
      </c>
      <c r="L67">
        <v>0</v>
      </c>
      <c r="M67">
        <v>8</v>
      </c>
      <c r="N67">
        <v>0</v>
      </c>
    </row>
    <row r="68" spans="1:14" x14ac:dyDescent="0.2">
      <c r="A68" t="s">
        <v>105</v>
      </c>
      <c r="B68" t="s">
        <v>110</v>
      </c>
      <c r="C68">
        <v>0</v>
      </c>
      <c r="D68">
        <v>0</v>
      </c>
      <c r="E68">
        <v>0</v>
      </c>
      <c r="F68">
        <v>0</v>
      </c>
      <c r="H68">
        <v>30</v>
      </c>
      <c r="I68">
        <v>0</v>
      </c>
      <c r="J68">
        <v>30</v>
      </c>
      <c r="K68">
        <v>30</v>
      </c>
      <c r="L68">
        <v>0</v>
      </c>
      <c r="M68">
        <v>30</v>
      </c>
      <c r="N68">
        <v>0</v>
      </c>
    </row>
    <row r="69" spans="1:14" x14ac:dyDescent="0.2">
      <c r="A69" t="s">
        <v>105</v>
      </c>
      <c r="B69" t="s">
        <v>111</v>
      </c>
      <c r="C69">
        <v>0</v>
      </c>
      <c r="D69">
        <v>0</v>
      </c>
      <c r="E69">
        <v>0</v>
      </c>
      <c r="F69">
        <v>0</v>
      </c>
      <c r="H69">
        <v>136</v>
      </c>
      <c r="I69">
        <v>0</v>
      </c>
      <c r="J69">
        <v>136</v>
      </c>
      <c r="K69">
        <v>136</v>
      </c>
      <c r="L69">
        <v>0</v>
      </c>
      <c r="M69">
        <v>136</v>
      </c>
      <c r="N69">
        <v>0</v>
      </c>
    </row>
    <row r="70" spans="1:14" x14ac:dyDescent="0.2">
      <c r="A70" t="s">
        <v>105</v>
      </c>
      <c r="B70" t="s">
        <v>112</v>
      </c>
      <c r="C70">
        <v>0</v>
      </c>
      <c r="D70">
        <v>0</v>
      </c>
      <c r="E70">
        <v>0</v>
      </c>
      <c r="F70">
        <v>0</v>
      </c>
      <c r="H70">
        <v>65</v>
      </c>
      <c r="I70">
        <v>2</v>
      </c>
      <c r="J70">
        <v>65.25</v>
      </c>
      <c r="K70">
        <v>65.25</v>
      </c>
      <c r="L70">
        <v>0</v>
      </c>
      <c r="M70">
        <v>65</v>
      </c>
      <c r="N70">
        <v>2</v>
      </c>
    </row>
    <row r="71" spans="1:14" x14ac:dyDescent="0.2">
      <c r="A71" t="s">
        <v>105</v>
      </c>
      <c r="B71" t="s">
        <v>113</v>
      </c>
      <c r="C71">
        <v>0</v>
      </c>
      <c r="D71">
        <v>0</v>
      </c>
      <c r="E71">
        <v>0</v>
      </c>
      <c r="F71">
        <v>0</v>
      </c>
      <c r="H71">
        <v>0</v>
      </c>
      <c r="I71">
        <v>6</v>
      </c>
      <c r="J71">
        <v>0.75</v>
      </c>
      <c r="K71">
        <v>0.75</v>
      </c>
      <c r="L71">
        <v>0</v>
      </c>
      <c r="M71">
        <v>0</v>
      </c>
      <c r="N71">
        <v>6</v>
      </c>
    </row>
    <row r="72" spans="1:14" x14ac:dyDescent="0.2">
      <c r="A72" t="s">
        <v>105</v>
      </c>
      <c r="B72" t="s">
        <v>73</v>
      </c>
      <c r="C72">
        <v>0</v>
      </c>
      <c r="D72">
        <v>0</v>
      </c>
      <c r="E72">
        <v>0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105</v>
      </c>
      <c r="B73" t="s">
        <v>114</v>
      </c>
      <c r="C73">
        <v>0</v>
      </c>
      <c r="D73">
        <v>0</v>
      </c>
      <c r="E73">
        <v>0</v>
      </c>
      <c r="F73">
        <v>0</v>
      </c>
      <c r="H73">
        <v>6.5</v>
      </c>
      <c r="I73">
        <v>0</v>
      </c>
      <c r="J73">
        <v>6.5</v>
      </c>
      <c r="K73">
        <v>6.5</v>
      </c>
      <c r="L73">
        <v>0</v>
      </c>
      <c r="M73">
        <v>6.5</v>
      </c>
      <c r="N73">
        <v>0</v>
      </c>
    </row>
    <row r="74" spans="1:14" x14ac:dyDescent="0.2">
      <c r="A74" t="s">
        <v>105</v>
      </c>
      <c r="B74" t="s">
        <v>73</v>
      </c>
      <c r="C74">
        <v>0</v>
      </c>
      <c r="D74">
        <v>0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105</v>
      </c>
      <c r="B75" t="s">
        <v>115</v>
      </c>
      <c r="C75">
        <v>0</v>
      </c>
      <c r="D75">
        <v>0</v>
      </c>
      <c r="E75">
        <v>0</v>
      </c>
      <c r="F75">
        <v>0</v>
      </c>
      <c r="H75">
        <v>1.5</v>
      </c>
      <c r="I75">
        <v>0</v>
      </c>
      <c r="J75">
        <v>1.5</v>
      </c>
      <c r="K75">
        <v>1.5</v>
      </c>
      <c r="L75">
        <v>0</v>
      </c>
      <c r="M75">
        <v>1.5</v>
      </c>
      <c r="N75">
        <v>0</v>
      </c>
    </row>
    <row r="76" spans="1:14" x14ac:dyDescent="0.2">
      <c r="A76" t="s">
        <v>105</v>
      </c>
      <c r="B76" t="s">
        <v>73</v>
      </c>
      <c r="C76">
        <v>0</v>
      </c>
      <c r="D76">
        <v>0</v>
      </c>
      <c r="E76">
        <v>0</v>
      </c>
      <c r="F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105</v>
      </c>
      <c r="B77" t="s">
        <v>116</v>
      </c>
      <c r="C77">
        <v>0</v>
      </c>
      <c r="D77">
        <v>0</v>
      </c>
      <c r="E77">
        <v>0</v>
      </c>
      <c r="F77">
        <v>0</v>
      </c>
      <c r="H77">
        <v>1.5</v>
      </c>
      <c r="I77">
        <v>0</v>
      </c>
      <c r="J77">
        <v>1.5</v>
      </c>
      <c r="K77">
        <v>1.5</v>
      </c>
      <c r="L77">
        <v>0</v>
      </c>
      <c r="M77">
        <v>1.5</v>
      </c>
      <c r="N77">
        <v>0</v>
      </c>
    </row>
    <row r="78" spans="1:14" x14ac:dyDescent="0.2">
      <c r="A78" t="s">
        <v>105</v>
      </c>
      <c r="B78" t="s">
        <v>117</v>
      </c>
      <c r="C78">
        <v>0</v>
      </c>
      <c r="D78">
        <v>0</v>
      </c>
      <c r="E78">
        <v>0</v>
      </c>
      <c r="F78">
        <v>0</v>
      </c>
      <c r="H78">
        <v>8</v>
      </c>
      <c r="I78">
        <v>0</v>
      </c>
      <c r="J78">
        <v>8</v>
      </c>
      <c r="K78">
        <v>8</v>
      </c>
      <c r="L78">
        <v>0</v>
      </c>
      <c r="M78">
        <v>8</v>
      </c>
      <c r="N78">
        <v>0</v>
      </c>
    </row>
    <row r="79" spans="1:14" x14ac:dyDescent="0.2">
      <c r="A79" t="s">
        <v>105</v>
      </c>
      <c r="B79" t="s">
        <v>73</v>
      </c>
      <c r="C79">
        <v>0</v>
      </c>
      <c r="D79">
        <v>0</v>
      </c>
      <c r="E79">
        <v>0</v>
      </c>
      <c r="F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105</v>
      </c>
      <c r="B80" t="s">
        <v>118</v>
      </c>
      <c r="C80">
        <v>0</v>
      </c>
      <c r="D80">
        <v>0</v>
      </c>
      <c r="E80">
        <v>0</v>
      </c>
      <c r="F80">
        <v>0</v>
      </c>
      <c r="H80">
        <v>1</v>
      </c>
      <c r="I80">
        <v>0</v>
      </c>
      <c r="J80">
        <v>1</v>
      </c>
      <c r="K80">
        <v>1</v>
      </c>
      <c r="L80">
        <v>0</v>
      </c>
      <c r="M80">
        <v>1</v>
      </c>
      <c r="N80">
        <v>0</v>
      </c>
    </row>
    <row r="81" spans="1:18" x14ac:dyDescent="0.2">
      <c r="A81" t="s">
        <v>105</v>
      </c>
      <c r="B81" t="s">
        <v>73</v>
      </c>
      <c r="C81">
        <v>0</v>
      </c>
      <c r="D81">
        <v>0</v>
      </c>
      <c r="E81">
        <v>0</v>
      </c>
      <c r="F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8" x14ac:dyDescent="0.2">
      <c r="A82" t="s">
        <v>105</v>
      </c>
      <c r="B82" t="s">
        <v>119</v>
      </c>
      <c r="C82">
        <v>0</v>
      </c>
      <c r="D82">
        <v>0</v>
      </c>
      <c r="E82">
        <v>0</v>
      </c>
      <c r="F82">
        <v>0</v>
      </c>
      <c r="H82">
        <v>0</v>
      </c>
      <c r="I82">
        <v>6</v>
      </c>
      <c r="J82">
        <v>0.75</v>
      </c>
      <c r="K82">
        <v>0.75</v>
      </c>
      <c r="L82">
        <v>0</v>
      </c>
      <c r="M82">
        <v>0</v>
      </c>
      <c r="N82">
        <v>6</v>
      </c>
    </row>
    <row r="83" spans="1:18" x14ac:dyDescent="0.2">
      <c r="A83" t="s">
        <v>105</v>
      </c>
      <c r="B83" t="s">
        <v>120</v>
      </c>
      <c r="C83">
        <v>0</v>
      </c>
      <c r="D83">
        <v>0</v>
      </c>
      <c r="E83">
        <v>0</v>
      </c>
      <c r="F83">
        <v>0</v>
      </c>
      <c r="H83">
        <v>51</v>
      </c>
      <c r="I83">
        <v>0.5</v>
      </c>
      <c r="J83">
        <v>51.0625</v>
      </c>
      <c r="K83">
        <v>0.4375</v>
      </c>
      <c r="L83">
        <v>50.625</v>
      </c>
      <c r="M83">
        <v>0</v>
      </c>
      <c r="N83">
        <v>3.5</v>
      </c>
      <c r="O83">
        <v>51</v>
      </c>
      <c r="P83">
        <v>0.5</v>
      </c>
    </row>
    <row r="84" spans="1:18" x14ac:dyDescent="0.2">
      <c r="A84" t="s">
        <v>121</v>
      </c>
      <c r="B84" t="s">
        <v>122</v>
      </c>
      <c r="C84">
        <v>0</v>
      </c>
      <c r="D84">
        <v>0</v>
      </c>
      <c r="E84">
        <v>0</v>
      </c>
      <c r="F84">
        <v>0</v>
      </c>
      <c r="H84">
        <v>1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</row>
    <row r="85" spans="1:18" x14ac:dyDescent="0.2">
      <c r="A85" t="s">
        <v>121</v>
      </c>
      <c r="B85" t="s">
        <v>123</v>
      </c>
      <c r="C85">
        <v>0</v>
      </c>
      <c r="D85">
        <v>0</v>
      </c>
      <c r="E85">
        <v>0</v>
      </c>
      <c r="F85">
        <v>0</v>
      </c>
      <c r="G85" t="s">
        <v>95</v>
      </c>
      <c r="H85">
        <v>22</v>
      </c>
      <c r="I85">
        <v>0</v>
      </c>
      <c r="J85">
        <v>22</v>
      </c>
      <c r="K85">
        <v>22</v>
      </c>
      <c r="L85">
        <v>0</v>
      </c>
      <c r="M85">
        <v>22</v>
      </c>
      <c r="N85">
        <v>0</v>
      </c>
    </row>
    <row r="86" spans="1:18" x14ac:dyDescent="0.2">
      <c r="A86" t="s">
        <v>121</v>
      </c>
      <c r="B86" t="s">
        <v>124</v>
      </c>
      <c r="C86">
        <v>0</v>
      </c>
      <c r="D86">
        <v>0</v>
      </c>
      <c r="E86">
        <v>0</v>
      </c>
      <c r="F86">
        <v>0</v>
      </c>
      <c r="H86">
        <v>1.5</v>
      </c>
      <c r="I86">
        <v>0</v>
      </c>
      <c r="J86">
        <v>1.5</v>
      </c>
      <c r="K86">
        <v>1.5</v>
      </c>
      <c r="L86">
        <v>0</v>
      </c>
      <c r="M86">
        <v>1.5</v>
      </c>
      <c r="N86">
        <v>0</v>
      </c>
    </row>
    <row r="87" spans="1:18" x14ac:dyDescent="0.2">
      <c r="A87" t="s">
        <v>121</v>
      </c>
      <c r="B87" t="s">
        <v>125</v>
      </c>
      <c r="C87">
        <v>0</v>
      </c>
      <c r="D87">
        <v>0</v>
      </c>
      <c r="E87">
        <v>0</v>
      </c>
      <c r="F87">
        <v>0</v>
      </c>
      <c r="H87">
        <v>23.5</v>
      </c>
      <c r="I87">
        <v>0</v>
      </c>
      <c r="J87">
        <v>23.5</v>
      </c>
      <c r="K87">
        <v>23.5</v>
      </c>
      <c r="L87">
        <v>0</v>
      </c>
      <c r="M87">
        <v>23.5</v>
      </c>
      <c r="N87">
        <v>0</v>
      </c>
    </row>
    <row r="88" spans="1:18" x14ac:dyDescent="0.2">
      <c r="A88" t="s">
        <v>121</v>
      </c>
      <c r="B88" t="s">
        <v>126</v>
      </c>
      <c r="C88">
        <v>0</v>
      </c>
      <c r="D88">
        <v>0</v>
      </c>
      <c r="E88">
        <v>0</v>
      </c>
      <c r="F88">
        <v>0</v>
      </c>
      <c r="H88">
        <v>3</v>
      </c>
      <c r="I88">
        <v>2</v>
      </c>
      <c r="J88">
        <v>3.25</v>
      </c>
      <c r="K88">
        <v>3.25</v>
      </c>
      <c r="L88">
        <v>0</v>
      </c>
      <c r="M88">
        <v>3</v>
      </c>
      <c r="N88">
        <v>2</v>
      </c>
    </row>
    <row r="89" spans="1:18" x14ac:dyDescent="0.2">
      <c r="A89" t="s">
        <v>121</v>
      </c>
      <c r="B89" t="s">
        <v>127</v>
      </c>
      <c r="C89">
        <v>0</v>
      </c>
      <c r="D89">
        <v>0</v>
      </c>
      <c r="E89">
        <v>0</v>
      </c>
      <c r="F89">
        <v>0</v>
      </c>
      <c r="H89">
        <v>0</v>
      </c>
      <c r="I89">
        <v>2</v>
      </c>
      <c r="J89">
        <v>0.25</v>
      </c>
      <c r="K89">
        <v>0.25</v>
      </c>
      <c r="L89">
        <v>0</v>
      </c>
      <c r="M89">
        <v>0</v>
      </c>
      <c r="N89">
        <v>2</v>
      </c>
    </row>
    <row r="90" spans="1:18" x14ac:dyDescent="0.2">
      <c r="A90" t="s">
        <v>121</v>
      </c>
      <c r="B90" t="s">
        <v>128</v>
      </c>
      <c r="C90">
        <v>0</v>
      </c>
      <c r="D90">
        <v>0</v>
      </c>
      <c r="E90">
        <v>0</v>
      </c>
      <c r="F90">
        <v>0</v>
      </c>
      <c r="H90">
        <v>1.5</v>
      </c>
      <c r="I90">
        <v>0</v>
      </c>
      <c r="J90">
        <v>1.5</v>
      </c>
      <c r="K90">
        <v>1.5</v>
      </c>
      <c r="L90">
        <v>0</v>
      </c>
      <c r="M90">
        <v>1.5</v>
      </c>
      <c r="N90">
        <v>0</v>
      </c>
    </row>
    <row r="91" spans="1:18" x14ac:dyDescent="0.2">
      <c r="A91" t="s">
        <v>121</v>
      </c>
      <c r="B91" t="s">
        <v>129</v>
      </c>
      <c r="C91">
        <v>0</v>
      </c>
      <c r="D91">
        <v>0</v>
      </c>
      <c r="E91">
        <v>0</v>
      </c>
      <c r="F91">
        <v>0</v>
      </c>
      <c r="G91" t="s">
        <v>71</v>
      </c>
      <c r="H91">
        <v>2</v>
      </c>
      <c r="I91">
        <v>0</v>
      </c>
      <c r="J91">
        <v>2</v>
      </c>
      <c r="K91">
        <v>2</v>
      </c>
      <c r="L91">
        <v>0</v>
      </c>
      <c r="M91">
        <v>2</v>
      </c>
      <c r="N91">
        <v>0</v>
      </c>
    </row>
    <row r="92" spans="1:18" x14ac:dyDescent="0.2">
      <c r="A92" t="s">
        <v>121</v>
      </c>
      <c r="B92" t="s">
        <v>73</v>
      </c>
      <c r="C92">
        <v>0</v>
      </c>
      <c r="D92">
        <v>0</v>
      </c>
      <c r="E92">
        <v>0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8" x14ac:dyDescent="0.2">
      <c r="A93" t="s">
        <v>121</v>
      </c>
      <c r="B93" t="s">
        <v>130</v>
      </c>
      <c r="C93">
        <v>0</v>
      </c>
      <c r="D93">
        <v>0</v>
      </c>
      <c r="E93">
        <v>0</v>
      </c>
      <c r="F93">
        <v>0</v>
      </c>
      <c r="H93">
        <v>0.5</v>
      </c>
      <c r="I93">
        <v>0</v>
      </c>
      <c r="J93">
        <v>0.5</v>
      </c>
      <c r="K93">
        <v>0.5</v>
      </c>
      <c r="L93">
        <v>0</v>
      </c>
      <c r="M93">
        <v>0.5</v>
      </c>
      <c r="N93">
        <v>0</v>
      </c>
    </row>
    <row r="94" spans="1:18" x14ac:dyDescent="0.2">
      <c r="A94" t="s">
        <v>121</v>
      </c>
      <c r="B94" t="s">
        <v>131</v>
      </c>
      <c r="C94">
        <v>0</v>
      </c>
      <c r="D94">
        <v>0</v>
      </c>
      <c r="E94">
        <v>0</v>
      </c>
      <c r="F94">
        <v>0</v>
      </c>
      <c r="H94">
        <v>22</v>
      </c>
      <c r="I94">
        <v>2</v>
      </c>
      <c r="J94">
        <v>22.25</v>
      </c>
      <c r="K94">
        <v>12.25</v>
      </c>
      <c r="L94">
        <v>10</v>
      </c>
      <c r="M94">
        <v>12</v>
      </c>
      <c r="N94">
        <v>2</v>
      </c>
      <c r="O94">
        <v>18</v>
      </c>
      <c r="P94">
        <v>0</v>
      </c>
      <c r="Q94">
        <v>4</v>
      </c>
      <c r="R94">
        <v>0</v>
      </c>
    </row>
    <row r="95" spans="1:18" x14ac:dyDescent="0.2">
      <c r="A95" t="s">
        <v>132</v>
      </c>
      <c r="B95" t="s">
        <v>133</v>
      </c>
      <c r="C95">
        <v>0</v>
      </c>
      <c r="D95">
        <v>0</v>
      </c>
      <c r="E95">
        <v>0</v>
      </c>
      <c r="F95">
        <v>0</v>
      </c>
      <c r="H95">
        <v>0</v>
      </c>
      <c r="I95">
        <v>5</v>
      </c>
      <c r="J95">
        <v>0.625</v>
      </c>
      <c r="K95">
        <v>0.625</v>
      </c>
      <c r="L95">
        <v>0</v>
      </c>
      <c r="M95">
        <v>0</v>
      </c>
      <c r="N95">
        <v>5</v>
      </c>
    </row>
    <row r="96" spans="1:18" x14ac:dyDescent="0.2">
      <c r="A96" t="s">
        <v>132</v>
      </c>
      <c r="B96" t="s">
        <v>134</v>
      </c>
      <c r="C96">
        <v>0</v>
      </c>
      <c r="D96">
        <v>0</v>
      </c>
      <c r="E96">
        <v>0</v>
      </c>
      <c r="F96">
        <v>0</v>
      </c>
      <c r="G96" t="s">
        <v>135</v>
      </c>
      <c r="H96">
        <v>14</v>
      </c>
      <c r="I96">
        <v>0</v>
      </c>
      <c r="J96">
        <v>14</v>
      </c>
      <c r="K96">
        <v>14</v>
      </c>
      <c r="L96">
        <v>0</v>
      </c>
      <c r="M96">
        <v>14</v>
      </c>
      <c r="N96">
        <v>0</v>
      </c>
    </row>
    <row r="97" spans="1:14" x14ac:dyDescent="0.2">
      <c r="A97" t="s">
        <v>132</v>
      </c>
      <c r="B97" t="s">
        <v>136</v>
      </c>
      <c r="C97">
        <v>0</v>
      </c>
      <c r="D97">
        <v>0</v>
      </c>
      <c r="E97">
        <v>0</v>
      </c>
      <c r="F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137</v>
      </c>
      <c r="B98" t="s">
        <v>138</v>
      </c>
      <c r="C98">
        <v>0</v>
      </c>
      <c r="D98">
        <v>0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137</v>
      </c>
      <c r="B99" t="s">
        <v>139</v>
      </c>
      <c r="C99">
        <v>0</v>
      </c>
      <c r="D99">
        <v>0</v>
      </c>
      <c r="E99">
        <v>0</v>
      </c>
      <c r="F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137</v>
      </c>
      <c r="B100" t="s">
        <v>140</v>
      </c>
      <c r="C100">
        <v>0</v>
      </c>
      <c r="D100">
        <v>0</v>
      </c>
      <c r="E100">
        <v>0</v>
      </c>
      <c r="F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141</v>
      </c>
      <c r="B101" t="s">
        <v>142</v>
      </c>
      <c r="C101">
        <v>0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141</v>
      </c>
      <c r="B102" t="s">
        <v>143</v>
      </c>
      <c r="C102">
        <v>0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141</v>
      </c>
      <c r="B103" t="s">
        <v>144</v>
      </c>
      <c r="C103">
        <v>0</v>
      </c>
      <c r="D103">
        <v>0</v>
      </c>
      <c r="E103">
        <v>0</v>
      </c>
      <c r="F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141</v>
      </c>
      <c r="B104" t="s">
        <v>145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141</v>
      </c>
      <c r="B105" t="s">
        <v>146</v>
      </c>
      <c r="C105">
        <v>0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141</v>
      </c>
      <c r="B106" t="s">
        <v>147</v>
      </c>
      <c r="C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10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171</v>
      </c>
      <c r="AD1" s="1" t="s">
        <v>172</v>
      </c>
      <c r="AE1" s="1" t="s">
        <v>14</v>
      </c>
      <c r="AF1" s="1" t="s">
        <v>15</v>
      </c>
      <c r="AG1" s="1" t="s">
        <v>16</v>
      </c>
      <c r="AH1" s="1" t="s">
        <v>17</v>
      </c>
    </row>
    <row r="2" spans="1:34" x14ac:dyDescent="0.2">
      <c r="A2" t="s">
        <v>56</v>
      </c>
      <c r="B2" t="s">
        <v>149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4" x14ac:dyDescent="0.2">
      <c r="A3" t="s">
        <v>61</v>
      </c>
      <c r="B3" t="s">
        <v>62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</v>
      </c>
      <c r="Y3">
        <v>0</v>
      </c>
      <c r="Z3">
        <v>7</v>
      </c>
      <c r="AA3">
        <v>7</v>
      </c>
      <c r="AB3">
        <v>0</v>
      </c>
      <c r="AC3">
        <v>7</v>
      </c>
      <c r="AD3">
        <v>0</v>
      </c>
    </row>
    <row r="4" spans="1:34" x14ac:dyDescent="0.2">
      <c r="A4" t="s">
        <v>61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105</v>
      </c>
      <c r="W4">
        <v>0</v>
      </c>
      <c r="X4">
        <v>105</v>
      </c>
      <c r="Y4">
        <v>0</v>
      </c>
      <c r="Z4">
        <v>105</v>
      </c>
      <c r="AA4">
        <v>105</v>
      </c>
      <c r="AB4">
        <v>0</v>
      </c>
      <c r="AC4">
        <v>105</v>
      </c>
      <c r="AD4">
        <v>0</v>
      </c>
    </row>
    <row r="5" spans="1:34" x14ac:dyDescent="0.2">
      <c r="A5" t="s">
        <v>61</v>
      </c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</v>
      </c>
      <c r="Y5">
        <v>0</v>
      </c>
      <c r="Z5">
        <v>9</v>
      </c>
      <c r="AA5">
        <v>9</v>
      </c>
      <c r="AB5">
        <v>0</v>
      </c>
      <c r="AC5">
        <v>9</v>
      </c>
      <c r="AD5">
        <v>0</v>
      </c>
    </row>
    <row r="6" spans="1:34" x14ac:dyDescent="0.2">
      <c r="A6" t="s">
        <v>61</v>
      </c>
      <c r="B6" t="s">
        <v>66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1.5</v>
      </c>
      <c r="Y6">
        <v>0</v>
      </c>
      <c r="Z6">
        <v>1.5</v>
      </c>
      <c r="AA6">
        <v>1.5</v>
      </c>
      <c r="AB6">
        <v>0</v>
      </c>
      <c r="AC6">
        <v>1.5</v>
      </c>
      <c r="AD6">
        <v>0</v>
      </c>
    </row>
    <row r="7" spans="1:34" x14ac:dyDescent="0.2">
      <c r="A7" t="s">
        <v>61</v>
      </c>
      <c r="B7" t="s">
        <v>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115.5</v>
      </c>
      <c r="Y7">
        <v>0</v>
      </c>
      <c r="Z7">
        <v>115.5</v>
      </c>
      <c r="AA7">
        <v>115.5</v>
      </c>
      <c r="AB7">
        <v>0</v>
      </c>
      <c r="AC7">
        <v>115.5</v>
      </c>
      <c r="AD7">
        <v>0</v>
      </c>
    </row>
    <row r="8" spans="1:34" x14ac:dyDescent="0.2">
      <c r="A8" t="s">
        <v>61</v>
      </c>
      <c r="B8" t="s">
        <v>68</v>
      </c>
      <c r="C8">
        <v>0</v>
      </c>
      <c r="D8">
        <v>0</v>
      </c>
      <c r="E8">
        <v>30.5</v>
      </c>
      <c r="F8">
        <v>0</v>
      </c>
      <c r="G8">
        <v>30.5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30.5</v>
      </c>
      <c r="Y8">
        <v>0</v>
      </c>
      <c r="Z8">
        <v>30.5</v>
      </c>
      <c r="AA8">
        <v>30.5</v>
      </c>
      <c r="AB8">
        <v>0</v>
      </c>
      <c r="AC8">
        <v>30.5</v>
      </c>
      <c r="AD8">
        <v>0</v>
      </c>
    </row>
    <row r="9" spans="1:34" x14ac:dyDescent="0.2">
      <c r="A9" t="s">
        <v>61</v>
      </c>
      <c r="B9" t="s">
        <v>69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0.375</v>
      </c>
      <c r="AA9">
        <v>0.375</v>
      </c>
      <c r="AB9">
        <v>0</v>
      </c>
      <c r="AC9">
        <v>0</v>
      </c>
      <c r="AD9">
        <v>3</v>
      </c>
    </row>
    <row r="10" spans="1:34" x14ac:dyDescent="0.2">
      <c r="A10" t="s">
        <v>61</v>
      </c>
      <c r="B10" t="s">
        <v>173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4" x14ac:dyDescent="0.2">
      <c r="A11" t="s">
        <v>61</v>
      </c>
      <c r="B11" t="s">
        <v>174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4" x14ac:dyDescent="0.2">
      <c r="A12" t="s">
        <v>61</v>
      </c>
      <c r="B12" t="s">
        <v>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4" x14ac:dyDescent="0.2">
      <c r="A13" t="s">
        <v>61</v>
      </c>
      <c r="B13" t="s">
        <v>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4" x14ac:dyDescent="0.2">
      <c r="A14" t="s">
        <v>61</v>
      </c>
      <c r="B14" t="s">
        <v>73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4" x14ac:dyDescent="0.2">
      <c r="A15" t="s">
        <v>61</v>
      </c>
      <c r="B15" t="s">
        <v>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0.25</v>
      </c>
      <c r="AA15">
        <v>0.25</v>
      </c>
      <c r="AB15">
        <v>0</v>
      </c>
      <c r="AC15">
        <v>0</v>
      </c>
      <c r="AD15">
        <v>2</v>
      </c>
    </row>
    <row r="16" spans="1:34" x14ac:dyDescent="0.2">
      <c r="A16" t="s">
        <v>61</v>
      </c>
      <c r="B16" t="s">
        <v>75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2.5</v>
      </c>
      <c r="Y16">
        <v>0</v>
      </c>
      <c r="Z16">
        <v>2.5</v>
      </c>
      <c r="AA16">
        <v>2.5</v>
      </c>
      <c r="AB16">
        <v>0</v>
      </c>
      <c r="AC16">
        <v>2.5</v>
      </c>
      <c r="AD16">
        <v>0</v>
      </c>
    </row>
    <row r="17" spans="1:30" x14ac:dyDescent="0.2">
      <c r="A17" t="s">
        <v>61</v>
      </c>
      <c r="B17" t="s">
        <v>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61</v>
      </c>
      <c r="B18" t="s">
        <v>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61</v>
      </c>
      <c r="B19" t="s">
        <v>73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61</v>
      </c>
      <c r="B20" t="s">
        <v>175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30" x14ac:dyDescent="0.2">
      <c r="A21" t="s">
        <v>61</v>
      </c>
      <c r="B21" t="s">
        <v>176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30" x14ac:dyDescent="0.2">
      <c r="A22" t="s">
        <v>61</v>
      </c>
      <c r="B22" t="s">
        <v>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 t="s">
        <v>61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 t="s">
        <v>61</v>
      </c>
      <c r="B24" t="s">
        <v>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61</v>
      </c>
      <c r="B25" t="s">
        <v>78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0.25</v>
      </c>
      <c r="AA25">
        <v>0.25</v>
      </c>
      <c r="AB25">
        <v>0</v>
      </c>
      <c r="AC25">
        <v>0</v>
      </c>
      <c r="AD25">
        <v>2</v>
      </c>
    </row>
    <row r="26" spans="1:30" x14ac:dyDescent="0.2">
      <c r="A26" t="s">
        <v>61</v>
      </c>
      <c r="B26" t="s">
        <v>79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9</v>
      </c>
      <c r="Y26">
        <v>0</v>
      </c>
      <c r="Z26">
        <v>9</v>
      </c>
      <c r="AA26">
        <v>9</v>
      </c>
      <c r="AB26">
        <v>0</v>
      </c>
      <c r="AC26">
        <v>9</v>
      </c>
      <c r="AD26">
        <v>0</v>
      </c>
    </row>
    <row r="27" spans="1:30" x14ac:dyDescent="0.2">
      <c r="A27" t="s">
        <v>61</v>
      </c>
      <c r="B27" t="s">
        <v>80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1.5</v>
      </c>
      <c r="Y27">
        <v>0</v>
      </c>
      <c r="Z27">
        <v>1.5</v>
      </c>
      <c r="AA27">
        <v>1.5</v>
      </c>
      <c r="AB27">
        <v>0</v>
      </c>
      <c r="AC27">
        <v>1.5</v>
      </c>
      <c r="AD27">
        <v>0</v>
      </c>
    </row>
    <row r="28" spans="1:30" x14ac:dyDescent="0.2">
      <c r="A28" t="s">
        <v>61</v>
      </c>
      <c r="B28" t="s">
        <v>81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66</v>
      </c>
      <c r="R28">
        <v>0</v>
      </c>
      <c r="S28">
        <v>66</v>
      </c>
      <c r="T28">
        <v>0</v>
      </c>
      <c r="U28">
        <v>0</v>
      </c>
      <c r="V28">
        <v>0</v>
      </c>
      <c r="W28">
        <v>0</v>
      </c>
      <c r="X28">
        <v>66</v>
      </c>
      <c r="Y28">
        <v>0</v>
      </c>
      <c r="Z28">
        <v>66</v>
      </c>
      <c r="AA28">
        <v>66</v>
      </c>
      <c r="AB28">
        <v>0</v>
      </c>
      <c r="AC28">
        <v>66</v>
      </c>
      <c r="AD28">
        <v>0</v>
      </c>
    </row>
    <row r="29" spans="1:30" x14ac:dyDescent="0.2">
      <c r="A29" t="s">
        <v>61</v>
      </c>
      <c r="B29" t="s">
        <v>82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61</v>
      </c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30" x14ac:dyDescent="0.2">
      <c r="A31" t="s">
        <v>83</v>
      </c>
      <c r="B31" t="s">
        <v>84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20</v>
      </c>
      <c r="U31">
        <v>0</v>
      </c>
      <c r="V31">
        <v>20</v>
      </c>
      <c r="W31">
        <v>0</v>
      </c>
      <c r="X31">
        <v>20</v>
      </c>
      <c r="Y31">
        <v>0</v>
      </c>
      <c r="Z31">
        <v>20</v>
      </c>
      <c r="AA31">
        <v>20</v>
      </c>
      <c r="AB31">
        <v>0</v>
      </c>
      <c r="AC31">
        <v>20</v>
      </c>
      <c r="AD31">
        <v>0</v>
      </c>
    </row>
    <row r="32" spans="1:30" x14ac:dyDescent="0.2">
      <c r="A32" t="s">
        <v>83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2" x14ac:dyDescent="0.2">
      <c r="A33" t="s">
        <v>83</v>
      </c>
      <c r="B33" t="s">
        <v>149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32" x14ac:dyDescent="0.2">
      <c r="A34" t="s">
        <v>87</v>
      </c>
      <c r="B34" t="s">
        <v>88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1</v>
      </c>
      <c r="AB34">
        <v>0</v>
      </c>
      <c r="AC34">
        <v>1</v>
      </c>
      <c r="AD34">
        <v>0</v>
      </c>
    </row>
    <row r="35" spans="1:32" x14ac:dyDescent="0.2">
      <c r="A35" t="s">
        <v>87</v>
      </c>
      <c r="B35" t="s">
        <v>89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97.5</v>
      </c>
      <c r="U35">
        <v>0</v>
      </c>
      <c r="V35">
        <v>97.5</v>
      </c>
      <c r="W35">
        <v>0</v>
      </c>
      <c r="X35">
        <v>97.5</v>
      </c>
      <c r="Y35">
        <v>0</v>
      </c>
      <c r="Z35">
        <v>97.5</v>
      </c>
      <c r="AA35">
        <v>97.5</v>
      </c>
      <c r="AB35">
        <v>0</v>
      </c>
      <c r="AC35">
        <v>97.5</v>
      </c>
      <c r="AD35">
        <v>0</v>
      </c>
    </row>
    <row r="36" spans="1:32" x14ac:dyDescent="0.2">
      <c r="A36" t="s">
        <v>87</v>
      </c>
      <c r="B36" t="s">
        <v>90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8.5</v>
      </c>
      <c r="Y36">
        <v>0</v>
      </c>
      <c r="Z36">
        <v>8.5</v>
      </c>
      <c r="AA36">
        <v>8.5</v>
      </c>
      <c r="AB36">
        <v>0</v>
      </c>
      <c r="AC36">
        <v>8.5</v>
      </c>
      <c r="AD36">
        <v>0</v>
      </c>
    </row>
    <row r="37" spans="1:32" x14ac:dyDescent="0.2">
      <c r="A37" t="s">
        <v>87</v>
      </c>
      <c r="B37" t="s">
        <v>91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106</v>
      </c>
      <c r="Y37">
        <v>0</v>
      </c>
      <c r="Z37">
        <v>106</v>
      </c>
      <c r="AA37">
        <v>106</v>
      </c>
      <c r="AB37">
        <v>0</v>
      </c>
      <c r="AC37">
        <v>106</v>
      </c>
      <c r="AD37">
        <v>0</v>
      </c>
    </row>
    <row r="38" spans="1:32" x14ac:dyDescent="0.2">
      <c r="A38" t="s">
        <v>87</v>
      </c>
      <c r="B38" t="s">
        <v>92</v>
      </c>
      <c r="C38">
        <v>0</v>
      </c>
      <c r="D38">
        <v>0</v>
      </c>
      <c r="E38">
        <v>28.5</v>
      </c>
      <c r="F38">
        <v>0</v>
      </c>
      <c r="G38">
        <v>28.5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28.5</v>
      </c>
      <c r="Y38">
        <v>0</v>
      </c>
      <c r="Z38">
        <v>28.5</v>
      </c>
      <c r="AA38">
        <v>28.5</v>
      </c>
      <c r="AB38">
        <v>0</v>
      </c>
      <c r="AC38">
        <v>28.5</v>
      </c>
      <c r="AD38">
        <v>0</v>
      </c>
    </row>
    <row r="39" spans="1:32" x14ac:dyDescent="0.2">
      <c r="A39" t="s">
        <v>87</v>
      </c>
      <c r="B39" t="s">
        <v>177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32" x14ac:dyDescent="0.2">
      <c r="A40" t="s">
        <v>87</v>
      </c>
      <c r="B40" t="s">
        <v>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2</v>
      </c>
      <c r="AA40">
        <v>24</v>
      </c>
      <c r="AB40">
        <v>-22</v>
      </c>
      <c r="AC40">
        <v>24</v>
      </c>
      <c r="AD40">
        <v>0</v>
      </c>
      <c r="AE40">
        <v>2</v>
      </c>
      <c r="AF40">
        <v>0</v>
      </c>
    </row>
    <row r="41" spans="1:32" x14ac:dyDescent="0.2">
      <c r="A41" t="s">
        <v>87</v>
      </c>
      <c r="B41" t="s">
        <v>96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2.5</v>
      </c>
      <c r="Y41">
        <v>0</v>
      </c>
      <c r="Z41">
        <v>2.5</v>
      </c>
      <c r="AA41">
        <v>2.5</v>
      </c>
      <c r="AB41">
        <v>0</v>
      </c>
      <c r="AC41">
        <v>2.5</v>
      </c>
      <c r="AD41">
        <v>0</v>
      </c>
    </row>
    <row r="42" spans="1:32" x14ac:dyDescent="0.2">
      <c r="A42" t="s">
        <v>87</v>
      </c>
      <c r="B42" t="s">
        <v>73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2" x14ac:dyDescent="0.2">
      <c r="A43" t="s">
        <v>87</v>
      </c>
      <c r="B43" t="s">
        <v>73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2" x14ac:dyDescent="0.2">
      <c r="A44" t="s">
        <v>87</v>
      </c>
      <c r="B44" t="s">
        <v>97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0.25</v>
      </c>
      <c r="AA44">
        <v>0.25</v>
      </c>
      <c r="AB44">
        <v>0</v>
      </c>
      <c r="AC44">
        <v>0</v>
      </c>
      <c r="AD44">
        <v>2</v>
      </c>
      <c r="AE44">
        <v>0</v>
      </c>
      <c r="AF44">
        <v>2</v>
      </c>
    </row>
    <row r="45" spans="1:32" x14ac:dyDescent="0.2">
      <c r="A45" t="s">
        <v>87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2" x14ac:dyDescent="0.2">
      <c r="A46" t="s">
        <v>87</v>
      </c>
      <c r="B46" t="s">
        <v>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2" x14ac:dyDescent="0.2">
      <c r="A47" t="s">
        <v>87</v>
      </c>
      <c r="B47" t="s">
        <v>98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2</v>
      </c>
      <c r="AA47">
        <v>2</v>
      </c>
      <c r="AB47">
        <v>0</v>
      </c>
      <c r="AC47">
        <v>2</v>
      </c>
      <c r="AD47">
        <v>0</v>
      </c>
    </row>
    <row r="48" spans="1:32" x14ac:dyDescent="0.2">
      <c r="A48" t="s">
        <v>87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2.5</v>
      </c>
      <c r="Y48">
        <v>0</v>
      </c>
      <c r="Z48">
        <v>2.5</v>
      </c>
      <c r="AA48">
        <v>2.5</v>
      </c>
      <c r="AB48">
        <v>0</v>
      </c>
      <c r="AC48">
        <v>2.5</v>
      </c>
      <c r="AD48">
        <v>0</v>
      </c>
    </row>
    <row r="49" spans="1:30" x14ac:dyDescent="0.2">
      <c r="A49" t="s">
        <v>87</v>
      </c>
      <c r="B49" t="s">
        <v>178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30" x14ac:dyDescent="0.2">
      <c r="A50" t="s">
        <v>87</v>
      </c>
      <c r="B50" t="s">
        <v>179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30" x14ac:dyDescent="0.2">
      <c r="A51" t="s">
        <v>87</v>
      </c>
      <c r="B51" t="s">
        <v>103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8.5</v>
      </c>
      <c r="Y51">
        <v>0</v>
      </c>
      <c r="Z51">
        <v>8.5</v>
      </c>
      <c r="AA51">
        <v>8.5</v>
      </c>
      <c r="AB51">
        <v>0</v>
      </c>
      <c r="AC51">
        <v>8.5</v>
      </c>
      <c r="AD51">
        <v>0</v>
      </c>
    </row>
    <row r="52" spans="1:30" x14ac:dyDescent="0.2">
      <c r="A52" t="s">
        <v>87</v>
      </c>
      <c r="B52" t="s">
        <v>104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34.5</v>
      </c>
      <c r="R52">
        <v>0</v>
      </c>
      <c r="S52">
        <v>34.5</v>
      </c>
      <c r="T52">
        <v>0</v>
      </c>
      <c r="U52">
        <v>0</v>
      </c>
      <c r="V52">
        <v>0</v>
      </c>
      <c r="W52">
        <v>0</v>
      </c>
      <c r="X52">
        <v>34.5</v>
      </c>
      <c r="Y52">
        <v>0</v>
      </c>
      <c r="Z52">
        <v>34.5</v>
      </c>
      <c r="AA52">
        <v>34.5</v>
      </c>
      <c r="AB52">
        <v>0</v>
      </c>
      <c r="AC52">
        <v>34.5</v>
      </c>
      <c r="AD52">
        <v>0</v>
      </c>
    </row>
    <row r="53" spans="1:30" x14ac:dyDescent="0.2">
      <c r="A53" t="s">
        <v>87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">
      <c r="A54" t="s">
        <v>87</v>
      </c>
      <c r="B54" t="s">
        <v>149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30" x14ac:dyDescent="0.2">
      <c r="A55" t="s">
        <v>105</v>
      </c>
      <c r="B55" t="s">
        <v>106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</v>
      </c>
      <c r="Y55">
        <v>0</v>
      </c>
      <c r="Z55">
        <v>6</v>
      </c>
      <c r="AA55">
        <v>6</v>
      </c>
      <c r="AB55">
        <v>0</v>
      </c>
      <c r="AC55">
        <v>6</v>
      </c>
      <c r="AD55">
        <v>0</v>
      </c>
    </row>
    <row r="56" spans="1:30" x14ac:dyDescent="0.2">
      <c r="A56" t="s">
        <v>105</v>
      </c>
      <c r="B56" t="s">
        <v>107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98</v>
      </c>
      <c r="U56">
        <v>0</v>
      </c>
      <c r="V56">
        <v>98</v>
      </c>
      <c r="W56">
        <v>0</v>
      </c>
      <c r="X56">
        <v>98</v>
      </c>
      <c r="Y56">
        <v>0</v>
      </c>
      <c r="Z56">
        <v>98</v>
      </c>
      <c r="AA56">
        <v>98</v>
      </c>
      <c r="AB56">
        <v>0</v>
      </c>
      <c r="AC56">
        <v>98</v>
      </c>
      <c r="AD56">
        <v>0</v>
      </c>
    </row>
    <row r="57" spans="1:30" x14ac:dyDescent="0.2">
      <c r="A57" t="s">
        <v>105</v>
      </c>
      <c r="B57" t="s">
        <v>109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</v>
      </c>
      <c r="Y57">
        <v>0</v>
      </c>
      <c r="Z57">
        <v>8</v>
      </c>
      <c r="AA57">
        <v>8</v>
      </c>
      <c r="AB57">
        <v>0</v>
      </c>
      <c r="AC57">
        <v>8</v>
      </c>
      <c r="AD57">
        <v>0</v>
      </c>
    </row>
    <row r="58" spans="1:30" x14ac:dyDescent="0.2">
      <c r="A58" t="s">
        <v>105</v>
      </c>
      <c r="B58" t="s">
        <v>110</v>
      </c>
      <c r="C58">
        <v>0</v>
      </c>
      <c r="D58">
        <v>0</v>
      </c>
      <c r="E58">
        <v>0</v>
      </c>
      <c r="F58">
        <v>0</v>
      </c>
      <c r="G58">
        <v>0</v>
      </c>
      <c r="H58">
        <v>30</v>
      </c>
      <c r="I58">
        <v>0</v>
      </c>
      <c r="J58">
        <v>30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30</v>
      </c>
      <c r="Y58">
        <v>0</v>
      </c>
      <c r="Z58">
        <v>30</v>
      </c>
      <c r="AA58">
        <v>30</v>
      </c>
      <c r="AB58">
        <v>0</v>
      </c>
      <c r="AC58">
        <v>30</v>
      </c>
      <c r="AD58">
        <v>0</v>
      </c>
    </row>
    <row r="59" spans="1:30" x14ac:dyDescent="0.2">
      <c r="A59" t="s">
        <v>105</v>
      </c>
      <c r="B59" t="s">
        <v>111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136</v>
      </c>
      <c r="Y59">
        <v>0</v>
      </c>
      <c r="Z59">
        <v>136</v>
      </c>
      <c r="AA59">
        <v>136</v>
      </c>
      <c r="AB59">
        <v>0</v>
      </c>
      <c r="AC59">
        <v>136</v>
      </c>
      <c r="AD59">
        <v>0</v>
      </c>
    </row>
    <row r="60" spans="1:30" x14ac:dyDescent="0.2">
      <c r="A60" t="s">
        <v>105</v>
      </c>
      <c r="B60" t="s">
        <v>112</v>
      </c>
      <c r="C60">
        <v>0</v>
      </c>
      <c r="D60">
        <v>0</v>
      </c>
      <c r="E60">
        <v>65</v>
      </c>
      <c r="F60">
        <v>2</v>
      </c>
      <c r="G60">
        <v>65.25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65</v>
      </c>
      <c r="Y60">
        <v>2</v>
      </c>
      <c r="Z60">
        <v>65.25</v>
      </c>
      <c r="AA60">
        <v>65.25</v>
      </c>
      <c r="AB60">
        <v>0</v>
      </c>
      <c r="AC60">
        <v>65</v>
      </c>
      <c r="AD60">
        <v>2</v>
      </c>
    </row>
    <row r="61" spans="1:30" x14ac:dyDescent="0.2">
      <c r="A61" t="s">
        <v>105</v>
      </c>
      <c r="B61" t="s">
        <v>113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6</v>
      </c>
      <c r="Z61">
        <v>0.75</v>
      </c>
      <c r="AA61">
        <v>0.75</v>
      </c>
      <c r="AB61">
        <v>0</v>
      </c>
      <c r="AC61">
        <v>0</v>
      </c>
      <c r="AD61">
        <v>6</v>
      </c>
    </row>
    <row r="62" spans="1:30" x14ac:dyDescent="0.2">
      <c r="A62" t="s">
        <v>105</v>
      </c>
      <c r="B62" t="s">
        <v>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">
      <c r="A63" t="s">
        <v>105</v>
      </c>
      <c r="B63" t="s">
        <v>73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">
      <c r="A64" t="s">
        <v>105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105</v>
      </c>
      <c r="B65" t="s">
        <v>73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105</v>
      </c>
      <c r="B66" t="s">
        <v>73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">
      <c r="A67" t="s">
        <v>105</v>
      </c>
      <c r="B67" t="s">
        <v>114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6.5</v>
      </c>
      <c r="O67">
        <v>0</v>
      </c>
      <c r="P67">
        <v>6.5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6.5</v>
      </c>
      <c r="Y67">
        <v>0</v>
      </c>
      <c r="Z67">
        <v>6.5</v>
      </c>
      <c r="AA67">
        <v>6.5</v>
      </c>
      <c r="AB67">
        <v>0</v>
      </c>
      <c r="AC67">
        <v>6.5</v>
      </c>
      <c r="AD67">
        <v>0</v>
      </c>
    </row>
    <row r="68" spans="1:30" x14ac:dyDescent="0.2">
      <c r="A68" t="s">
        <v>105</v>
      </c>
      <c r="B68" t="s">
        <v>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">
      <c r="A69" t="s">
        <v>105</v>
      </c>
      <c r="B69" t="s">
        <v>73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">
      <c r="A70" t="s">
        <v>105</v>
      </c>
      <c r="B70" t="s">
        <v>73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">
      <c r="A71" t="s">
        <v>105</v>
      </c>
      <c r="B71" t="s">
        <v>73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 t="s">
        <v>105</v>
      </c>
      <c r="B72" t="s">
        <v>73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105</v>
      </c>
      <c r="B73" t="s">
        <v>115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1.5</v>
      </c>
      <c r="O73">
        <v>0</v>
      </c>
      <c r="P73">
        <v>1.5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1.5</v>
      </c>
      <c r="Y73">
        <v>0</v>
      </c>
      <c r="Z73">
        <v>1.5</v>
      </c>
      <c r="AA73">
        <v>1.5</v>
      </c>
      <c r="AB73">
        <v>0</v>
      </c>
      <c r="AC73">
        <v>1.5</v>
      </c>
      <c r="AD73">
        <v>0</v>
      </c>
    </row>
    <row r="74" spans="1:30" x14ac:dyDescent="0.2">
      <c r="A74" t="s">
        <v>105</v>
      </c>
      <c r="B74" t="s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">
      <c r="A75" t="s">
        <v>105</v>
      </c>
      <c r="B75" t="s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 t="s">
        <v>105</v>
      </c>
      <c r="B76" t="s">
        <v>73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 t="s">
        <v>105</v>
      </c>
      <c r="B77" t="s">
        <v>73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">
      <c r="A78" t="s">
        <v>105</v>
      </c>
      <c r="B78" t="s">
        <v>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">
      <c r="A79" t="s">
        <v>105</v>
      </c>
      <c r="B79" t="s">
        <v>116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1.5</v>
      </c>
      <c r="O79">
        <v>0</v>
      </c>
      <c r="P79">
        <v>1.5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1.5</v>
      </c>
      <c r="Y79">
        <v>0</v>
      </c>
      <c r="Z79">
        <v>1.5</v>
      </c>
      <c r="AA79">
        <v>1.5</v>
      </c>
      <c r="AB79">
        <v>0</v>
      </c>
      <c r="AC79">
        <v>1.5</v>
      </c>
      <c r="AD79">
        <v>0</v>
      </c>
    </row>
    <row r="80" spans="1:30" x14ac:dyDescent="0.2">
      <c r="A80" t="s">
        <v>105</v>
      </c>
      <c r="B80" t="s">
        <v>117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</v>
      </c>
      <c r="Y80">
        <v>0</v>
      </c>
      <c r="Z80">
        <v>8</v>
      </c>
      <c r="AA80">
        <v>8</v>
      </c>
      <c r="AB80">
        <v>0</v>
      </c>
      <c r="AC80">
        <v>8</v>
      </c>
      <c r="AD80">
        <v>0</v>
      </c>
    </row>
    <row r="81" spans="1:32" x14ac:dyDescent="0.2">
      <c r="A81" t="s">
        <v>105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2" x14ac:dyDescent="0.2">
      <c r="A82" t="s">
        <v>105</v>
      </c>
      <c r="B82" t="s">
        <v>73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2" x14ac:dyDescent="0.2">
      <c r="A83" t="s">
        <v>105</v>
      </c>
      <c r="B83" t="s">
        <v>73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2" x14ac:dyDescent="0.2">
      <c r="A84" t="s">
        <v>105</v>
      </c>
      <c r="B84" t="s">
        <v>73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2" x14ac:dyDescent="0.2">
      <c r="A85" t="s">
        <v>105</v>
      </c>
      <c r="B85" t="s">
        <v>73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2" x14ac:dyDescent="0.2">
      <c r="A86" t="s">
        <v>105</v>
      </c>
      <c r="B86" t="s">
        <v>180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32" x14ac:dyDescent="0.2">
      <c r="A87" t="s">
        <v>105</v>
      </c>
      <c r="B87" t="s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2" x14ac:dyDescent="0.2">
      <c r="A88" t="s">
        <v>105</v>
      </c>
      <c r="B88" t="s">
        <v>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2" x14ac:dyDescent="0.2">
      <c r="A89" t="s">
        <v>105</v>
      </c>
      <c r="B89" t="s">
        <v>73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2" x14ac:dyDescent="0.2">
      <c r="A90" t="s">
        <v>105</v>
      </c>
      <c r="B90" t="s">
        <v>73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2" x14ac:dyDescent="0.2">
      <c r="A91" t="s">
        <v>105</v>
      </c>
      <c r="B91" t="s">
        <v>73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2" x14ac:dyDescent="0.2">
      <c r="A92" t="s">
        <v>105</v>
      </c>
      <c r="B92" t="s">
        <v>119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</v>
      </c>
      <c r="Z92">
        <v>0.75</v>
      </c>
      <c r="AA92">
        <v>0.75</v>
      </c>
      <c r="AB92">
        <v>0</v>
      </c>
      <c r="AC92">
        <v>0</v>
      </c>
      <c r="AD92">
        <v>6</v>
      </c>
    </row>
    <row r="93" spans="1:32" x14ac:dyDescent="0.2">
      <c r="A93" t="s">
        <v>105</v>
      </c>
      <c r="B93" t="s">
        <v>120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51</v>
      </c>
      <c r="O93">
        <v>0.5</v>
      </c>
      <c r="P93">
        <v>51.0625</v>
      </c>
      <c r="Q93">
        <v>51</v>
      </c>
      <c r="R93">
        <v>0.5</v>
      </c>
      <c r="S93">
        <v>51.0625</v>
      </c>
      <c r="T93">
        <v>0</v>
      </c>
      <c r="U93">
        <v>0</v>
      </c>
      <c r="V93">
        <v>0</v>
      </c>
      <c r="W93">
        <v>0</v>
      </c>
      <c r="X93">
        <v>51</v>
      </c>
      <c r="Y93">
        <v>0.5</v>
      </c>
      <c r="Z93">
        <v>51.0625</v>
      </c>
      <c r="AA93">
        <v>0.4375</v>
      </c>
      <c r="AB93">
        <v>50.625</v>
      </c>
      <c r="AC93">
        <v>0</v>
      </c>
      <c r="AD93">
        <v>3.5</v>
      </c>
      <c r="AE93">
        <v>51</v>
      </c>
      <c r="AF93">
        <v>0.5</v>
      </c>
    </row>
    <row r="94" spans="1:32" x14ac:dyDescent="0.2">
      <c r="A94" t="s">
        <v>105</v>
      </c>
      <c r="B94" t="s">
        <v>149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32" x14ac:dyDescent="0.2">
      <c r="A95" t="s">
        <v>121</v>
      </c>
      <c r="B95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32" x14ac:dyDescent="0.2">
      <c r="A96" t="s">
        <v>121</v>
      </c>
      <c r="B96" t="s">
        <v>123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22</v>
      </c>
      <c r="U96">
        <v>0</v>
      </c>
      <c r="V96">
        <v>22</v>
      </c>
      <c r="W96">
        <v>0</v>
      </c>
      <c r="X96">
        <v>22</v>
      </c>
      <c r="Y96">
        <v>0</v>
      </c>
      <c r="Z96">
        <v>22</v>
      </c>
      <c r="AA96">
        <v>22</v>
      </c>
      <c r="AB96">
        <v>0</v>
      </c>
      <c r="AC96">
        <v>22</v>
      </c>
      <c r="AD96">
        <v>0</v>
      </c>
    </row>
    <row r="97" spans="1:34" x14ac:dyDescent="0.2">
      <c r="A97" t="s">
        <v>121</v>
      </c>
      <c r="B97" t="s">
        <v>124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1.5</v>
      </c>
      <c r="Y97">
        <v>0</v>
      </c>
      <c r="Z97">
        <v>1.5</v>
      </c>
      <c r="AA97">
        <v>1.5</v>
      </c>
      <c r="AB97">
        <v>0</v>
      </c>
      <c r="AC97">
        <v>1.5</v>
      </c>
      <c r="AD97">
        <v>0</v>
      </c>
    </row>
    <row r="98" spans="1:34" x14ac:dyDescent="0.2">
      <c r="A98" t="s">
        <v>121</v>
      </c>
      <c r="B98" t="s">
        <v>125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23.5</v>
      </c>
      <c r="Y98">
        <v>0</v>
      </c>
      <c r="Z98">
        <v>23.5</v>
      </c>
      <c r="AA98">
        <v>23.5</v>
      </c>
      <c r="AB98">
        <v>0</v>
      </c>
      <c r="AC98">
        <v>23.5</v>
      </c>
      <c r="AD98">
        <v>0</v>
      </c>
    </row>
    <row r="99" spans="1:34" x14ac:dyDescent="0.2">
      <c r="A99" t="s">
        <v>121</v>
      </c>
      <c r="B99" t="s">
        <v>126</v>
      </c>
      <c r="C99">
        <v>0</v>
      </c>
      <c r="D99">
        <v>0</v>
      </c>
      <c r="E99">
        <v>3</v>
      </c>
      <c r="F99">
        <v>2</v>
      </c>
      <c r="G99">
        <v>3.25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2</v>
      </c>
      <c r="Z99">
        <v>3.25</v>
      </c>
      <c r="AA99">
        <v>3.25</v>
      </c>
      <c r="AB99">
        <v>0</v>
      </c>
      <c r="AC99">
        <v>3</v>
      </c>
      <c r="AD99">
        <v>2</v>
      </c>
    </row>
    <row r="100" spans="1:34" x14ac:dyDescent="0.2">
      <c r="A100" t="s">
        <v>121</v>
      </c>
      <c r="B100" t="s">
        <v>127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0.25</v>
      </c>
      <c r="AA100">
        <v>0.25</v>
      </c>
      <c r="AB100">
        <v>0</v>
      </c>
      <c r="AC100">
        <v>0</v>
      </c>
      <c r="AD100">
        <v>2</v>
      </c>
    </row>
    <row r="101" spans="1:34" x14ac:dyDescent="0.2">
      <c r="A101" t="s">
        <v>121</v>
      </c>
      <c r="B101" t="s">
        <v>128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1.5</v>
      </c>
      <c r="Y101">
        <v>0</v>
      </c>
      <c r="Z101">
        <v>1.5</v>
      </c>
      <c r="AA101">
        <v>1.5</v>
      </c>
      <c r="AB101">
        <v>0</v>
      </c>
      <c r="AC101">
        <v>1.5</v>
      </c>
      <c r="AD101">
        <v>0</v>
      </c>
    </row>
    <row r="102" spans="1:34" x14ac:dyDescent="0.2">
      <c r="A102" t="s">
        <v>121</v>
      </c>
      <c r="B102" t="s">
        <v>129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  <c r="Y102">
        <v>0</v>
      </c>
      <c r="Z102">
        <v>2</v>
      </c>
      <c r="AA102">
        <v>2</v>
      </c>
      <c r="AB102">
        <v>0</v>
      </c>
      <c r="AC102">
        <v>2</v>
      </c>
      <c r="AD102">
        <v>0</v>
      </c>
    </row>
    <row r="103" spans="1:34" x14ac:dyDescent="0.2">
      <c r="A103" t="s">
        <v>121</v>
      </c>
      <c r="B103" t="s">
        <v>73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4" x14ac:dyDescent="0.2">
      <c r="A104" t="s">
        <v>121</v>
      </c>
      <c r="B104" t="s">
        <v>182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34" x14ac:dyDescent="0.2">
      <c r="A105" t="s">
        <v>121</v>
      </c>
      <c r="B105" t="s">
        <v>131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34</v>
      </c>
      <c r="R105">
        <v>2</v>
      </c>
      <c r="S105">
        <v>34.25</v>
      </c>
      <c r="T105">
        <v>0</v>
      </c>
      <c r="U105">
        <v>0</v>
      </c>
      <c r="V105">
        <v>0</v>
      </c>
      <c r="W105">
        <v>0</v>
      </c>
      <c r="X105">
        <v>22</v>
      </c>
      <c r="Y105">
        <v>2</v>
      </c>
      <c r="Z105">
        <v>22.25</v>
      </c>
      <c r="AA105">
        <v>12.25</v>
      </c>
      <c r="AB105">
        <v>10</v>
      </c>
      <c r="AC105">
        <v>12</v>
      </c>
      <c r="AD105">
        <v>2</v>
      </c>
      <c r="AE105">
        <v>18</v>
      </c>
      <c r="AF105">
        <v>0</v>
      </c>
      <c r="AG105">
        <v>4</v>
      </c>
      <c r="AH105">
        <v>0</v>
      </c>
    </row>
    <row r="106" spans="1:34" x14ac:dyDescent="0.2">
      <c r="A106" t="s">
        <v>121</v>
      </c>
      <c r="B106" t="s">
        <v>149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34" x14ac:dyDescent="0.2">
      <c r="A107" t="s">
        <v>132</v>
      </c>
      <c r="B107" t="s">
        <v>133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</v>
      </c>
      <c r="Z107">
        <v>0.625</v>
      </c>
      <c r="AA107">
        <v>0.625</v>
      </c>
      <c r="AB107">
        <v>0</v>
      </c>
      <c r="AC107">
        <v>0</v>
      </c>
      <c r="AD107">
        <v>5</v>
      </c>
    </row>
    <row r="108" spans="1:34" x14ac:dyDescent="0.2">
      <c r="A108" t="s">
        <v>132</v>
      </c>
      <c r="B108" t="s">
        <v>134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</v>
      </c>
      <c r="U108">
        <v>0</v>
      </c>
      <c r="V108">
        <v>14</v>
      </c>
      <c r="W108">
        <v>0</v>
      </c>
      <c r="X108">
        <v>14</v>
      </c>
      <c r="Y108">
        <v>0</v>
      </c>
      <c r="Z108">
        <v>14</v>
      </c>
      <c r="AA108">
        <v>14</v>
      </c>
      <c r="AB108">
        <v>0</v>
      </c>
      <c r="AC108">
        <v>14</v>
      </c>
      <c r="AD108">
        <v>0</v>
      </c>
    </row>
    <row r="109" spans="1:34" x14ac:dyDescent="0.2">
      <c r="A109" t="s">
        <v>132</v>
      </c>
      <c r="B109" t="s">
        <v>136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4" x14ac:dyDescent="0.2">
      <c r="A110" t="s">
        <v>132</v>
      </c>
      <c r="B110" t="s">
        <v>149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188</v>
      </c>
      <c r="N1" s="1" t="s">
        <v>189</v>
      </c>
      <c r="O1" s="1" t="s">
        <v>18</v>
      </c>
      <c r="P1" s="1" t="s">
        <v>19</v>
      </c>
      <c r="Q1" s="1" t="s">
        <v>12</v>
      </c>
      <c r="R1" s="1" t="s">
        <v>13</v>
      </c>
      <c r="S1" s="1" t="s">
        <v>20</v>
      </c>
      <c r="T1" s="1" t="s">
        <v>21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183</v>
      </c>
      <c r="AG1" s="1" t="s">
        <v>184</v>
      </c>
      <c r="AH1" s="1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2024-04-19T11:10:14Z</dcterms:created>
  <dcterms:modified xsi:type="dcterms:W3CDTF">2025-08-28T17:22:39Z</dcterms:modified>
</cp:coreProperties>
</file>
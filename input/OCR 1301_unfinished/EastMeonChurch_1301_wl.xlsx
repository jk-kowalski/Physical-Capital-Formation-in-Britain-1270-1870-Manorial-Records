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B7EE4CF2-865E-8140-A650-9A23D7320EC3}" xr6:coauthVersionLast="47" xr6:coauthVersionMax="47" xr10:uidLastSave="{00000000-0000-0000-0000-000000000000}"/>
  <bookViews>
    <workbookView xWindow="3520" yWindow="500" windowWidth="22200" windowHeight="16560"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raw data" sheetId="1" r:id="rId7"/>
    <sheet name="Issues of the Grange raw" sheetId="10" r:id="rId8"/>
    <sheet name="Sale of Corn Price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9" i="5" l="1"/>
  <c r="B178" i="5"/>
  <c r="B176" i="5"/>
  <c r="B175" i="5"/>
  <c r="B174" i="5"/>
  <c r="B173" i="5"/>
  <c r="B168" i="5"/>
  <c r="B167" i="5"/>
  <c r="B166" i="5"/>
  <c r="B165" i="5"/>
  <c r="B161" i="5"/>
  <c r="B160" i="5"/>
  <c r="B158" i="5"/>
  <c r="B159" i="5"/>
  <c r="B157" i="5"/>
  <c r="B154" i="5"/>
  <c r="B153" i="5"/>
  <c r="B150" i="5"/>
  <c r="B151" i="5"/>
  <c r="B152" i="5"/>
  <c r="B149" i="5"/>
  <c r="B146" i="5"/>
  <c r="B145" i="5"/>
  <c r="B126" i="5"/>
  <c r="B127" i="5"/>
  <c r="B128" i="5"/>
  <c r="B129" i="5"/>
  <c r="B130" i="5"/>
  <c r="B131" i="5"/>
  <c r="B132" i="5"/>
  <c r="B133" i="5"/>
  <c r="B134" i="5"/>
  <c r="B135" i="5"/>
  <c r="B136" i="5"/>
  <c r="B137" i="5"/>
  <c r="B138" i="5"/>
  <c r="B139" i="5"/>
  <c r="B140" i="5"/>
  <c r="B141" i="5"/>
  <c r="B142" i="5"/>
  <c r="B143" i="5"/>
  <c r="B144" i="5"/>
  <c r="B125" i="5"/>
  <c r="B122" i="5"/>
  <c r="B121" i="5"/>
  <c r="B117" i="5"/>
  <c r="B118" i="5"/>
  <c r="B119" i="5"/>
  <c r="B120" i="5"/>
  <c r="B116" i="5"/>
  <c r="B113" i="5"/>
  <c r="B86" i="5"/>
  <c r="B87" i="5"/>
  <c r="B88" i="5"/>
  <c r="B89" i="5"/>
  <c r="B90" i="5"/>
  <c r="B91" i="5"/>
  <c r="B92" i="5"/>
  <c r="B93" i="5"/>
  <c r="B94" i="5"/>
  <c r="B95" i="5"/>
  <c r="B96" i="5"/>
  <c r="B97" i="5"/>
  <c r="B98" i="5"/>
  <c r="B99" i="5"/>
  <c r="B100" i="5"/>
  <c r="B101" i="5"/>
  <c r="B102" i="5"/>
  <c r="B103" i="5"/>
  <c r="B104" i="5"/>
  <c r="B105" i="5"/>
  <c r="B106" i="5"/>
  <c r="B107" i="5"/>
  <c r="B108" i="5"/>
  <c r="B109" i="5"/>
  <c r="B110" i="5"/>
  <c r="B85" i="5"/>
  <c r="E71" i="5"/>
  <c r="E70" i="5"/>
  <c r="E69" i="5"/>
  <c r="B63" i="5"/>
  <c r="E63" i="5"/>
  <c r="F63" i="5"/>
  <c r="B64" i="5"/>
  <c r="E64" i="5"/>
  <c r="F64" i="5"/>
  <c r="B65" i="5"/>
  <c r="E65" i="5"/>
  <c r="F65" i="5"/>
  <c r="B66" i="5"/>
  <c r="E66" i="5"/>
  <c r="F66" i="5"/>
  <c r="B67" i="5"/>
  <c r="E67" i="5"/>
  <c r="F67" i="5"/>
  <c r="B68" i="5"/>
  <c r="E68" i="5"/>
  <c r="F68" i="5"/>
  <c r="F62" i="5"/>
  <c r="O23" i="11"/>
  <c r="I10" i="11"/>
  <c r="O16" i="11"/>
  <c r="O17" i="11"/>
  <c r="O18" i="11"/>
  <c r="O19" i="11"/>
  <c r="O20" i="11"/>
  <c r="O21" i="11"/>
  <c r="O15" i="11"/>
  <c r="N16" i="11"/>
  <c r="N17" i="11"/>
  <c r="N18" i="11"/>
  <c r="N19" i="11"/>
  <c r="N20" i="11"/>
  <c r="N21" i="11"/>
  <c r="N15" i="11"/>
  <c r="I3" i="11"/>
  <c r="I4" i="11"/>
  <c r="I5" i="11"/>
  <c r="I6" i="11"/>
  <c r="I7" i="11"/>
  <c r="I8" i="11"/>
  <c r="I2" i="11"/>
  <c r="H6" i="11"/>
  <c r="E62" i="5" l="1"/>
  <c r="B62" i="5"/>
  <c r="B45" i="5"/>
  <c r="B46" i="5"/>
  <c r="B47" i="5"/>
  <c r="B44" i="5"/>
  <c r="C25" i="5"/>
  <c r="B25" i="5"/>
  <c r="B24" i="5"/>
  <c r="B23" i="5"/>
  <c r="F97" i="3"/>
  <c r="F96" i="3"/>
  <c r="K74" i="3"/>
  <c r="K75" i="3"/>
  <c r="K76" i="3"/>
  <c r="K77" i="3"/>
  <c r="K78" i="3"/>
  <c r="K79" i="3"/>
  <c r="K70" i="3"/>
  <c r="J79" i="3"/>
  <c r="J75" i="3"/>
  <c r="J76" i="3"/>
  <c r="J77" i="3"/>
  <c r="J78" i="3"/>
  <c r="J70" i="3"/>
  <c r="J74" i="3"/>
  <c r="J39" i="3"/>
  <c r="K39" i="3" s="1"/>
  <c r="J40" i="3"/>
  <c r="K40" i="3"/>
  <c r="J41" i="3"/>
  <c r="K41" i="3" s="1"/>
  <c r="J42" i="3"/>
  <c r="K42" i="3" s="1"/>
  <c r="J43" i="3"/>
  <c r="K43" i="3"/>
  <c r="J44" i="3"/>
  <c r="K44" i="3"/>
  <c r="J45" i="3"/>
  <c r="K45" i="3"/>
  <c r="J46" i="3"/>
  <c r="K46" i="3"/>
  <c r="J47" i="3"/>
  <c r="K47" i="3"/>
  <c r="J48" i="3"/>
  <c r="K48" i="3"/>
  <c r="J49" i="3"/>
  <c r="K49" i="3"/>
  <c r="J50" i="3"/>
  <c r="K50" i="3"/>
  <c r="J51" i="3"/>
  <c r="K51" i="3"/>
  <c r="J52" i="3"/>
  <c r="K52" i="3"/>
  <c r="K38" i="3"/>
  <c r="J38" i="3"/>
  <c r="J32" i="3"/>
  <c r="K32" i="3"/>
  <c r="J33" i="3"/>
  <c r="K33" i="3" s="1"/>
  <c r="J34" i="3"/>
  <c r="K34" i="3"/>
  <c r="J35" i="3"/>
  <c r="K35" i="3"/>
  <c r="K31" i="3"/>
  <c r="J31" i="3"/>
  <c r="J20" i="3"/>
  <c r="K20" i="3"/>
  <c r="J21" i="3"/>
  <c r="K21" i="3"/>
  <c r="J22" i="3"/>
  <c r="K22" i="3"/>
  <c r="J23" i="3"/>
  <c r="K23" i="3"/>
  <c r="J24" i="3"/>
  <c r="K24" i="3"/>
  <c r="J25" i="3"/>
  <c r="K25" i="3"/>
  <c r="K19" i="3"/>
  <c r="J19" i="3"/>
  <c r="J13" i="3"/>
  <c r="K13" i="3"/>
  <c r="J4" i="3"/>
  <c r="K4" i="3"/>
  <c r="J5" i="3"/>
  <c r="K5" i="3"/>
  <c r="J6" i="3"/>
  <c r="K6" i="3"/>
  <c r="J7" i="3"/>
  <c r="K7" i="3"/>
  <c r="J8" i="3"/>
  <c r="K8" i="3"/>
  <c r="J9" i="3"/>
  <c r="K9" i="3"/>
  <c r="J10" i="3"/>
  <c r="K10" i="3"/>
  <c r="J11" i="3"/>
  <c r="K11" i="3"/>
  <c r="J12" i="3"/>
  <c r="K12" i="3"/>
  <c r="K3" i="3"/>
  <c r="J3" i="3"/>
  <c r="G95" i="3"/>
  <c r="F95" i="3"/>
  <c r="F36" i="3"/>
  <c r="F35" i="3"/>
  <c r="F94" i="3"/>
  <c r="G103" i="2"/>
  <c r="F102" i="2"/>
  <c r="T40" i="4"/>
  <c r="T35" i="4"/>
  <c r="R102" i="4"/>
  <c r="T102" i="4" s="1"/>
  <c r="T103" i="4" s="1"/>
  <c r="R91" i="4"/>
  <c r="R92" i="4" s="1"/>
  <c r="R78" i="4"/>
  <c r="O78" i="4" s="1"/>
  <c r="T78" i="4" s="1"/>
  <c r="T80" i="4" s="1"/>
  <c r="R71" i="4"/>
  <c r="O71" i="4" s="1"/>
  <c r="T71" i="4" s="1"/>
  <c r="R69" i="4"/>
  <c r="O69" i="4" s="1"/>
  <c r="T69" i="4" s="1"/>
  <c r="R68" i="4"/>
  <c r="O68" i="4" s="1"/>
  <c r="T68" i="4" s="1"/>
  <c r="R23" i="4"/>
  <c r="O23" i="4" s="1"/>
  <c r="R19" i="4"/>
  <c r="O19" i="4" s="1"/>
  <c r="R7" i="4"/>
  <c r="F59" i="2"/>
  <c r="G59" i="2" s="1"/>
  <c r="L16" i="11"/>
  <c r="L17" i="11"/>
  <c r="L18" i="11"/>
  <c r="L19" i="11"/>
  <c r="L20" i="11"/>
  <c r="L21" i="11"/>
  <c r="L15" i="11"/>
  <c r="E16" i="11"/>
  <c r="E17" i="11"/>
  <c r="E18" i="11"/>
  <c r="E19" i="11"/>
  <c r="E20" i="11"/>
  <c r="E21" i="11"/>
  <c r="E15" i="11"/>
  <c r="K16" i="11"/>
  <c r="K17" i="11"/>
  <c r="K18" i="11"/>
  <c r="K19" i="11"/>
  <c r="K20" i="11"/>
  <c r="K21" i="11"/>
  <c r="K15" i="11"/>
  <c r="I18" i="11"/>
  <c r="J18" i="11"/>
  <c r="B16" i="11"/>
  <c r="B17" i="11"/>
  <c r="B18" i="11"/>
  <c r="B19" i="11"/>
  <c r="B20" i="11"/>
  <c r="B21" i="11"/>
  <c r="B15" i="11"/>
  <c r="G3" i="11"/>
  <c r="G4" i="11"/>
  <c r="G5" i="11"/>
  <c r="G6" i="11"/>
  <c r="G7" i="11"/>
  <c r="G8" i="11"/>
  <c r="G2" i="11"/>
  <c r="F7" i="11"/>
  <c r="F8" i="11"/>
  <c r="F6" i="11"/>
  <c r="F5" i="11"/>
  <c r="F4" i="11"/>
  <c r="F3" i="11"/>
  <c r="F2" i="11"/>
  <c r="B3" i="11"/>
  <c r="B4" i="11"/>
  <c r="B5" i="11"/>
  <c r="B6" i="11"/>
  <c r="B7" i="11"/>
  <c r="B8" i="11"/>
  <c r="B2" i="11"/>
  <c r="E8" i="11"/>
  <c r="E7" i="11"/>
  <c r="E6" i="11"/>
  <c r="E5" i="11"/>
  <c r="E4" i="11"/>
  <c r="E3" i="11"/>
  <c r="E2" i="11"/>
  <c r="C2" i="11"/>
  <c r="G68" i="4"/>
  <c r="I19" i="4"/>
  <c r="G85" i="3"/>
  <c r="F66" i="3"/>
  <c r="G66" i="3" s="1"/>
  <c r="F58" i="3"/>
  <c r="F57" i="3"/>
  <c r="F52" i="3"/>
  <c r="F54" i="3" s="1"/>
  <c r="G54" i="3" s="1"/>
  <c r="F27" i="3"/>
  <c r="F29" i="3" s="1"/>
  <c r="G29" i="3" s="1"/>
  <c r="F15" i="3"/>
  <c r="F17" i="3" s="1"/>
  <c r="G17" i="3" s="1"/>
  <c r="G98" i="2"/>
  <c r="F92" i="2"/>
  <c r="G93" i="2" s="1"/>
  <c r="F83" i="2"/>
  <c r="F85" i="2" s="1"/>
  <c r="G85" i="2" s="1"/>
  <c r="F87" i="2"/>
  <c r="F103" i="2" s="1"/>
  <c r="F104" i="2" s="1"/>
  <c r="G22" i="2"/>
  <c r="F19" i="2"/>
  <c r="F18" i="2"/>
  <c r="G6" i="2"/>
  <c r="T74" i="4" l="1"/>
  <c r="R103" i="4"/>
  <c r="T91" i="4"/>
  <c r="T92" i="4" s="1"/>
  <c r="R31" i="4"/>
  <c r="O102" i="4"/>
  <c r="O7" i="4"/>
  <c r="R80" i="4"/>
  <c r="R73" i="4"/>
  <c r="F61" i="3"/>
  <c r="G61" i="3" s="1"/>
  <c r="G1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4" authorId="0" shapeId="0" xr:uid="{26A99B7E-6D7D-7E49-8052-F288D1A98529}">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F47B1879-2699-8E46-9D3C-A915C8CB5236}">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873A5C1E-018A-F643-B61D-B4B13B479FEB}">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<sst xmlns="http://schemas.openxmlformats.org/spreadsheetml/2006/main" count="1423" uniqueCount="620">
  <si>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</si>
  <si>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</si>
  <si>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</si>
  <si>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</si>
  <si>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</si>
  <si>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</si>
  <si>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</si>
  <si>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</si>
  <si>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</si>
  <si>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</si>
  <si>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</si>
  <si>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</si>
  <si>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</si>
  <si>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</si>
  <si>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</si>
  <si>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</si>
  <si>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</si>
  <si>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</si>
  <si>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</si>
  <si>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</si>
  <si>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Quarters 5</t>
  </si>
  <si>
    <t>Bushels 5</t>
  </si>
  <si>
    <t>Quarters 6</t>
  </si>
  <si>
    <t>Bushels 6</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</si>
  <si>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</si>
  <si>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</si>
  <si>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</si>
  <si>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</si>
  <si>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</si>
  <si>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</si>
  <si>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</si>
  <si>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</si>
  <si>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</si>
  <si>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</si>
  <si>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</si>
  <si>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</si>
  <si>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</si>
  <si>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</si>
  <si>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</si>
  <si>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</si>
  <si>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</si>
  <si>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Nicholas de Ychen', bailiff, and Robert Hugh', reeve, render account for £81 6 shilling 8.25pence of arrears from the previous year.</t>
  </si>
  <si>
    <t>All delivered to Sir Geoffrey, treasurer of Wolvesey.</t>
  </si>
  <si>
    <t>They are quit.</t>
  </si>
  <si>
    <t>Rents of assize</t>
  </si>
  <si>
    <t>The same render account for £1 5 shilling for all rents of assize at Christmas.</t>
  </si>
  <si>
    <t>£1 5 shilling at Easter (22 April).</t>
  </si>
  <si>
    <t>£1 5 shilling at the feast of St John the Baptist (24 June).</t>
  </si>
  <si>
    <t>£1 8 shilling 0.5pence at Michaelmas (29 September).</t>
  </si>
  <si>
    <t>Total, £5 3 shilling 0.5pence</t>
  </si>
  <si>
    <t>Quittances</t>
  </si>
  <si>
    <t>In quittance of 1 reeve for the year 3 shilling.</t>
  </si>
  <si>
    <t>1 ploughman for the year 2 shilling 6pence.</t>
  </si>
  <si>
    <t>one shepherd for the year 2 shilling 6pence Total, 8 shilling</t>
  </si>
  <si>
    <t>Total of rents remaining</t>
  </si>
  <si>
    <t>Total of rents remaining, £4 15 shilling .5pence</t>
  </si>
  <si>
    <t>Cumin</t>
  </si>
  <si>
    <t>The same render account for 1 lb of cumin from Geoffrey Kynhow for annual recognizance.</t>
  </si>
  <si>
    <t>all delivered to Sir Geoffrey, treasurer of Wolvesey.</t>
  </si>
  <si>
    <t>Recognizance</t>
  </si>
  <si>
    <t>The same render account for 3pence from Henry Burrith' for annual recognizance.</t>
  </si>
  <si>
    <t>Total, 3pence</t>
  </si>
  <si>
    <t>Issues</t>
  </si>
  <si>
    <t>The same render account for 14 shilling 5.25pence from the small tithes of lambs this year.</t>
  </si>
  <si>
    <t>14 shilling 3.5pence from the small tithes of milk, wool, foals and calves this year.</t>
  </si>
  <si>
    <t>nothing from coarse wool from the demesne or tithes here because it is sent to Wolvesey.</t>
  </si>
  <si>
    <t>2 shilling 3pence from 2 cloves 4 lb of wool locks sold, at 10.5pence a clove.</t>
  </si>
  <si>
    <t>18 shilling 7.5pence from 2 weys 2 cloves of cheese from tithes sold, at 9 shilling a wey.</t>
  </si>
  <si>
    <t>2 shilling from 2 branches of wood sold.</t>
  </si>
  <si>
    <t>6 shilling 8pence from pigeons sold.</t>
  </si>
  <si>
    <t>6 shilling 6pence from 26 geese from tithes sold.</t>
  </si>
  <si>
    <t>1 shilling from the pasturage on this side of the field of la Hyde sold, because it was all sown with wheat.</t>
  </si>
  <si>
    <t>wheat</t>
  </si>
  <si>
    <t>3 shilling from .the pasturage of Otlond' sold this year.</t>
  </si>
  <si>
    <t>nothing from the pasturage of Schortebond' because it was fallow.</t>
  </si>
  <si>
    <t>1 shilling from the pasturage of Wodebrech sold this year.</t>
  </si>
  <si>
    <t>1 shilling from nettles (urtic') on this side of Bishop's field and the dovecote sold.</t>
  </si>
  <si>
    <t>nothing from the herbage of the garden this year on account of the calves and other livestock of the lord.</t>
  </si>
  <si>
    <t>2 shilling from the pasturage of the meadow of Cherchemed sold after mowing.</t>
  </si>
  <si>
    <t>3 shilling 6pence from 1 pair of wheels with iron tyres sold.</t>
  </si>
  <si>
    <t>4 shilling from 1 old plough-horse sold.</t>
  </si>
  <si>
    <t>5 shilling from 5 wethers sold at Martinmas (11 November).</t>
  </si>
  <si>
    <t>£1 17 shilling 9pence from 121 feeble lambs from tithes sold before shearing, at 4pence each for 30, 5pence each for 30, and 3pence each for 61.</t>
  </si>
  <si>
    <t>nothing from piglets here because delivered to the reeve of the manor.</t>
  </si>
  <si>
    <t>5 shilling from the skins sold of 20 wethers in murrain before shearing, at 3pence a skin.</t>
  </si>
  <si>
    <t>2 shilling 7.5pence from the skins sold of 21 in murrain after shearing, at 1.5pence a skin.</t>
  </si>
  <si>
    <t>nothing from forage this year, because the corn of Steep, Oxshete, Froxfield, Yteden' and Bykeden' was sold wholesale.</t>
  </si>
  <si>
    <t>£2 5 shilling from 3 casks of cider sold, at 15 shilling each without the wood.</t>
  </si>
  <si>
    <t>2 shilling 11pence from 35 hens from churchscot sold.</t>
  </si>
  <si>
    <t>8pence from abandoned timber sold from certain old buildings at Froxefeld'.</t>
  </si>
  <si>
    <t>Total, £8 19 shilling 2.75pence</t>
  </si>
  <si>
    <t>Sale of corn from the demesne</t>
  </si>
  <si>
    <t>The same render account for £7 4 shilling 5.5pence from 25 quarters 1 bushels of wheat sold, at 5 shilling a quarters for 8 quarters 5 bushels, 5 shilling 4pence a quarters for 6.5 quarters, and 6 shilling 8pence a quarters for 10 quarters.</t>
  </si>
  <si>
    <t>£2 12 shilling 10.5pence from 18 quarters 7 bushels of bere sold, at 2 shilling 8pence a quarters for 11 quarters 2 bushels, and 3 shilling a quarters for 7 quarters 5 bushels.</t>
  </si>
  <si>
    <t>10 shilling from 2.5 quarters of barley sold, at 4 shilling a quarters.</t>
  </si>
  <si>
    <t>barley</t>
  </si>
  <si>
    <t>Total, £10 7 shilling 4pence</t>
  </si>
  <si>
    <t>Sale of corn from tithes</t>
  </si>
  <si>
    <t>The same render account for £20 3 shilling 7.5pence from 65 quarters 7 bushels of wheat from tithes sold, at 5 shilling a quarters for 9 quarters 1 bushels, 5 shilling 4pence a quarters for 15 quarters 2 bushels, and 6 shilling 8pence a quarters for 41.5 quarters.</t>
  </si>
  <si>
    <t>£1 19 shilling 7pence from 14 quarters 7 bushels of bere sold, at 2 shilling 8pence a quarters.</t>
  </si>
  <si>
    <t>£7 13 shilling 6pence from 38 quarters 3 bushels of barley sold, at 4 shilling a quarters.</t>
  </si>
  <si>
    <t>£5 18 shilling 1.5pence from 64 quarters of oats sold, at 1 shilling 8pence a quarters for 44 quarters 7 bushels, 2 shilling 2pence a quarters for 7 quarters 6 bushels, and 2 shilling 4pence a quarters for 11 quarters 3 bushels.</t>
  </si>
  <si>
    <t>oats</t>
  </si>
  <si>
    <t>£1 12 shilling 4pence from 12 quarters 1 bushels of beans sold, at 2 shilling 8pence a quarters.</t>
  </si>
  <si>
    <t>beans</t>
  </si>
  <si>
    <t>4 shilling from 2 quarters of peas sold.</t>
  </si>
  <si>
    <t>peas</t>
  </si>
  <si>
    <t>12 shilling 1pence from 7 quarters 2 bushels of vetches sold, at 1 shilling 8pence a quarters.</t>
  </si>
  <si>
    <t>vetches</t>
  </si>
  <si>
    <t>Total, £38 3 shilling 4pence</t>
  </si>
  <si>
    <t>Froxfield, Steep and Oxeschete</t>
  </si>
  <si>
    <t>The same render account for £38 from the tithes of corn from the chapels of Froxfield, Steep and Oxeshete sold wholesale.</t>
  </si>
  <si>
    <t>Total, £38.</t>
  </si>
  <si>
    <t>Bykeden' and Yteden'</t>
  </si>
  <si>
    <t>The same render account for 14 shilling from the tithes of corn from Bykeden' sold.</t>
  </si>
  <si>
    <t>£1 from the tithes of corn from Yteden' sold.</t>
  </si>
  <si>
    <t>7 shilling from the tithes of corn from Gerard de Tygehale solpence Total, £2 1 shilling Total of all the corn from the demesne as well as from tithes sold wholesale, £88 1 shilling 8pence</t>
  </si>
  <si>
    <t>Entry and marriage fines</t>
  </si>
  <si>
    <t>The same render account for 4 shilling from the tithing for tithingpenny at the hundred-court of Martinmas.</t>
  </si>
  <si>
    <t>4 shilling from the tithing for tithingpenny at the hundred-court of Hockday.</t>
  </si>
  <si>
    <t>£1 from Alice, relict of William Cocus de Pydeham, to retain 1 messuage and 1 virgate of land which belonged to her husbanpence Total, £1 8 shilling</t>
  </si>
  <si>
    <t>Perquisites</t>
  </si>
  <si>
    <t>The same render account for £1 3 shilling 6pence from small perquisites from various men this year for various transgressions.</t>
  </si>
  <si>
    <t>Total, £1 3 shilling 6pence</t>
  </si>
  <si>
    <t>Total of both, £2 11 shilling 6pence</t>
  </si>
  <si>
    <t xml:space="preserve">Total of all receipts </t>
  </si>
  <si>
    <t>Total of all receipts, £104 17 shilling 8.25pence</t>
  </si>
  <si>
    <t>Cost of ploughs</t>
  </si>
  <si>
    <t>In ironwork of 1 horse-plough for the year 1 shilling 8pence.</t>
  </si>
  <si>
    <t>stipend of the smith forging the ironwork 1 shilling.</t>
  </si>
  <si>
    <t>1 ploughshare bought 8.5pence.</t>
  </si>
  <si>
    <t>1 plough foot bought 3.5pence.</t>
  </si>
  <si>
    <t>making and mending ploughs and harrows 8pence.</t>
  </si>
  <si>
    <t>1 pair of wheels bought for the same 4pence.</t>
  </si>
  <si>
    <t>1 coulter made anew with iron bought for the same 10pence.</t>
  </si>
  <si>
    <t>6 halters made from the horses' own hair 1.5pence.</t>
  </si>
  <si>
    <t>stipend of 1 harrower at both sowings 8pence.</t>
  </si>
  <si>
    <t>shoeing 6 plough-horses for the year 9pence.</t>
  </si>
  <si>
    <t>fastening the same 1pence Delivered to 1 ploughman for 0.5 ewe at Martinmas according to custom 1.5pence.</t>
  </si>
  <si>
    <t>stipend of 1 stot-keeper for the year 3 shilling.</t>
  </si>
  <si>
    <t>1 plough-horse bought 12 shilling 6pence Total, £1 2 shilling 9pence</t>
  </si>
  <si>
    <t>Cost of carts</t>
  </si>
  <si>
    <t>In 1 pair of wheels made from the lord's timber 10pence.</t>
  </si>
  <si>
    <t>1 new binding, with clamps and large and small nails bought for the same, and with the stipend of the smith putting the said binding on the said wheels, 12 shilling 6pence.</t>
  </si>
  <si>
    <t>hooping the hubs of the cart with iron 2pence.</t>
  </si>
  <si>
    <t>fitting the cart with axles at various times 2pence.</t>
  </si>
  <si>
    <t>white leather bought for mending harnesses 1 shilling.</t>
  </si>
  <si>
    <t>grease bought 6pence.</t>
  </si>
  <si>
    <t>shoeing 2 cart-horses for the year 2 shilling.</t>
  </si>
  <si>
    <t>stipend of 1 carter for the year 3 shilling 4pence.</t>
  </si>
  <si>
    <t>1 cart-horse bought 16 shilling 7pence Total, £1 17 shilling 1pence</t>
  </si>
  <si>
    <t>Sheepfold and sheepcote</t>
  </si>
  <si>
    <t>In 9 hurdles made for the fold 3pence.</t>
  </si>
  <si>
    <t>wattling 22 hurdles 7pence, at 1pence per 3 hurdles.</t>
  </si>
  <si>
    <t>.</t>
  </si>
  <si>
    <t>grease bought for greasing sheep 3 shilling 2pence.</t>
  </si>
  <si>
    <t>13 ells of canvas bought for putting wool in 3 shilling 3pence, at 3pence an ell.</t>
  </si>
  <si>
    <t>making sacks for the wool with thread bought for the same 6pence Total, 7 shilling 9pence</t>
  </si>
  <si>
    <t>Cost of buildings</t>
  </si>
  <si>
    <t>In re-roofing the bailiff's stable and the cart-horses' stable in places 2 shilling.</t>
  </si>
  <si>
    <t>repairing and restoring the mangers of the said stables 8pence.</t>
  </si>
  <si>
    <t>re-roofing and mending in places the unroofed building of the press 2 shilling.</t>
  </si>
  <si>
    <t>re-roofing and mending the granary in places 1 shilling.</t>
  </si>
  <si>
    <t>100 large nails and other small nails bought for the same 6pence.</t>
  </si>
  <si>
    <t>building anew 1 building for stabling the cart-horses and carts, £1 1 shilling 5pence for all costs.</t>
  </si>
  <si>
    <t>making and mending the bench in the great hall 1 shilling.</t>
  </si>
  <si>
    <t>mending the walls of the dairy and the door of the same building 5pence.</t>
  </si>
  <si>
    <t>mending the barn-door and likewise the gate of the curia with nails bought for the same 10.5pence.</t>
  </si>
  <si>
    <t>9 empty casks bought £1 1 shilling, at 2 shilling 4pence each.</t>
  </si>
  <si>
    <t>hooping and mending these and others 1 shilling 6pence.</t>
  </si>
  <si>
    <t>hooping and mending tubs and barrows 5pence.</t>
  </si>
  <si>
    <t>making 12 casks of cider 4 shilling, at 4pence a cask.</t>
  </si>
  <si>
    <t>tallow and soap bought for the press 4pence.</t>
  </si>
  <si>
    <t>1 sieve bought for straining cider 0.25pence Total, £2 17 shilling 2.25pence</t>
  </si>
  <si>
    <t>Threshing</t>
  </si>
  <si>
    <t>In threshing and winnowing 38 quarters 5 bushels of wheat from the demesne and 65 quarters 7 bushels of wheat from tithes by piece-work 17 shilling 5pence, at 2pence a struck quarter.</t>
  </si>
  <si>
    <t>threshing and winnowing 26 quarters 1 bushels of bere and 21 quarters' 6 bushels of barley from the demesne, and 14 quarters 7 bushels of bere, 38 quarters 3 bushels of barley and 9 quarters 2 bushels of peas and vetches from tithes, 11 shilling .5pence, at 1.5pence per 10 struck bushels.</t>
  </si>
  <si>
    <t>barley, vetches, peas</t>
  </si>
  <si>
    <t>threshing and winnowing 12 quarters 1 bushels of beans by piece-work 2 shilling .25pence, at 2pence a struck quarter.</t>
  </si>
  <si>
    <t>threshing and winnowing, 65 quarters 2 bushels of oats from the demesne and 64 quarters of oats from tithes 8 shilling 7.25pence at 1pence per 10 struck bushels.</t>
  </si>
  <si>
    <t>Total, £1 19 shilling 1pence</t>
  </si>
  <si>
    <t>Harvest-time</t>
  </si>
  <si>
    <t>In bread and herrings, and cheese for a want of herrings, bought for 17 boon-works and 7 carrying-services of 615 men with the customary tenants who reaped, bound and carried all the corn, £1 1 shilling 5pence.</t>
  </si>
  <si>
    <t>stipend of 1 hayward at harvest-time 2 shilling Total,</t>
  </si>
  <si>
    <t>£1 3 shilling 5pence</t>
  </si>
  <si>
    <t>Also harvest-time</t>
  </si>
  <si>
    <t>In stipend of 3 riders this year, of whom 1 stayed for 36 days, 1 for 40 days, and 1 for 45 days, 15 shilling.</t>
  </si>
  <si>
    <t>expenses of the same for the same time 16 shilling.</t>
  </si>
  <si>
    <t>shoeing the horses of the same 9pence.</t>
  </si>
  <si>
    <t>expenses of 9 of the bishop's servants (pedon') and 2 stackers £1 15 shilling 6pence.</t>
  </si>
  <si>
    <t>stipend of the same 18 shilling 4pence, or 1 shilling 8pence each.</t>
  </si>
  <si>
    <t>And note that there is 1 servant fewer this year because the corn of Yteden' and Bykeden' was sold wholesale before the harvest.</t>
  </si>
  <si>
    <t>3 pairs of wheels made for carrying the corn from tithes 1 shilling 6pence.</t>
  </si>
  <si>
    <t>fitting the same with axles 6pence.</t>
  </si>
  <si>
    <t>4 collars bought 2 shilling 2pence.</t>
  </si>
  <si>
    <t>clouts, nails and grease bought 1 shilling 10pence.</t>
  </si>
  <si>
    <t>shoeing the plough-horses hauling the carts 2 shilling 6pence.</t>
  </si>
  <si>
    <t>treating the carts before the harvest 1 shilling.</t>
  </si>
  <si>
    <t>hiring carters this year to help carry the corn at various times 2 shilling 4pence.</t>
  </si>
  <si>
    <t>4 quarters of oats bought for the fodder of the riders' horses 5 shilling 4pence, at 1 shilling 4pence a quarters.</t>
  </si>
  <si>
    <t>Total, £5 4 shilling 9pence</t>
  </si>
  <si>
    <t>Total of all expenses</t>
  </si>
  <si>
    <t>Total of all expenses, £14 12 shilling 0.25pence</t>
  </si>
  <si>
    <t>And thus he owes</t>
  </si>
  <si>
    <t>And thus he owes, £90 5 shilling 8pence</t>
  </si>
  <si>
    <t>Delivered to Sir Geoffrey, treasurer of Wolvesey, by 1 tally, £43.</t>
  </si>
  <si>
    <t>And thus he owes clear</t>
  </si>
  <si>
    <t>And thus he owes clear, £47 5 shilling 8pence</t>
  </si>
  <si>
    <t>Wheat from the demesne</t>
  </si>
  <si>
    <t>(yield: six-fold less 1 quarters 7 bushels)</t>
  </si>
  <si>
    <t>The same render account for 38 quarters 5 bushels from the whole issue of wheat from the demesne by struck measure.</t>
  </si>
  <si>
    <t>Sown over 129 acres as they lie in Lahyd' and Wodebrok', 9.5 quarters.</t>
  </si>
  <si>
    <t>that is, 1 bushels over 2 acres, plus 1 quarters 3.5 bushels in all.</t>
  </si>
  <si>
    <t>provision of the bailiff, 4 quarters, because he takes the rest from the manor.</t>
  </si>
  <si>
    <t>Sold, 25 quarters 1 bushels</t>
  </si>
  <si>
    <t>Bere</t>
  </si>
  <si>
    <t>(yield: three-fold plus 5 bushels}</t>
  </si>
  <si>
    <t>The same render account for 26 quarters 1 bushels from the whole issue of bere by struck measure.</t>
  </si>
  <si>
    <t>Sown over 41 acres as they lie in Watcombe, 7 quarters 2 bushels.</t>
  </si>
  <si>
    <t>that is, 1.5 bushels an acre, less 3.5 bushels in all.</t>
  </si>
  <si>
    <t>Sold, 18 quarters 7 bushels</t>
  </si>
  <si>
    <t>Barley</t>
  </si>
  <si>
    <t>(yield: three-and-a-half-fold plus 6 bushels)</t>
  </si>
  <si>
    <t>The same render account for 21 quarters 6 bushels from the whole issue of barley from the demesne by struck measure.</t>
  </si>
  <si>
    <t>Sown over 17 acres as they lie at Prusteslad', 6 quarters 2 bushels.</t>
  </si>
  <si>
    <t>that is, 3 bushels an acre, less 1 bushels in all.</t>
  </si>
  <si>
    <t>Delivered to 1 carter and 1 stot-keeper for the year, who take a quarter every 8 weeks, 13 quarters.</t>
  </si>
  <si>
    <t>Sold, 2.5 quarters.</t>
  </si>
  <si>
    <t>Oats</t>
  </si>
  <si>
    <t>(fold less 5 quarters 3 bushels}</t>
  </si>
  <si>
    <t>The same render account for 65 quarters. 1 bushels from the whole issue of oats by struck measure.</t>
  </si>
  <si>
    <t>Sown over 105 acres as they lie at Prustehull', Stonyelond', and Watteconbe, 26.5 quarters.</t>
  </si>
  <si>
    <t>that is, 2 bushels an acre, plus 2 bushels in all.</t>
  </si>
  <si>
    <t>fodder of 2 cart-horses from Michaelmas (29 September) until Lammas (1 August), for 306 nights, 19 quarters 1 bushels, at 0.5 bushels a night.</t>
  </si>
  <si>
    <t>fodder of 6 plough-horses from the feast of the Circumcision (1 January) until Sunday before the feast of St Augustine (20 May), for 140 nights, 17.5 quarters, at 1 bushels a night.</t>
  </si>
  <si>
    <t>fodder of the same when they ploughed after dinner, 0.5 quarters.</t>
  </si>
  <si>
    <t>customary payment to 1 ploughman and 1 shepherd, 1.5 quarters.</t>
  </si>
  <si>
    <t>Total, 65 quarters 1 bushels It balances.</t>
  </si>
  <si>
    <t>Wheat from tithes: 65 qrs 7 bus. from the whole issue of wheat by struck measure;</t>
  </si>
  <si>
    <t>all solpence</t>
  </si>
  <si>
    <t>Stock</t>
  </si>
  <si>
    <t>Cart-horses: 3 remain from the previous year.</t>
  </si>
  <si>
    <t>1 bought.</t>
  </si>
  <si>
    <t>Total, 4. 1 added to plough-horses.</t>
  </si>
  <si>
    <t>2 remain.</t>
  </si>
  <si>
    <t>Plough-horses: 6 remain from the previous year.</t>
  </si>
  <si>
    <t>1 added from cart-horses.</t>
  </si>
  <si>
    <t>Total, 8. 1 sold.</t>
  </si>
  <si>
    <t>7 remain.</t>
  </si>
  <si>
    <t>Oxen: 1 from the heriot of William de Pydeham.</t>
  </si>
  <si>
    <t>1 remains.</t>
  </si>
  <si>
    <t>Wethers: 205 remain from the previous year.</t>
  </si>
  <si>
    <t>50 received from the reeve of the manor after shearing.</t>
  </si>
  <si>
    <t>Total, 255. 5 sold at Martinmas.</t>
  </si>
  <si>
    <t>20 in murrain before shearing, 21 after shearing.</t>
  </si>
  <si>
    <t>Total, 46. 209 remain.</t>
  </si>
  <si>
    <t>Lambs: 150 from tithes this year.</t>
  </si>
  <si>
    <t>29 delivered to the reeve of the manor.</t>
  </si>
  <si>
    <t>121 solpence</t>
  </si>
  <si>
    <t>Wool: from the demesne, wool from tithes {henceforth enumerate the fleeces from tithes): 180 fleeces from wethers produced at the shearing this year.</t>
  </si>
  <si>
    <t>delivered to Wolvesey, which made 3 weys 11 cloves with the wool from tithes.</t>
  </si>
  <si>
    <t>Cheese from tithes: 2 weys 2 cloves from tithes this year.</t>
  </si>
  <si>
    <t>Piglets: 9 from tithes this year.</t>
  </si>
  <si>
    <t>1 in murrain.</t>
  </si>
  <si>
    <t>8 delivered to the reeve of the manor.</t>
  </si>
  <si>
    <t>none remain.</t>
  </si>
  <si>
    <t>Hens: 38 from churchscot. 1 in default of Isabel ate Stupe because a widow.</t>
  </si>
  <si>
    <t>1 indefault of Othyn le Zenghe because he has no wife.</t>
  </si>
  <si>
    <t>1 in default of John Mile for the same.</t>
  </si>
  <si>
    <t>Total, 3. 35 solpence</t>
  </si>
  <si>
    <t>Pigeons: 10 dozen from the issue of the dovecote this year.</t>
  </si>
  <si>
    <t>Geese: 26 from tithes this year, because the geese from the tithes of the chapels of Steep, Ocshute and Froxfield were sold with the corn from the farms of the same chapels.</t>
  </si>
  <si>
    <t>Cider: 3 casks remain from the previous year.</t>
  </si>
  <si>
    <t>12 made this year.</t>
  </si>
  <si>
    <t>Total, 15. 3 sold without the wood.</t>
  </si>
  <si>
    <t>12 casks remain.</t>
  </si>
  <si>
    <t>Utensils: 1 cart with iron tyres remains from the previous year.</t>
  </si>
  <si>
    <t>1 made anew this year.</t>
  </si>
  <si>
    <t>Total, 2. 1 sold.</t>
  </si>
  <si>
    <t>1 remains. 3 casks remain from the previous year.</t>
  </si>
  <si>
    <t>9 bought.</t>
  </si>
  <si>
    <t>Total, 12. 12 remain. 3 tubs, 1 tine, 3 coffers, 1 of which is for the reeve's tallies, remain from the previous year.</t>
  </si>
  <si>
    <t>all this remains.</t>
  </si>
  <si>
    <t>Error</t>
  </si>
  <si>
    <t>Total</t>
  </si>
  <si>
    <t>The same render account for £7 4 shilling 5.5pence from 25 quarters 1 bushels of wheat sold, at 5 shilling a qr for 8 quarters 5 bushels, 5 shilling 4pence a qr for 6.5 quarters, and 6 shilling 8pence a qr for 10 quarters.</t>
  </si>
  <si>
    <t>£2 12 shilling 10.5pence from 18 quarters 7 bushels of bere sold, at 2 shilling 8pence a qr for 11 quarters 2 bushels, and 3 shilling a qr for 7 quarters 5 bushels.</t>
  </si>
  <si>
    <t>10 shilling from 2.5 quarters of barley sold, at 4 shilling a qr.</t>
  </si>
  <si>
    <t>The same render account for £20 3 shilling 7.5pence from 65 quarters 7 bushels of wheat from tithes sold, at 5 shilling a qr for 9 quarters 1 bushels, 5 shilling 4pence a qr for 15 quarters 2 bushels, and 6 shilling 8pence a qr for 41.5 quarters.</t>
  </si>
  <si>
    <t>£1 19 shilling 7pence from 14 quarters 7 bushels of bere sold, at 2 shilling 8pence a qr.</t>
  </si>
  <si>
    <t>£7 13 shilling 6pence from 38 quarters 3 bushels of barley sold, at 4 shilling a qr.</t>
  </si>
  <si>
    <t>£5 18 shilling 1.5pence from 64 quarters of oats sold, at 1 shilling 8pence a qr for 44 quarters 7 bushels, 2 shilling 2pence a qr for 7 quarters 6 bushels, and 2 shilling 4pence a qr for 11 quarters 3 bushels.</t>
  </si>
  <si>
    <t>£1 12 shilling 4pence from 12 quarters 1 bushels of beans sold, at 2 shilling 8pence a qr.</t>
  </si>
  <si>
    <t>12 shilling 1pence from 7 quarters 2 bushels of vetches sold, at 1 shilling 8pence a qr.</t>
  </si>
  <si>
    <t>added</t>
  </si>
  <si>
    <t>sold</t>
  </si>
  <si>
    <t>Cart-horses</t>
  </si>
  <si>
    <t>Oxen</t>
  </si>
  <si>
    <t>Wethers</t>
  </si>
  <si>
    <t>Lambs</t>
  </si>
  <si>
    <t>Piglets</t>
  </si>
  <si>
    <t>Poultry stock</t>
  </si>
  <si>
    <t>Cider</t>
  </si>
  <si>
    <t>Utensils</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</si>
  <si>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</si>
  <si>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</si>
  <si>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</si>
  <si>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</si>
  <si>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</si>
  <si>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</si>
  <si>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</si>
  <si>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</si>
  <si>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</si>
  <si>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</si>
  <si>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</si>
  <si>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</si>
  <si>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</si>
  <si>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</si>
  <si>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</si>
  <si>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</si>
  <si>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</si>
  <si>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</si>
  <si>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</si>
  <si>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</si>
  <si>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</si>
  <si>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</si>
  <si>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</si>
  <si>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(yield: six-fold less 1 qr 7 bushels)</t>
  </si>
  <si>
    <t>that is, 1 bushels over 2 acres, plus 1 qr 3.5 bushels in all.</t>
  </si>
  <si>
    <t>Sown over 105 acres as they lie at Prustehull', Stonyelond', and Watteconbe, 26.5 qr.</t>
  </si>
  <si>
    <t>fodder of the same when they ploughed after dinner, 0.5 qr.</t>
  </si>
  <si>
    <t>Gross Output</t>
  </si>
  <si>
    <t>Difference Produced+Bought-Sold</t>
  </si>
  <si>
    <t>Weighted Average Price per Quarter</t>
  </si>
  <si>
    <t>Non-Weighted Average Price per Quarter</t>
  </si>
  <si>
    <t>Value of Total Production weighted</t>
  </si>
  <si>
    <t>Wheat</t>
  </si>
  <si>
    <t>Maslin</t>
  </si>
  <si>
    <t>Oatmeal</t>
  </si>
  <si>
    <t>Quarters 0</t>
  </si>
  <si>
    <t>Bushels 0</t>
  </si>
  <si>
    <t>£ a quarter 1</t>
  </si>
  <si>
    <t>£ a quarter 2</t>
  </si>
  <si>
    <t>£ a quarter 3</t>
  </si>
  <si>
    <t>£ a quarter 4</t>
  </si>
  <si>
    <t>Quarters Sold</t>
  </si>
  <si>
    <t>Corn lowercase</t>
  </si>
  <si>
    <t>inf</t>
  </si>
  <si>
    <t>Livestock</t>
  </si>
  <si>
    <t>Mares</t>
  </si>
  <si>
    <t>Plough horses</t>
  </si>
  <si>
    <t>Colts (unspecified years)</t>
  </si>
  <si>
    <t>Colts (2 years)</t>
  </si>
  <si>
    <t>Colts (1 year)</t>
  </si>
  <si>
    <t>Foals</t>
  </si>
  <si>
    <t>Bulls</t>
  </si>
  <si>
    <t>Cows</t>
  </si>
  <si>
    <t>Steers</t>
  </si>
  <si>
    <t>Bullocks</t>
  </si>
  <si>
    <t>Yearlings</t>
  </si>
  <si>
    <t>Calves</t>
  </si>
  <si>
    <t>Rams</t>
  </si>
  <si>
    <t>Ewes</t>
  </si>
  <si>
    <t>Hoggs</t>
  </si>
  <si>
    <t>Boars</t>
  </si>
  <si>
    <t>Sows</t>
  </si>
  <si>
    <t>Pigs</t>
  </si>
  <si>
    <t>Hoggets</t>
  </si>
  <si>
    <t>Swans</t>
  </si>
  <si>
    <t>Peacocks</t>
  </si>
  <si>
    <t>Total Value</t>
  </si>
  <si>
    <t>Wool</t>
  </si>
  <si>
    <t>Coarse wool</t>
  </si>
  <si>
    <t>Lamb's wool</t>
  </si>
  <si>
    <t>Wool locks</t>
  </si>
  <si>
    <t>Wool sold at shearing</t>
  </si>
  <si>
    <t>Total wool</t>
  </si>
  <si>
    <t>Hides</t>
  </si>
  <si>
    <t>Ox hides</t>
  </si>
  <si>
    <t>Mare</t>
  </si>
  <si>
    <t>Steer</t>
  </si>
  <si>
    <t>calves</t>
  </si>
  <si>
    <t>pigs</t>
  </si>
  <si>
    <t>Woolskins (incl. 10 in tithe)</t>
  </si>
  <si>
    <t>wethers</t>
  </si>
  <si>
    <t>rams</t>
  </si>
  <si>
    <t>ewes</t>
  </si>
  <si>
    <t>hoggs</t>
  </si>
  <si>
    <t>Woolskins (excl. 10 in tithe)</t>
  </si>
  <si>
    <t>Bareskins</t>
  </si>
  <si>
    <t>Bareskins (total)</t>
  </si>
  <si>
    <t>Lambskins (excl. 8 in tithe)</t>
  </si>
  <si>
    <t>Rotted skins</t>
  </si>
  <si>
    <t>Shorn skins</t>
  </si>
  <si>
    <t xml:space="preserve">Total </t>
  </si>
  <si>
    <t>Hens</t>
  </si>
  <si>
    <t>Geese</t>
  </si>
  <si>
    <t>Capons (from chickens)</t>
  </si>
  <si>
    <t>Cocks &amp; hens</t>
  </si>
  <si>
    <t>Total poultry stock</t>
  </si>
  <si>
    <t>Total poultry excluding churchscot</t>
  </si>
  <si>
    <t>Poultry production</t>
  </si>
  <si>
    <t>Eggs</t>
  </si>
  <si>
    <t>Cocks &amp; hens from churchscot of customary tenants</t>
  </si>
  <si>
    <t>Sum of above</t>
  </si>
  <si>
    <t>Meat</t>
  </si>
  <si>
    <t>Beef</t>
  </si>
  <si>
    <t>Mutton</t>
  </si>
  <si>
    <t>Pork</t>
  </si>
  <si>
    <t>Cheese</t>
  </si>
  <si>
    <t>Winter cheese</t>
  </si>
  <si>
    <t>Summer cheese</t>
  </si>
  <si>
    <t>Butter</t>
  </si>
  <si>
    <t>Total Dairy Sales</t>
  </si>
  <si>
    <t>Additional Information (not necessarily useful)</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</si>
  <si>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</si>
  <si>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</si>
  <si>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</si>
  <si>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</si>
  <si>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</si>
  <si>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</si>
  <si>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</si>
  <si>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</si>
  <si>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</si>
  <si>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</si>
  <si>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</si>
  <si>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</si>
  <si>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</si>
  <si>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</si>
  <si>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</si>
  <si>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</si>
  <si>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</si>
  <si>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</si>
  <si>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</si>
  <si>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</si>
  <si>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</si>
  <si>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</si>
  <si>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</si>
  <si>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</si>
  <si>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</si>
  <si>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EAST MEON CHURCH STOCK ACCOUNT</t>
  </si>
  <si>
    <t>subtracted</t>
  </si>
  <si>
    <t>Inherited stock</t>
  </si>
  <si>
    <t>strays</t>
  </si>
  <si>
    <t>herbage</t>
  </si>
  <si>
    <t>churchscot</t>
  </si>
  <si>
    <t>of which in default</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</si>
  <si>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</si>
  <si>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</si>
  <si>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</si>
  <si>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</si>
  <si>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</si>
  <si>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</si>
  <si>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</si>
  <si>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</si>
  <si>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</si>
  <si>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</si>
  <si>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</si>
  <si>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</si>
  <si>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</si>
  <si>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</si>
  <si>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</si>
  <si>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</si>
  <si>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</si>
  <si>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</si>
  <si>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</si>
  <si>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</si>
  <si>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</si>
  <si>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</si>
  <si>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</si>
  <si>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</si>
  <si>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</si>
  <si>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</si>
  <si>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</si>
  <si>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</si>
  <si>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</si>
  <si>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</si>
  <si>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</si>
  <si>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</si>
  <si>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</si>
  <si>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</si>
  <si>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</si>
  <si>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</si>
  <si>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</si>
  <si>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</si>
  <si>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</si>
  <si>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</si>
  <si>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</si>
  <si>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</si>
  <si>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</si>
  <si>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</si>
  <si>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</si>
  <si>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</si>
  <si>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</si>
  <si>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</si>
  <si>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</si>
  <si>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</si>
  <si>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</si>
  <si>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</si>
  <si>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</si>
  <si>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</si>
  <si>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</si>
  <si>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</si>
  <si>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</si>
  <si>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</si>
  <si>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</si>
  <si>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</si>
  <si>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</si>
  <si>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</si>
  <si>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</si>
  <si>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</si>
  <si>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</si>
  <si>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</si>
  <si>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Grange</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</si>
  <si>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</si>
  <si>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</si>
  <si>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</si>
  <si>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</si>
  <si>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</si>
  <si>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</si>
  <si>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</si>
  <si>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</si>
  <si>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</si>
  <si>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Total value of stock (sum of the above)</t>
  </si>
  <si>
    <t>Total value of production</t>
  </si>
  <si>
    <t>Fleeces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</si>
  <si>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</si>
  <si>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</si>
  <si>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</si>
  <si>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</si>
  <si>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</si>
  <si>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</si>
  <si>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</si>
  <si>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</si>
  <si>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</si>
  <si>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</si>
  <si>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</si>
  <si>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</si>
  <si>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</si>
  <si>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</si>
  <si>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</si>
  <si>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Lambskins</t>
  </si>
  <si>
    <t>Total value of stock</t>
  </si>
  <si>
    <t>Dairy Production</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</si>
  <si>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</si>
  <si>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</si>
  <si>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</si>
  <si>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</si>
  <si>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</si>
  <si>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</si>
  <si>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</si>
  <si>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</si>
  <si>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</si>
  <si>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Total in £</t>
  </si>
  <si>
    <t>Note</t>
  </si>
  <si>
    <t>EAST MEON CHURCH</t>
  </si>
  <si>
    <t>£</t>
  </si>
  <si>
    <t xml:space="preserve">s </t>
  </si>
  <si>
    <t>d</t>
  </si>
  <si>
    <t>Notes</t>
  </si>
  <si>
    <t xml:space="preserve">one shepherd for the year 2 shilling 6pence </t>
  </si>
  <si>
    <t>Total, 8 shilling</t>
  </si>
  <si>
    <t xml:space="preserve">7 shilling from the tithes of corn from Gerard de Tygehale solpence </t>
  </si>
  <si>
    <t xml:space="preserve">Total, £2 1 shilling </t>
  </si>
  <si>
    <t>Total of all the corn from the demesne as well as from tithes sold wholesale, £88 1 shilling 8pence</t>
  </si>
  <si>
    <t xml:space="preserve">£1 from Alice, relict of William Cocus de Pydeham, to retain 1 messuage and 1 virgate of land which belonged to her husbanpence </t>
  </si>
  <si>
    <t>Total, £1 8 shilling</t>
  </si>
  <si>
    <t>EAST MEON CHURCH EXPENSES</t>
  </si>
  <si>
    <t xml:space="preserve">1 plough-horse bought 12 shilling 6pence </t>
  </si>
  <si>
    <t>Total, £1 2 shilling 9pence</t>
  </si>
  <si>
    <t xml:space="preserve">1 cart-horse bought 16 shilling 7pence </t>
  </si>
  <si>
    <t>Total, £1 17 shilling 1pence</t>
  </si>
  <si>
    <t xml:space="preserve">1 sieve bought for straining cider 0.25pence </t>
  </si>
  <si>
    <t>Total, £2 17 shilling 2.25pence</t>
  </si>
  <si>
    <t xml:space="preserve">stipend of 1 hayward at harvest-time 2 shilling </t>
  </si>
  <si>
    <t>Total, £1 3 shilling 5pence</t>
  </si>
  <si>
    <t>Total Quantity</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</si>
  <si>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</si>
  <si>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</si>
  <si>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</si>
  <si>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</si>
  <si>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</si>
  <si>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</si>
  <si>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</si>
  <si>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</si>
  <si>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</si>
  <si>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</si>
  <si>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</si>
  <si>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</si>
  <si>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</si>
  <si>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</si>
  <si>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</si>
  <si>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</si>
  <si>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bere</t>
  </si>
  <si>
    <t>Total Production</t>
  </si>
  <si>
    <t>Sales of corn (as recorded in accounts)</t>
  </si>
  <si>
    <t>Received from tithes</t>
  </si>
  <si>
    <t>CIder</t>
  </si>
  <si>
    <t>fleeces</t>
  </si>
  <si>
    <t>2 weys 2 cloves</t>
  </si>
  <si>
    <t>Pigeons</t>
  </si>
  <si>
    <t>Total of all receipts recorded in accounts</t>
  </si>
  <si>
    <t>Total cross-check without arrears</t>
  </si>
  <si>
    <t>Total cross-check with arrears</t>
  </si>
  <si>
    <t>Perquisites &amp; entry and marriage fines</t>
  </si>
  <si>
    <t xml:space="preserve">making sacks for the wool with thread bought for the same 6pence </t>
  </si>
  <si>
    <t>Total, 7 shilling 9pence</t>
  </si>
  <si>
    <t>Fixed investment</t>
  </si>
  <si>
    <t>Demesne fixed investment</t>
  </si>
  <si>
    <t>qrs</t>
  </si>
  <si>
    <t>Value of total gross production in £</t>
  </si>
  <si>
    <t>Value of total net production in £</t>
  </si>
  <si>
    <t>prices taken from East Meon</t>
  </si>
  <si>
    <t>prices from Bishops Sutton</t>
  </si>
  <si>
    <t>prices taken from Droxford</t>
  </si>
  <si>
    <t>All corn</t>
  </si>
  <si>
    <t>not including sales from tithes</t>
  </si>
  <si>
    <t>Sales value in £</t>
  </si>
  <si>
    <t>Value of production at sales prices £</t>
  </si>
  <si>
    <t>without churchscot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</si>
</sst>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i/>
      <sz val="12"/>
      <color theme="1"/>
      <name val="Calibri"/>
      <family val="2"/>
      <scheme val="minor"/>
    </font>
    <font>
      <b/>
      <sz val="12"/>
      <color rgb="FF000000"/>
      <name val="Calibri"/>
      <family val="2"/>
      <scheme val="minor"/>
    </font>
    <font>
      <b/>
      <sz val="10"/>
      <color rgb="FF000000"/>
      <name val="Tahoma"/>
      <family val="2"/>
    </font>
    <font>
      <sz val="10"/>
      <color rgb="FF000000"/>
      <name val="Tahoma"/>
      <family val="2"/>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sz val="11"/>
      <color rgb="FFFF0000"/>
      <name val="Calibri (Body)"/>
    </font>
    <font>
      <b/>
      <sz val="12"/>
      <name val="Calibri"/>
      <family val="2"/>
    </font>
    <font>
      <b/>
      <sz val="12"/>
      <color theme="1"/>
      <name val="Calibri (Body)"/>
    </font>
    <font>
      <b/>
      <sz val="12"/>
      <color rgb="FFFF0000"/>
      <name val="Calibri (Body)"/>
    </font>
    <font>
      <sz val="12"/>
      <color rgb="FFFF0000"/>
      <name val="Calibri (Body)"/>
    </font>
    <font>
      <b/>
      <sz val="11"/>
      <color theme="1"/>
      <name val="Calibri"/>
      <family val="2"/>
      <scheme val="minor"/>
    </font>
    <font>
      <b/>
      <sz val="11"/>
      <color rgb="FF000000"/>
      <name val="Calibri"/>
      <family val="2"/>
      <scheme val="minor"/>
    </font>
    <font>
      <sz val="11"/>
      <name val="Calibri"/>
      <family val="2"/>
    </font>
    <font>
      <sz val="11"/>
      <color rgb="FF000000"/>
      <name val="Calibri"/>
      <family val="2"/>
      <scheme val="minor"/>
    </font>
    <font>
      <sz val="11"/>
      <color rgb="FFFF0000"/>
      <name val="Calibri"/>
      <family val="2"/>
      <scheme val="minor"/>
    </font>
  </fonts>
  <fills count="11">
    <fill>
      <patternFill patternType="none"/>
    </fill>
    <fill>
      <patternFill patternType="gray125"/>
    </fill>
    <fill>
      <patternFill patternType="solid">
        <fgColor theme="6"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2"/>
        <bgColor indexed="64"/>
      </patternFill>
    </fill>
    <fill>
      <patternFill patternType="solid">
        <fgColor theme="9"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theme="0" tint="-0.34998626667073579"/>
      </bottom>
      <diagonal/>
    </border>
    <border>
      <left style="thin">
        <color indexed="64"/>
      </left>
      <right/>
      <top/>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07">
    <xf numFmtId="0" fontId="0" fillId="0" borderId="0" xfId="0"/>
    <xf numFmtId="0" fontId="3" fillId="0" borderId="1" xfId="0" applyFont="1" applyBorder="1" applyAlignment="1">
      <alignment horizontal="center" vertical="top"/>
    </xf>
    <xf numFmtId="0" fontId="4" fillId="0" borderId="0" xfId="0" applyFont="1"/>
    <xf numFmtId="0" fontId="0" fillId="0" borderId="0" xfId="0" applyAlignment="1">
      <alignment wrapText="1"/>
    </xf>
    <xf numFmtId="0" fontId="4" fillId="0" borderId="0" xfId="0" applyFont="1" applyAlignment="1">
      <alignment wrapText="1"/>
    </xf>
    <xf numFmtId="0" fontId="5" fillId="2" borderId="0" xfId="0" applyFont="1" applyFill="1"/>
    <xf numFmtId="0" fontId="0" fillId="0" borderId="2" xfId="0" applyBorder="1"/>
    <xf numFmtId="0" fontId="0" fillId="0" borderId="0" xfId="0" applyAlignment="1">
      <alignment horizontal="right"/>
    </xf>
    <xf numFmtId="0" fontId="0" fillId="0" borderId="2" xfId="0" applyBorder="1" applyAlignment="1">
      <alignment horizontal="left"/>
    </xf>
    <xf numFmtId="0" fontId="0" fillId="0" borderId="0" xfId="0" applyAlignment="1">
      <alignment horizontal="left"/>
    </xf>
    <xf numFmtId="0" fontId="0" fillId="4" borderId="0" xfId="0" applyFill="1"/>
    <xf numFmtId="0" fontId="5" fillId="3" borderId="0" xfId="0" applyFont="1" applyFill="1"/>
    <xf numFmtId="0" fontId="5" fillId="0" borderId="0" xfId="0" applyFont="1"/>
    <xf numFmtId="2" fontId="0" fillId="0" borderId="0" xfId="0" applyNumberFormat="1" applyAlignment="1">
      <alignment wrapText="1"/>
    </xf>
    <xf numFmtId="0" fontId="4" fillId="0" borderId="0" xfId="0" applyFont="1" applyAlignment="1">
      <alignment horizontal="right" wrapText="1"/>
    </xf>
    <xf numFmtId="2" fontId="4" fillId="0" borderId="0" xfId="0" applyNumberFormat="1" applyFont="1" applyAlignment="1">
      <alignment wrapText="1"/>
    </xf>
    <xf numFmtId="2" fontId="6" fillId="0" borderId="0" xfId="0" applyNumberFormat="1" applyFont="1" applyAlignment="1">
      <alignment horizontal="left" vertical="center" wrapText="1"/>
    </xf>
    <xf numFmtId="0" fontId="6" fillId="0" borderId="0" xfId="0" applyFont="1"/>
    <xf numFmtId="0" fontId="6" fillId="5" borderId="0" xfId="0" applyFont="1" applyFill="1"/>
    <xf numFmtId="0" fontId="9" fillId="0" borderId="0" xfId="0" applyFont="1"/>
    <xf numFmtId="0" fontId="2" fillId="0" borderId="0" xfId="0" applyFont="1"/>
    <xf numFmtId="0" fontId="10" fillId="3" borderId="4" xfId="0" applyFont="1" applyFill="1" applyBorder="1"/>
    <xf numFmtId="0" fontId="10" fillId="3" borderId="0" xfId="0" applyFont="1" applyFill="1"/>
    <xf numFmtId="0" fontId="11" fillId="5" borderId="0" xfId="0" applyFont="1" applyFill="1"/>
    <xf numFmtId="0" fontId="9" fillId="0" borderId="5" xfId="0" applyFont="1" applyBorder="1"/>
    <xf numFmtId="0" fontId="9" fillId="6" borderId="0" xfId="0" applyFont="1" applyFill="1"/>
    <xf numFmtId="0" fontId="12" fillId="6" borderId="0" xfId="0" applyFont="1" applyFill="1"/>
    <xf numFmtId="0" fontId="12" fillId="7" borderId="0" xfId="0" applyFont="1" applyFill="1"/>
    <xf numFmtId="0" fontId="12" fillId="5" borderId="0" xfId="0" applyFont="1" applyFill="1"/>
    <xf numFmtId="0" fontId="6" fillId="8" borderId="0" xfId="0" applyFont="1" applyFill="1"/>
    <xf numFmtId="0" fontId="6" fillId="3" borderId="0" xfId="0" applyFont="1" applyFill="1"/>
    <xf numFmtId="0" fontId="9" fillId="0" borderId="0" xfId="0" applyFont="1" applyAlignment="1">
      <alignment wrapText="1"/>
    </xf>
    <xf numFmtId="0" fontId="12" fillId="8" borderId="0" xfId="0" applyFont="1" applyFill="1"/>
    <xf numFmtId="0" fontId="9" fillId="0" borderId="6" xfId="0" applyFont="1" applyBorder="1"/>
    <xf numFmtId="0" fontId="9" fillId="0" borderId="0" xfId="0" applyFont="1" applyAlignment="1">
      <alignment horizontal="right"/>
    </xf>
    <xf numFmtId="0" fontId="9" fillId="0" borderId="6" xfId="0" applyFont="1" applyBorder="1" applyAlignment="1">
      <alignment horizontal="left"/>
    </xf>
    <xf numFmtId="0" fontId="9" fillId="3" borderId="7" xfId="0" applyFont="1" applyFill="1" applyBorder="1"/>
    <xf numFmtId="0" fontId="12" fillId="5" borderId="8" xfId="0" applyFont="1" applyFill="1" applyBorder="1"/>
    <xf numFmtId="0" fontId="12" fillId="7" borderId="8" xfId="0" applyFont="1" applyFill="1" applyBorder="1"/>
    <xf numFmtId="0" fontId="9" fillId="0" borderId="8" xfId="0" applyFont="1" applyBorder="1"/>
    <xf numFmtId="10" fontId="12" fillId="5" borderId="8" xfId="0" applyNumberFormat="1" applyFont="1" applyFill="1" applyBorder="1"/>
    <xf numFmtId="10" fontId="12" fillId="7" borderId="9" xfId="0" applyNumberFormat="1" applyFont="1" applyFill="1" applyBorder="1"/>
    <xf numFmtId="2" fontId="6" fillId="0" borderId="0" xfId="0" applyNumberFormat="1" applyFont="1" applyAlignment="1">
      <alignment horizontal="right"/>
    </xf>
    <xf numFmtId="2" fontId="13" fillId="0" borderId="0" xfId="0" applyNumberFormat="1" applyFont="1" applyAlignment="1">
      <alignment horizontal="right"/>
    </xf>
    <xf numFmtId="0" fontId="15" fillId="0" borderId="0" xfId="0" applyFont="1" applyAlignment="1">
      <alignment horizontal="center" vertical="top"/>
    </xf>
    <xf numFmtId="4" fontId="16" fillId="0" borderId="0" xfId="0" applyNumberFormat="1" applyFont="1" applyAlignment="1">
      <alignment horizontal="right"/>
    </xf>
    <xf numFmtId="0" fontId="16" fillId="0" borderId="0" xfId="0" applyFont="1" applyAlignment="1">
      <alignment horizontal="right"/>
    </xf>
    <xf numFmtId="0" fontId="15" fillId="0" borderId="0" xfId="0" applyFont="1" applyAlignment="1">
      <alignment horizontal="left" vertical="top"/>
    </xf>
    <xf numFmtId="2" fontId="0" fillId="0" borderId="0" xfId="0" applyNumberFormat="1"/>
    <xf numFmtId="2" fontId="14" fillId="0" borderId="0" xfId="0" applyNumberFormat="1" applyFont="1"/>
    <xf numFmtId="2" fontId="4" fillId="0" borderId="0" xfId="0" applyNumberFormat="1" applyFont="1" applyAlignment="1">
      <alignment horizontal="center"/>
    </xf>
    <xf numFmtId="2" fontId="17" fillId="0" borderId="0" xfId="0" applyNumberFormat="1" applyFont="1" applyAlignment="1">
      <alignment horizontal="center" vertical="top"/>
    </xf>
    <xf numFmtId="0" fontId="15" fillId="0" borderId="0" xfId="0" applyFont="1" applyAlignment="1">
      <alignment horizontal="center" vertical="center"/>
    </xf>
    <xf numFmtId="4" fontId="16" fillId="0" borderId="0" xfId="0" applyNumberFormat="1" applyFont="1" applyAlignment="1">
      <alignment horizontal="center" vertical="center"/>
    </xf>
    <xf numFmtId="0" fontId="16" fillId="0" borderId="0" xfId="0" applyFont="1" applyAlignment="1">
      <alignment horizontal="center" vertical="center"/>
    </xf>
    <xf numFmtId="0" fontId="2" fillId="0" borderId="0" xfId="0" applyFont="1" applyAlignment="1">
      <alignment horizontal="center" vertical="center"/>
    </xf>
    <xf numFmtId="2" fontId="4" fillId="0" borderId="0" xfId="0" applyNumberFormat="1" applyFont="1" applyAlignment="1">
      <alignment horizontal="center" vertical="center"/>
    </xf>
    <xf numFmtId="2" fontId="17" fillId="0" borderId="0" xfId="0" applyNumberFormat="1" applyFont="1" applyAlignment="1">
      <alignment horizontal="center" vertical="center"/>
    </xf>
    <xf numFmtId="2" fontId="2" fillId="0" borderId="0" xfId="0" applyNumberFormat="1" applyFont="1"/>
    <xf numFmtId="2" fontId="18" fillId="0" borderId="0" xfId="0" applyNumberFormat="1" applyFont="1"/>
    <xf numFmtId="0" fontId="3" fillId="0" borderId="0" xfId="0" applyFont="1" applyAlignment="1">
      <alignment horizontal="center" vertical="top"/>
    </xf>
    <xf numFmtId="0" fontId="3" fillId="0" borderId="0" xfId="0" applyFont="1" applyAlignment="1">
      <alignment horizontal="center" vertical="top" wrapText="1"/>
    </xf>
    <xf numFmtId="2" fontId="3" fillId="0" borderId="0" xfId="0" applyNumberFormat="1" applyFont="1" applyAlignment="1">
      <alignment horizontal="center" vertical="top" wrapText="1"/>
    </xf>
    <xf numFmtId="0" fontId="19" fillId="0" borderId="0" xfId="0" applyFont="1"/>
    <xf numFmtId="0" fontId="19" fillId="0" borderId="0" xfId="0" applyFont="1" applyAlignment="1">
      <alignment horizontal="right" wrapText="1"/>
    </xf>
    <xf numFmtId="0" fontId="19" fillId="0" borderId="0" xfId="0" applyFont="1" applyAlignment="1">
      <alignment wrapText="1"/>
    </xf>
    <xf numFmtId="0" fontId="20" fillId="0" borderId="10" xfId="0" applyFont="1" applyBorder="1" applyAlignment="1">
      <alignment wrapText="1"/>
    </xf>
    <xf numFmtId="2" fontId="19" fillId="0" borderId="0" xfId="0" applyNumberFormat="1" applyFont="1" applyAlignment="1">
      <alignment horizontal="right" wrapText="1"/>
    </xf>
    <xf numFmtId="0" fontId="0" fillId="9" borderId="0" xfId="0" applyFill="1"/>
    <xf numFmtId="0" fontId="0" fillId="10" borderId="0" xfId="0" applyFill="1"/>
    <xf numFmtId="0" fontId="21" fillId="0" borderId="0" xfId="0" applyFont="1" applyAlignment="1">
      <alignment horizontal="left" vertical="top"/>
    </xf>
    <xf numFmtId="0" fontId="0" fillId="0" borderId="0" xfId="0" applyAlignment="1">
      <alignment horizontal="right" wrapText="1"/>
    </xf>
    <xf numFmtId="0" fontId="22" fillId="0" borderId="10" xfId="0" applyFont="1" applyBorder="1" applyAlignment="1">
      <alignment wrapText="1"/>
    </xf>
    <xf numFmtId="2" fontId="0" fillId="0" borderId="0" xfId="0" applyNumberFormat="1" applyAlignment="1">
      <alignment horizontal="right" wrapText="1"/>
    </xf>
    <xf numFmtId="0" fontId="21" fillId="0" borderId="0" xfId="0" applyFont="1" applyAlignment="1">
      <alignment horizontal="right" vertical="top"/>
    </xf>
    <xf numFmtId="0" fontId="21" fillId="0" borderId="0" xfId="0" applyFont="1" applyAlignment="1">
      <alignment vertical="top"/>
    </xf>
    <xf numFmtId="0" fontId="21" fillId="0" borderId="0" xfId="0" applyFont="1" applyAlignment="1">
      <alignment horizontal="right" vertical="top" wrapText="1"/>
    </xf>
    <xf numFmtId="0" fontId="0" fillId="2" borderId="0" xfId="0" applyFill="1"/>
    <xf numFmtId="2" fontId="4" fillId="0" borderId="0" xfId="0" applyNumberFormat="1" applyFont="1" applyAlignment="1">
      <alignment horizontal="right" wrapText="1"/>
    </xf>
    <xf numFmtId="2" fontId="0" fillId="2" borderId="0" xfId="0" applyNumberFormat="1" applyFill="1"/>
    <xf numFmtId="0" fontId="0" fillId="0" borderId="0" xfId="0" applyAlignment="1">
      <alignment horizontal="center" wrapText="1"/>
    </xf>
    <xf numFmtId="0" fontId="0" fillId="0" borderId="3" xfId="0" applyBorder="1" applyAlignment="1">
      <alignment horizontal="center" wrapText="1"/>
    </xf>
    <xf numFmtId="2" fontId="0" fillId="4" borderId="0" xfId="0" applyNumberFormat="1" applyFill="1"/>
    <xf numFmtId="0" fontId="1" fillId="0" borderId="0" xfId="0" applyFont="1"/>
    <xf numFmtId="2" fontId="4" fillId="0" borderId="0" xfId="0" applyNumberFormat="1" applyFont="1" applyAlignment="1">
      <alignment horizontal="center" vertical="center" wrapText="1"/>
    </xf>
    <xf numFmtId="0" fontId="23" fillId="0" borderId="0" xfId="0" applyFont="1"/>
    <xf numFmtId="0" fontId="23" fillId="0" borderId="0" xfId="0" applyFont="1" applyAlignment="1">
      <alignment wrapText="1"/>
    </xf>
    <xf numFmtId="0" fontId="13" fillId="0" borderId="0" xfId="0" applyFont="1" applyAlignment="1">
      <alignment horizontal="right" wrapText="1"/>
    </xf>
    <xf numFmtId="2" fontId="23" fillId="0" borderId="0" xfId="0" applyNumberFormat="1" applyFont="1"/>
    <xf numFmtId="0" fontId="4" fillId="3" borderId="0" xfId="0" applyFont="1" applyFill="1" applyAlignment="1">
      <alignment horizontal="center"/>
    </xf>
    <xf numFmtId="0" fontId="1" fillId="3" borderId="0" xfId="0" applyFont="1" applyFill="1"/>
    <xf numFmtId="2" fontId="1" fillId="3" borderId="0" xfId="0" applyNumberFormat="1" applyFont="1" applyFill="1"/>
    <xf numFmtId="4" fontId="4" fillId="0" borderId="0" xfId="0" applyNumberFormat="1" applyFont="1" applyAlignment="1">
      <alignment horizontal="right"/>
    </xf>
    <xf numFmtId="0" fontId="4" fillId="0" borderId="0" xfId="0" applyFont="1" applyAlignment="1">
      <alignment horizontal="right"/>
    </xf>
    <xf numFmtId="2" fontId="4" fillId="0" borderId="0" xfId="0" applyNumberFormat="1" applyFont="1"/>
    <xf numFmtId="0" fontId="0" fillId="3" borderId="0" xfId="0" applyFill="1"/>
    <xf numFmtId="0" fontId="23" fillId="3" borderId="0" xfId="0" applyFont="1" applyFill="1"/>
    <xf numFmtId="2" fontId="0" fillId="0" borderId="0" xfId="0" applyNumberFormat="1" applyAlignment="1">
      <alignment horizontal="right"/>
    </xf>
    <xf numFmtId="2" fontId="21" fillId="0" borderId="0" xfId="0" applyNumberFormat="1" applyFont="1" applyAlignment="1">
      <alignment horizontal="right" vertical="top" wrapText="1"/>
    </xf>
    <xf numFmtId="2" fontId="0" fillId="3" borderId="0" xfId="0" applyNumberFormat="1" applyFill="1"/>
    <xf numFmtId="0" fontId="19" fillId="3" borderId="0" xfId="0" applyFont="1" applyFill="1"/>
    <xf numFmtId="0" fontId="0" fillId="3" borderId="0" xfId="0" applyFill="1" applyAlignment="1">
      <alignment wrapText="1"/>
    </xf>
    <xf numFmtId="0" fontId="0" fillId="0" borderId="12" xfId="0" applyBorder="1"/>
    <xf numFmtId="0" fontId="0" fillId="0" borderId="13" xfId="0" applyBorder="1"/>
    <xf numFmtId="0" fontId="0" fillId="0" borderId="11" xfId="0" applyBorder="1"/>
    <xf numFmtId="2" fontId="0" fillId="0" borderId="12" xfId="0" applyNumberFormat="1" applyBorder="1"/>
    <xf numFmtId="10" fontId="0" fillId="0" borderId="12"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81"/>
  <sheetViews>
    <sheetView tabSelected="1" workbookViewId="0">
      <pane xSplit="1" ySplit="4" topLeftCell="B161" activePane="bottomRight" state="frozen"/>
      <selection pane="topRight" activeCell="B1" sqref="B1"/>
      <selection pane="bottomLeft" activeCell="A5" sqref="A5"/>
      <selection pane="bottomRight" activeCell="B173" sqref="B173"/>
    </sheetView>
  </sheetViews>
  <sheetFormatPr baseColWidth="10" defaultColWidth="8.83203125" defaultRowHeight="16" x14ac:dyDescent="0.2"/>
  <cols>
    <col min="1" max="1" width="80" style="20" bestFit="1" customWidth="1"/>
    <col min="2" max="2" width="29.1640625" bestFit="1" customWidth="1"/>
    <col min="3" max="3" width="5.1640625" style="85" bestFit="1" customWidth="1"/>
    <col min="4" max="4" width="5.1640625" bestFit="1" customWidth="1"/>
    <col min="5" max="5" width="30.83203125" bestFit="1" customWidth="1"/>
    <col min="6" max="6" width="29.33203125" bestFit="1" customWidth="1"/>
    <col min="10" max="10" width="19" customWidth="1"/>
    <col min="14" max="14" width="14.5" customWidth="1"/>
    <col min="16" max="16" width="19.33203125" customWidth="1"/>
    <col min="17" max="17" width="19.6640625" customWidth="1"/>
    <col min="19" max="19" width="14.6640625" customWidth="1"/>
    <col min="20" max="20" width="17.6640625" customWidth="1"/>
  </cols>
  <sheetData>
    <row r="1" spans="1:20" x14ac:dyDescent="0.2">
      <c r="A1" s="17" t="s">
        <v>555</v>
      </c>
      <c r="B1" s="42" t="s">
        <v>553</v>
      </c>
      <c r="C1" s="43" t="s">
        <v>283</v>
      </c>
      <c r="D1" s="2" t="s">
        <v>554</v>
      </c>
    </row>
    <row r="2" spans="1:20" x14ac:dyDescent="0.2">
      <c r="A2" s="17" t="s">
        <v>460</v>
      </c>
    </row>
    <row r="3" spans="1:20" x14ac:dyDescent="0.2">
      <c r="A3" s="18" t="s">
        <v>461</v>
      </c>
      <c r="B3" s="101"/>
      <c r="C3" s="86"/>
      <c r="D3" s="3"/>
      <c r="E3" s="3"/>
      <c r="F3" s="3"/>
      <c r="G3" s="3"/>
      <c r="H3" s="3"/>
      <c r="I3" s="3"/>
      <c r="J3" s="3"/>
      <c r="K3" s="3"/>
      <c r="L3" s="3"/>
      <c r="M3" s="3"/>
      <c r="N3" s="3"/>
      <c r="O3" s="3"/>
      <c r="P3" s="13"/>
      <c r="Q3" s="3"/>
      <c r="R3" s="3"/>
      <c r="S3" s="3"/>
      <c r="T3" s="3"/>
    </row>
    <row r="4" spans="1:20" x14ac:dyDescent="0.2">
      <c r="A4" s="19" t="s">
        <v>462</v>
      </c>
      <c r="B4" s="14"/>
      <c r="C4" s="87"/>
      <c r="D4" s="2"/>
      <c r="E4" s="2"/>
      <c r="F4" s="14"/>
      <c r="G4" s="14"/>
      <c r="H4" s="14"/>
      <c r="I4" s="14"/>
      <c r="J4" s="14"/>
      <c r="K4" s="14"/>
      <c r="L4" s="14"/>
      <c r="M4" s="14"/>
      <c r="N4" s="15"/>
      <c r="O4" s="4"/>
      <c r="P4" s="4"/>
      <c r="Q4" s="4"/>
      <c r="R4" s="16"/>
      <c r="S4" s="14"/>
    </row>
    <row r="5" spans="1:20" x14ac:dyDescent="0.2">
      <c r="A5" s="19" t="s">
        <v>463</v>
      </c>
    </row>
    <row r="6" spans="1:20" x14ac:dyDescent="0.2">
      <c r="A6" s="19" t="s">
        <v>464</v>
      </c>
    </row>
    <row r="7" spans="1:20" x14ac:dyDescent="0.2">
      <c r="A7" s="19" t="s">
        <v>465</v>
      </c>
    </row>
    <row r="8" spans="1:20" x14ac:dyDescent="0.2">
      <c r="A8" s="20" t="s">
        <v>466</v>
      </c>
    </row>
    <row r="9" spans="1:20" x14ac:dyDescent="0.2">
      <c r="A9" s="20" t="s">
        <v>467</v>
      </c>
    </row>
    <row r="10" spans="1:20" x14ac:dyDescent="0.2">
      <c r="A10" s="20" t="s">
        <v>468</v>
      </c>
    </row>
    <row r="11" spans="1:20" x14ac:dyDescent="0.2">
      <c r="A11" s="20" t="s">
        <v>469</v>
      </c>
    </row>
    <row r="12" spans="1:20" x14ac:dyDescent="0.2">
      <c r="A12" s="20" t="s">
        <v>470</v>
      </c>
    </row>
    <row r="13" spans="1:20" x14ac:dyDescent="0.2">
      <c r="A13" s="20" t="s">
        <v>471</v>
      </c>
    </row>
    <row r="14" spans="1:20" x14ac:dyDescent="0.2">
      <c r="A14" s="19" t="s">
        <v>472</v>
      </c>
    </row>
    <row r="15" spans="1:20" x14ac:dyDescent="0.2">
      <c r="A15" s="19" t="s">
        <v>473</v>
      </c>
    </row>
    <row r="16" spans="1:20" x14ac:dyDescent="0.2">
      <c r="A16" s="20" t="s">
        <v>474</v>
      </c>
    </row>
    <row r="17" spans="1:3" x14ac:dyDescent="0.2">
      <c r="A17" s="20" t="s">
        <v>475</v>
      </c>
    </row>
    <row r="18" spans="1:3" x14ac:dyDescent="0.2">
      <c r="A18" s="19" t="s">
        <v>476</v>
      </c>
    </row>
    <row r="19" spans="1:3" x14ac:dyDescent="0.2">
      <c r="A19" s="19" t="s">
        <v>477</v>
      </c>
    </row>
    <row r="20" spans="1:3" x14ac:dyDescent="0.2">
      <c r="A20" s="19" t="s">
        <v>478</v>
      </c>
    </row>
    <row r="21" spans="1:3" x14ac:dyDescent="0.2">
      <c r="A21" s="20" t="s">
        <v>479</v>
      </c>
    </row>
    <row r="22" spans="1:3" x14ac:dyDescent="0.2">
      <c r="A22" s="20" t="s">
        <v>480</v>
      </c>
    </row>
    <row r="23" spans="1:3" x14ac:dyDescent="0.2">
      <c r="A23" s="21" t="s">
        <v>481</v>
      </c>
      <c r="B23" s="99">
        <f>Receipts!F103</f>
        <v>104.37333333333332</v>
      </c>
    </row>
    <row r="24" spans="1:3" x14ac:dyDescent="0.2">
      <c r="A24" s="22" t="s">
        <v>482</v>
      </c>
      <c r="B24" s="99">
        <f>Receipts!F104</f>
        <v>185.70333333333332</v>
      </c>
    </row>
    <row r="25" spans="1:3" x14ac:dyDescent="0.2">
      <c r="A25" s="23" t="s">
        <v>483</v>
      </c>
      <c r="B25" s="99">
        <f>Receipts!F102</f>
        <v>104.88</v>
      </c>
      <c r="C25" s="88">
        <f>B25-B23</f>
        <v>0.50666666666667481</v>
      </c>
    </row>
    <row r="26" spans="1:3" x14ac:dyDescent="0.2">
      <c r="A26" s="23" t="s">
        <v>484</v>
      </c>
      <c r="B26" s="95"/>
    </row>
    <row r="27" spans="1:3" x14ac:dyDescent="0.2">
      <c r="A27" s="19"/>
    </row>
    <row r="28" spans="1:3" x14ac:dyDescent="0.2">
      <c r="A28" s="19"/>
    </row>
    <row r="29" spans="1:3" x14ac:dyDescent="0.2">
      <c r="A29" s="18" t="s">
        <v>485</v>
      </c>
      <c r="B29" s="95"/>
    </row>
    <row r="30" spans="1:3" x14ac:dyDescent="0.2">
      <c r="A30" s="19" t="s">
        <v>486</v>
      </c>
    </row>
    <row r="31" spans="1:3" x14ac:dyDescent="0.2">
      <c r="A31" s="19" t="s">
        <v>487</v>
      </c>
    </row>
    <row r="32" spans="1:3" x14ac:dyDescent="0.2">
      <c r="A32" s="19" t="s">
        <v>488</v>
      </c>
    </row>
    <row r="33" spans="1:2" x14ac:dyDescent="0.2">
      <c r="A33" s="19" t="s">
        <v>489</v>
      </c>
    </row>
    <row r="34" spans="1:2" x14ac:dyDescent="0.2">
      <c r="A34" s="19" t="s">
        <v>490</v>
      </c>
    </row>
    <row r="35" spans="1:2" x14ac:dyDescent="0.2">
      <c r="A35" s="19" t="s">
        <v>491</v>
      </c>
    </row>
    <row r="36" spans="1:2" x14ac:dyDescent="0.2">
      <c r="A36" s="19" t="s">
        <v>492</v>
      </c>
    </row>
    <row r="37" spans="1:2" x14ac:dyDescent="0.2">
      <c r="A37" s="19" t="s">
        <v>493</v>
      </c>
    </row>
    <row r="38" spans="1:2" x14ac:dyDescent="0.2">
      <c r="A38" s="19" t="s">
        <v>494</v>
      </c>
    </row>
    <row r="39" spans="1:2" x14ac:dyDescent="0.2">
      <c r="A39" s="19" t="s">
        <v>495</v>
      </c>
    </row>
    <row r="40" spans="1:2" x14ac:dyDescent="0.2">
      <c r="A40" s="19" t="s">
        <v>496</v>
      </c>
    </row>
    <row r="41" spans="1:2" x14ac:dyDescent="0.2">
      <c r="A41" s="19" t="s">
        <v>497</v>
      </c>
    </row>
    <row r="42" spans="1:2" x14ac:dyDescent="0.2">
      <c r="A42" s="19" t="s">
        <v>498</v>
      </c>
    </row>
    <row r="43" spans="1:2" x14ac:dyDescent="0.2">
      <c r="A43" s="24" t="s">
        <v>499</v>
      </c>
    </row>
    <row r="44" spans="1:2" x14ac:dyDescent="0.2">
      <c r="A44" s="22" t="s">
        <v>500</v>
      </c>
      <c r="B44" s="99">
        <f>Expenses!F94</f>
        <v>14.6</v>
      </c>
    </row>
    <row r="45" spans="1:2" x14ac:dyDescent="0.2">
      <c r="A45" s="22" t="s">
        <v>501</v>
      </c>
      <c r="B45" s="99">
        <f>Expenses!F95</f>
        <v>14.615833333333333</v>
      </c>
    </row>
    <row r="46" spans="1:2" x14ac:dyDescent="0.2">
      <c r="A46" s="22" t="s">
        <v>502</v>
      </c>
      <c r="B46" s="99">
        <f>Expenses!F96</f>
        <v>4.9960416666666667</v>
      </c>
    </row>
    <row r="47" spans="1:2" x14ac:dyDescent="0.2">
      <c r="A47" s="22" t="s">
        <v>503</v>
      </c>
      <c r="B47" s="99">
        <f>Expenses!F97</f>
        <v>4.9960416666666667</v>
      </c>
    </row>
    <row r="48" spans="1:2" x14ac:dyDescent="0.2">
      <c r="A48" s="2"/>
    </row>
    <row r="49" spans="1:6" x14ac:dyDescent="0.2">
      <c r="A49" s="25" t="s">
        <v>504</v>
      </c>
    </row>
    <row r="50" spans="1:6" x14ac:dyDescent="0.2">
      <c r="A50" s="25" t="s">
        <v>505</v>
      </c>
    </row>
    <row r="51" spans="1:6" x14ac:dyDescent="0.2">
      <c r="A51" s="19"/>
    </row>
    <row r="52" spans="1:6" x14ac:dyDescent="0.2">
      <c r="A52" s="25" t="s">
        <v>506</v>
      </c>
    </row>
    <row r="53" spans="1:6" x14ac:dyDescent="0.2">
      <c r="A53" s="25" t="s">
        <v>507</v>
      </c>
    </row>
    <row r="54" spans="1:6" x14ac:dyDescent="0.2">
      <c r="A54" s="26" t="s">
        <v>508</v>
      </c>
    </row>
    <row r="55" spans="1:6" x14ac:dyDescent="0.2">
      <c r="A55" s="27" t="s">
        <v>509</v>
      </c>
    </row>
    <row r="56" spans="1:6" x14ac:dyDescent="0.2">
      <c r="A56" s="19"/>
    </row>
    <row r="57" spans="1:6" x14ac:dyDescent="0.2">
      <c r="A57" s="25" t="s">
        <v>510</v>
      </c>
    </row>
    <row r="58" spans="1:6" x14ac:dyDescent="0.2">
      <c r="A58" s="25" t="s">
        <v>511</v>
      </c>
    </row>
    <row r="59" spans="1:6" x14ac:dyDescent="0.2">
      <c r="A59" s="19"/>
    </row>
    <row r="60" spans="1:6" x14ac:dyDescent="0.2">
      <c r="A60" s="18" t="s">
        <v>512</v>
      </c>
      <c r="B60" s="89" t="s">
        <v>594</v>
      </c>
      <c r="C60" s="89"/>
      <c r="D60" s="90"/>
      <c r="E60" s="90"/>
      <c r="F60" s="91"/>
    </row>
    <row r="61" spans="1:6" x14ac:dyDescent="0.2">
      <c r="A61" s="17" t="s">
        <v>513</v>
      </c>
      <c r="B61" s="92" t="s">
        <v>609</v>
      </c>
      <c r="C61" s="93"/>
      <c r="D61" s="83"/>
      <c r="E61" s="94" t="s">
        <v>610</v>
      </c>
      <c r="F61" s="94" t="s">
        <v>611</v>
      </c>
    </row>
    <row r="62" spans="1:6" ht="15" x14ac:dyDescent="0.2">
      <c r="A62" s="70" t="s">
        <v>72</v>
      </c>
      <c r="B62">
        <f>'Issues of the Grange'!B2</f>
        <v>104.5</v>
      </c>
      <c r="E62" s="48">
        <f>'Issues of the Grange'!I2</f>
        <v>29.26</v>
      </c>
      <c r="F62" s="48">
        <f>'Issues of the Grange'!O15</f>
        <v>25.480000000000004</v>
      </c>
    </row>
    <row r="63" spans="1:6" ht="15" x14ac:dyDescent="0.2">
      <c r="A63" t="s">
        <v>593</v>
      </c>
      <c r="B63">
        <f>'Issues of the Grange'!B3</f>
        <v>41</v>
      </c>
      <c r="E63" s="48">
        <f>'Issues of the Grange'!I3</f>
        <v>6.8333333333333348</v>
      </c>
      <c r="F63" s="48">
        <f>'Issues of the Grange'!O16</f>
        <v>5.6250000000000018</v>
      </c>
    </row>
    <row r="64" spans="1:6" ht="15" x14ac:dyDescent="0.2">
      <c r="A64" t="s">
        <v>95</v>
      </c>
      <c r="B64">
        <f>'Issues of the Grange'!B4</f>
        <v>60.125</v>
      </c>
      <c r="E64" s="48">
        <f>'Issues of the Grange'!I4</f>
        <v>11.644295851528387</v>
      </c>
      <c r="F64" s="48">
        <f>'Issues of the Grange'!O17</f>
        <v>7.9161844978165954</v>
      </c>
    </row>
    <row r="65" spans="1:7" ht="15" x14ac:dyDescent="0.2">
      <c r="A65" t="s">
        <v>102</v>
      </c>
      <c r="B65">
        <f>'Issues of the Grange'!B5</f>
        <v>129.5</v>
      </c>
      <c r="E65" s="48">
        <f>'Issues of the Grange'!I5</f>
        <v>13.364913375699807</v>
      </c>
      <c r="F65" s="48">
        <f>'Issues of the Grange'!O18</f>
        <v>6.6437552012407339</v>
      </c>
    </row>
    <row r="66" spans="1:7" ht="15" x14ac:dyDescent="0.2">
      <c r="A66" t="s">
        <v>104</v>
      </c>
      <c r="B66">
        <f>'Issues of the Grange'!B6</f>
        <v>12.125</v>
      </c>
      <c r="E66" s="48">
        <f>'Issues of the Grange'!I6</f>
        <v>1.6166666666666667</v>
      </c>
      <c r="F66" s="48">
        <f>'Issues of the Grange'!O19</f>
        <v>1.6166666666666667</v>
      </c>
    </row>
    <row r="67" spans="1:7" ht="15" x14ac:dyDescent="0.2">
      <c r="A67" t="s">
        <v>106</v>
      </c>
      <c r="B67">
        <f>'Issues of the Grange'!B7</f>
        <v>2</v>
      </c>
      <c r="E67" s="48">
        <f>'Issues of the Grange'!I7</f>
        <v>0.3</v>
      </c>
      <c r="F67" s="48">
        <f>'Issues of the Grange'!O20</f>
        <v>0.3</v>
      </c>
    </row>
    <row r="68" spans="1:7" ht="15" x14ac:dyDescent="0.2">
      <c r="A68" t="s">
        <v>108</v>
      </c>
      <c r="B68">
        <f>'Issues of the Grange'!B8</f>
        <v>7.25</v>
      </c>
      <c r="E68" s="48">
        <f>'Issues of the Grange'!I8</f>
        <v>0.72500000000000009</v>
      </c>
      <c r="F68" s="48">
        <f>'Issues of the Grange'!O21</f>
        <v>0.72500000000000009</v>
      </c>
    </row>
    <row r="69" spans="1:7" x14ac:dyDescent="0.2">
      <c r="A69" s="28" t="s">
        <v>514</v>
      </c>
      <c r="B69" s="95"/>
      <c r="C69" s="96"/>
      <c r="D69" s="95"/>
      <c r="E69" s="99">
        <f>SUM(E62:E68)</f>
        <v>63.74420922722819</v>
      </c>
      <c r="F69" s="95"/>
    </row>
    <row r="70" spans="1:7" x14ac:dyDescent="0.2">
      <c r="A70" s="28" t="s">
        <v>515</v>
      </c>
      <c r="B70" s="95"/>
      <c r="C70" s="96"/>
      <c r="D70" s="95"/>
      <c r="E70" s="99">
        <f>SUM(F62:F68)</f>
        <v>48.306606365724001</v>
      </c>
      <c r="F70" s="95"/>
    </row>
    <row r="71" spans="1:7" x14ac:dyDescent="0.2">
      <c r="A71" s="28" t="s">
        <v>516</v>
      </c>
      <c r="B71" s="95"/>
      <c r="C71" s="96"/>
      <c r="D71" s="95"/>
      <c r="E71" s="99">
        <f>Receipts!F65</f>
        <v>10.36</v>
      </c>
      <c r="F71" s="95"/>
      <c r="G71" t="s">
        <v>616</v>
      </c>
    </row>
    <row r="72" spans="1:7" x14ac:dyDescent="0.2">
      <c r="A72" s="19"/>
    </row>
    <row r="73" spans="1:7" x14ac:dyDescent="0.2">
      <c r="A73" s="18" t="s">
        <v>517</v>
      </c>
    </row>
    <row r="74" spans="1:7" x14ac:dyDescent="0.2">
      <c r="A74" s="17" t="s">
        <v>518</v>
      </c>
    </row>
    <row r="75" spans="1:7" x14ac:dyDescent="0.2">
      <c r="A75" s="19" t="s">
        <v>336</v>
      </c>
    </row>
    <row r="76" spans="1:7" x14ac:dyDescent="0.2">
      <c r="A76" s="19" t="s">
        <v>338</v>
      </c>
    </row>
    <row r="77" spans="1:7" x14ac:dyDescent="0.2">
      <c r="A77" s="19" t="s">
        <v>519</v>
      </c>
    </row>
    <row r="78" spans="1:7" x14ac:dyDescent="0.2">
      <c r="A78" s="19" t="s">
        <v>520</v>
      </c>
    </row>
    <row r="79" spans="1:7" x14ac:dyDescent="0.2">
      <c r="A79" s="19" t="s">
        <v>337</v>
      </c>
    </row>
    <row r="80" spans="1:7" x14ac:dyDescent="0.2">
      <c r="A80" s="28" t="s">
        <v>521</v>
      </c>
    </row>
    <row r="81" spans="1:6" x14ac:dyDescent="0.2">
      <c r="A81" s="28" t="s">
        <v>516</v>
      </c>
    </row>
    <row r="82" spans="1:6" x14ac:dyDescent="0.2">
      <c r="A82" s="19"/>
    </row>
    <row r="83" spans="1:6" x14ac:dyDescent="0.2">
      <c r="A83" s="29" t="s">
        <v>522</v>
      </c>
      <c r="B83" s="95"/>
      <c r="C83" s="96"/>
      <c r="D83" s="95"/>
      <c r="E83" s="95"/>
      <c r="F83" s="95"/>
    </row>
    <row r="84" spans="1:6" x14ac:dyDescent="0.2">
      <c r="A84" s="30" t="s">
        <v>348</v>
      </c>
      <c r="B84" s="100" t="s">
        <v>617</v>
      </c>
      <c r="C84" s="96"/>
      <c r="D84" s="95"/>
      <c r="E84" s="95"/>
      <c r="F84" s="95"/>
    </row>
    <row r="85" spans="1:6" ht="17" x14ac:dyDescent="0.2">
      <c r="A85" s="31" t="s">
        <v>296</v>
      </c>
      <c r="B85">
        <f>Stock!R5</f>
        <v>0</v>
      </c>
    </row>
    <row r="86" spans="1:6" ht="17" x14ac:dyDescent="0.2">
      <c r="A86" s="31" t="s">
        <v>349</v>
      </c>
      <c r="B86">
        <f>Stock!R6</f>
        <v>0</v>
      </c>
    </row>
    <row r="87" spans="1:6" x14ac:dyDescent="0.2">
      <c r="A87" s="19" t="s">
        <v>350</v>
      </c>
      <c r="B87">
        <f>Stock!R7</f>
        <v>0.2</v>
      </c>
    </row>
    <row r="88" spans="1:6" x14ac:dyDescent="0.2">
      <c r="A88" s="19" t="s">
        <v>352</v>
      </c>
      <c r="B88">
        <f>Stock!R8</f>
        <v>0</v>
      </c>
    </row>
    <row r="89" spans="1:6" x14ac:dyDescent="0.2">
      <c r="A89" s="19" t="s">
        <v>352</v>
      </c>
      <c r="B89">
        <f>Stock!R9</f>
        <v>0</v>
      </c>
    </row>
    <row r="90" spans="1:6" x14ac:dyDescent="0.2">
      <c r="A90" s="19" t="s">
        <v>353</v>
      </c>
      <c r="B90">
        <f>Stock!R10</f>
        <v>0</v>
      </c>
    </row>
    <row r="91" spans="1:6" x14ac:dyDescent="0.2">
      <c r="A91" s="19" t="s">
        <v>354</v>
      </c>
      <c r="B91">
        <f>Stock!R11</f>
        <v>0</v>
      </c>
    </row>
    <row r="92" spans="1:6" x14ac:dyDescent="0.2">
      <c r="A92" s="19" t="s">
        <v>297</v>
      </c>
      <c r="B92">
        <f>Stock!R12</f>
        <v>0</v>
      </c>
    </row>
    <row r="93" spans="1:6" x14ac:dyDescent="0.2">
      <c r="A93" s="19" t="s">
        <v>355</v>
      </c>
      <c r="B93">
        <f>Stock!R13</f>
        <v>0</v>
      </c>
    </row>
    <row r="94" spans="1:6" x14ac:dyDescent="0.2">
      <c r="A94" s="19" t="s">
        <v>356</v>
      </c>
      <c r="B94">
        <f>Stock!R14</f>
        <v>0</v>
      </c>
    </row>
    <row r="95" spans="1:6" x14ac:dyDescent="0.2">
      <c r="A95" s="19" t="s">
        <v>357</v>
      </c>
      <c r="B95">
        <f>Stock!R15</f>
        <v>0</v>
      </c>
    </row>
    <row r="96" spans="1:6" x14ac:dyDescent="0.2">
      <c r="A96" s="19" t="s">
        <v>358</v>
      </c>
      <c r="B96">
        <f>Stock!R16</f>
        <v>0</v>
      </c>
    </row>
    <row r="97" spans="1:2" x14ac:dyDescent="0.2">
      <c r="A97" s="19" t="s">
        <v>359</v>
      </c>
      <c r="B97">
        <f>Stock!R17</f>
        <v>0</v>
      </c>
    </row>
    <row r="98" spans="1:2" x14ac:dyDescent="0.2">
      <c r="A98" s="19" t="s">
        <v>360</v>
      </c>
      <c r="B98">
        <f>Stock!R18</f>
        <v>0</v>
      </c>
    </row>
    <row r="99" spans="1:2" x14ac:dyDescent="0.2">
      <c r="A99" s="19" t="s">
        <v>298</v>
      </c>
      <c r="B99">
        <f>Stock!R19</f>
        <v>0.25</v>
      </c>
    </row>
    <row r="100" spans="1:2" x14ac:dyDescent="0.2">
      <c r="A100" s="19" t="s">
        <v>361</v>
      </c>
      <c r="B100">
        <f>Stock!R20</f>
        <v>0</v>
      </c>
    </row>
    <row r="101" spans="1:2" x14ac:dyDescent="0.2">
      <c r="A101" s="19" t="s">
        <v>362</v>
      </c>
      <c r="B101">
        <f>Stock!R21</f>
        <v>0</v>
      </c>
    </row>
    <row r="102" spans="1:2" x14ac:dyDescent="0.2">
      <c r="A102" s="19" t="s">
        <v>363</v>
      </c>
      <c r="B102">
        <f>Stock!R22</f>
        <v>0</v>
      </c>
    </row>
    <row r="103" spans="1:2" x14ac:dyDescent="0.2">
      <c r="A103" s="19" t="s">
        <v>299</v>
      </c>
      <c r="B103">
        <f>Stock!R23</f>
        <v>1.89</v>
      </c>
    </row>
    <row r="104" spans="1:2" x14ac:dyDescent="0.2">
      <c r="A104" s="19" t="s">
        <v>364</v>
      </c>
      <c r="B104">
        <f>Stock!R24</f>
        <v>0</v>
      </c>
    </row>
    <row r="105" spans="1:2" x14ac:dyDescent="0.2">
      <c r="A105" s="19" t="s">
        <v>365</v>
      </c>
      <c r="B105">
        <f>Stock!R25</f>
        <v>0</v>
      </c>
    </row>
    <row r="106" spans="1:2" x14ac:dyDescent="0.2">
      <c r="A106" s="19" t="s">
        <v>366</v>
      </c>
      <c r="B106">
        <f>Stock!R26</f>
        <v>0</v>
      </c>
    </row>
    <row r="107" spans="1:2" x14ac:dyDescent="0.2">
      <c r="A107" s="19" t="s">
        <v>367</v>
      </c>
      <c r="B107">
        <f>Stock!R27</f>
        <v>0</v>
      </c>
    </row>
    <row r="108" spans="1:2" x14ac:dyDescent="0.2">
      <c r="A108" s="19" t="s">
        <v>300</v>
      </c>
      <c r="B108">
        <f>Stock!R28</f>
        <v>0</v>
      </c>
    </row>
    <row r="109" spans="1:2" x14ac:dyDescent="0.2">
      <c r="A109" s="19" t="s">
        <v>368</v>
      </c>
      <c r="B109">
        <f>Stock!R29</f>
        <v>0</v>
      </c>
    </row>
    <row r="110" spans="1:2" x14ac:dyDescent="0.2">
      <c r="A110" s="19" t="s">
        <v>369</v>
      </c>
      <c r="B110">
        <f>Stock!R30</f>
        <v>0</v>
      </c>
    </row>
    <row r="111" spans="1:2" x14ac:dyDescent="0.2">
      <c r="A111" s="28" t="s">
        <v>523</v>
      </c>
      <c r="B111" s="95"/>
    </row>
    <row r="112" spans="1:2" x14ac:dyDescent="0.2">
      <c r="A112" s="28" t="s">
        <v>524</v>
      </c>
      <c r="B112" s="95"/>
    </row>
    <row r="113" spans="1:2" x14ac:dyDescent="0.2">
      <c r="A113" s="28" t="s">
        <v>516</v>
      </c>
      <c r="B113" s="95">
        <f>Stock!R31</f>
        <v>2.34</v>
      </c>
    </row>
    <row r="114" spans="1:2" x14ac:dyDescent="0.2">
      <c r="A114" s="19"/>
    </row>
    <row r="115" spans="1:2" x14ac:dyDescent="0.2">
      <c r="A115" s="18" t="s">
        <v>371</v>
      </c>
      <c r="B115" s="100" t="s">
        <v>618</v>
      </c>
    </row>
    <row r="116" spans="1:2" ht="17" x14ac:dyDescent="0.2">
      <c r="A116" s="31" t="s">
        <v>525</v>
      </c>
      <c r="B116">
        <f>Stock!T35</f>
        <v>3.6</v>
      </c>
    </row>
    <row r="117" spans="1:2" x14ac:dyDescent="0.2">
      <c r="A117" s="19" t="s">
        <v>372</v>
      </c>
      <c r="B117">
        <f>Stock!T36</f>
        <v>0</v>
      </c>
    </row>
    <row r="118" spans="1:2" x14ac:dyDescent="0.2">
      <c r="A118" s="19" t="s">
        <v>373</v>
      </c>
      <c r="B118">
        <f>Stock!T37</f>
        <v>0</v>
      </c>
    </row>
    <row r="119" spans="1:2" x14ac:dyDescent="0.2">
      <c r="A119" s="19" t="s">
        <v>374</v>
      </c>
      <c r="B119">
        <f>Stock!T38</f>
        <v>0</v>
      </c>
    </row>
    <row r="120" spans="1:2" x14ac:dyDescent="0.2">
      <c r="A120" s="19" t="s">
        <v>375</v>
      </c>
      <c r="B120">
        <f>Stock!T39</f>
        <v>0</v>
      </c>
    </row>
    <row r="121" spans="1:2" x14ac:dyDescent="0.2">
      <c r="A121" s="32" t="s">
        <v>521</v>
      </c>
      <c r="B121" s="95">
        <f>Stock!T40</f>
        <v>3.6</v>
      </c>
    </row>
    <row r="122" spans="1:2" x14ac:dyDescent="0.2">
      <c r="A122" s="32" t="s">
        <v>516</v>
      </c>
      <c r="B122" s="95">
        <f>Stock!R40</f>
        <v>0</v>
      </c>
    </row>
    <row r="123" spans="1:2" x14ac:dyDescent="0.2">
      <c r="A123" s="17"/>
    </row>
    <row r="124" spans="1:2" x14ac:dyDescent="0.2">
      <c r="A124" s="18" t="s">
        <v>377</v>
      </c>
      <c r="B124" s="100" t="s">
        <v>618</v>
      </c>
    </row>
    <row r="125" spans="1:2" x14ac:dyDescent="0.2">
      <c r="A125" s="19" t="s">
        <v>378</v>
      </c>
      <c r="B125">
        <f>Stock!T44</f>
        <v>0</v>
      </c>
    </row>
    <row r="126" spans="1:2" x14ac:dyDescent="0.2">
      <c r="A126" s="19" t="s">
        <v>526</v>
      </c>
      <c r="B126">
        <f>Stock!T45</f>
        <v>0</v>
      </c>
    </row>
    <row r="127" spans="1:2" x14ac:dyDescent="0.2">
      <c r="A127" s="19" t="s">
        <v>527</v>
      </c>
      <c r="B127">
        <f>Stock!T46</f>
        <v>0</v>
      </c>
    </row>
    <row r="128" spans="1:2" x14ac:dyDescent="0.2">
      <c r="A128" s="19" t="s">
        <v>528</v>
      </c>
      <c r="B128">
        <f>Stock!T47</f>
        <v>0</v>
      </c>
    </row>
    <row r="129" spans="1:2" x14ac:dyDescent="0.2">
      <c r="A129" s="19" t="s">
        <v>529</v>
      </c>
      <c r="B129">
        <f>Stock!T48</f>
        <v>0</v>
      </c>
    </row>
    <row r="130" spans="1:2" x14ac:dyDescent="0.2">
      <c r="A130" s="19" t="s">
        <v>530</v>
      </c>
      <c r="B130">
        <f>Stock!T49</f>
        <v>0</v>
      </c>
    </row>
    <row r="131" spans="1:2" x14ac:dyDescent="0.2">
      <c r="A131" s="33" t="s">
        <v>531</v>
      </c>
      <c r="B131">
        <f>Stock!T50</f>
        <v>0</v>
      </c>
    </row>
    <row r="132" spans="1:2" x14ac:dyDescent="0.2">
      <c r="A132" s="34" t="s">
        <v>532</v>
      </c>
      <c r="B132">
        <f>Stock!T51</f>
        <v>0</v>
      </c>
    </row>
    <row r="133" spans="1:2" x14ac:dyDescent="0.2">
      <c r="A133" s="34" t="s">
        <v>533</v>
      </c>
      <c r="B133">
        <f>Stock!T52</f>
        <v>0</v>
      </c>
    </row>
    <row r="134" spans="1:2" x14ac:dyDescent="0.2">
      <c r="A134" s="34" t="s">
        <v>534</v>
      </c>
      <c r="B134">
        <f>Stock!T53</f>
        <v>0</v>
      </c>
    </row>
    <row r="135" spans="1:2" x14ac:dyDescent="0.2">
      <c r="A135" s="34" t="s">
        <v>535</v>
      </c>
      <c r="B135">
        <f>Stock!T54</f>
        <v>0</v>
      </c>
    </row>
    <row r="136" spans="1:2" x14ac:dyDescent="0.2">
      <c r="A136" s="35" t="s">
        <v>536</v>
      </c>
      <c r="B136">
        <f>Stock!T55</f>
        <v>0</v>
      </c>
    </row>
    <row r="137" spans="1:2" x14ac:dyDescent="0.2">
      <c r="A137" s="34" t="s">
        <v>537</v>
      </c>
      <c r="B137">
        <f>Stock!T56</f>
        <v>0</v>
      </c>
    </row>
    <row r="138" spans="1:2" x14ac:dyDescent="0.2">
      <c r="A138" s="34" t="s">
        <v>538</v>
      </c>
      <c r="B138">
        <f>Stock!T57</f>
        <v>0</v>
      </c>
    </row>
    <row r="139" spans="1:2" x14ac:dyDescent="0.2">
      <c r="A139" s="34" t="s">
        <v>539</v>
      </c>
      <c r="B139">
        <f>Stock!T58</f>
        <v>0</v>
      </c>
    </row>
    <row r="140" spans="1:2" x14ac:dyDescent="0.2">
      <c r="A140" s="34" t="s">
        <v>540</v>
      </c>
      <c r="B140">
        <f>Stock!T59</f>
        <v>0</v>
      </c>
    </row>
    <row r="141" spans="1:2" x14ac:dyDescent="0.2">
      <c r="A141" s="35" t="s">
        <v>390</v>
      </c>
      <c r="B141">
        <f>Stock!T60</f>
        <v>0</v>
      </c>
    </row>
    <row r="142" spans="1:2" x14ac:dyDescent="0.2">
      <c r="A142" s="19" t="s">
        <v>541</v>
      </c>
      <c r="B142">
        <f>Stock!T61</f>
        <v>0</v>
      </c>
    </row>
    <row r="143" spans="1:2" x14ac:dyDescent="0.2">
      <c r="A143" s="19" t="s">
        <v>392</v>
      </c>
      <c r="B143">
        <f>Stock!T62</f>
        <v>0</v>
      </c>
    </row>
    <row r="144" spans="1:2" x14ac:dyDescent="0.2">
      <c r="A144" s="19" t="s">
        <v>393</v>
      </c>
      <c r="B144">
        <f>Stock!T63</f>
        <v>0</v>
      </c>
    </row>
    <row r="145" spans="1:4" x14ac:dyDescent="0.2">
      <c r="A145" s="32" t="s">
        <v>521</v>
      </c>
      <c r="B145" s="95">
        <f>Stock!T64</f>
        <v>0</v>
      </c>
    </row>
    <row r="146" spans="1:4" x14ac:dyDescent="0.2">
      <c r="A146" s="32" t="s">
        <v>516</v>
      </c>
      <c r="B146" s="95">
        <f>Stock!R64</f>
        <v>0</v>
      </c>
    </row>
    <row r="147" spans="1:4" x14ac:dyDescent="0.2">
      <c r="A147" s="19"/>
    </row>
    <row r="148" spans="1:4" x14ac:dyDescent="0.2">
      <c r="A148" s="18" t="s">
        <v>301</v>
      </c>
      <c r="B148" s="100" t="s">
        <v>618</v>
      </c>
    </row>
    <row r="149" spans="1:4" ht="17" x14ac:dyDescent="0.2">
      <c r="A149" s="31" t="s">
        <v>395</v>
      </c>
      <c r="B149" s="48">
        <f>Stock!T68</f>
        <v>0.16285714285714287</v>
      </c>
    </row>
    <row r="150" spans="1:4" x14ac:dyDescent="0.2">
      <c r="A150" s="19" t="s">
        <v>396</v>
      </c>
      <c r="B150" s="48">
        <f>Stock!T69</f>
        <v>0.33</v>
      </c>
    </row>
    <row r="151" spans="1:4" x14ac:dyDescent="0.2">
      <c r="A151" s="19" t="s">
        <v>397</v>
      </c>
      <c r="B151" s="48">
        <f>Stock!T70</f>
        <v>0</v>
      </c>
    </row>
    <row r="152" spans="1:4" x14ac:dyDescent="0.2">
      <c r="A152" s="19" t="s">
        <v>398</v>
      </c>
      <c r="B152" s="48">
        <f>Stock!T71</f>
        <v>0.33</v>
      </c>
    </row>
    <row r="153" spans="1:4" x14ac:dyDescent="0.2">
      <c r="A153" s="32" t="s">
        <v>521</v>
      </c>
      <c r="B153" s="95">
        <f>Stock!T74</f>
        <v>0.66</v>
      </c>
      <c r="D153" t="s">
        <v>619</v>
      </c>
    </row>
    <row r="154" spans="1:4" x14ac:dyDescent="0.2">
      <c r="A154" s="32" t="s">
        <v>516</v>
      </c>
      <c r="B154" s="95">
        <f>Stock!R73</f>
        <v>0.81</v>
      </c>
    </row>
    <row r="155" spans="1:4" x14ac:dyDescent="0.2">
      <c r="A155" s="19"/>
    </row>
    <row r="156" spans="1:4" x14ac:dyDescent="0.2">
      <c r="A156" s="18" t="s">
        <v>401</v>
      </c>
      <c r="B156" s="100" t="s">
        <v>618</v>
      </c>
    </row>
    <row r="157" spans="1:4" x14ac:dyDescent="0.2">
      <c r="A157" s="19" t="s">
        <v>402</v>
      </c>
      <c r="B157">
        <f>Stock!T77</f>
        <v>0</v>
      </c>
    </row>
    <row r="158" spans="1:4" x14ac:dyDescent="0.2">
      <c r="A158" s="19" t="s">
        <v>403</v>
      </c>
      <c r="B158">
        <f>Stock!T78</f>
        <v>0.15</v>
      </c>
    </row>
    <row r="159" spans="1:4" x14ac:dyDescent="0.2">
      <c r="A159" s="19" t="s">
        <v>404</v>
      </c>
      <c r="B159">
        <f>Stock!T79</f>
        <v>0</v>
      </c>
    </row>
    <row r="160" spans="1:4" x14ac:dyDescent="0.2">
      <c r="A160" s="28" t="s">
        <v>542</v>
      </c>
      <c r="B160" s="95">
        <f>Stock!T80</f>
        <v>0.15</v>
      </c>
    </row>
    <row r="161" spans="1:2" x14ac:dyDescent="0.2">
      <c r="A161" s="28" t="s">
        <v>516</v>
      </c>
      <c r="B161" s="95">
        <f>Stock!R80</f>
        <v>0.15</v>
      </c>
    </row>
    <row r="162" spans="1:2" x14ac:dyDescent="0.2">
      <c r="A162" s="19"/>
    </row>
    <row r="163" spans="1:2" x14ac:dyDescent="0.2">
      <c r="A163" s="18" t="s">
        <v>543</v>
      </c>
      <c r="B163" s="100" t="s">
        <v>618</v>
      </c>
    </row>
    <row r="164" spans="1:2" x14ac:dyDescent="0.2">
      <c r="A164" s="19" t="s">
        <v>412</v>
      </c>
    </row>
    <row r="165" spans="1:2" x14ac:dyDescent="0.2">
      <c r="A165" s="19" t="s">
        <v>544</v>
      </c>
      <c r="B165">
        <f>Stock!T90</f>
        <v>0</v>
      </c>
    </row>
    <row r="166" spans="1:2" x14ac:dyDescent="0.2">
      <c r="A166" s="19" t="s">
        <v>545</v>
      </c>
      <c r="B166">
        <f>Stock!T91</f>
        <v>0.93</v>
      </c>
    </row>
    <row r="167" spans="1:2" x14ac:dyDescent="0.2">
      <c r="A167" s="28" t="s">
        <v>521</v>
      </c>
      <c r="B167" s="95">
        <f>B166</f>
        <v>0.93</v>
      </c>
    </row>
    <row r="168" spans="1:2" x14ac:dyDescent="0.2">
      <c r="A168" s="28" t="s">
        <v>516</v>
      </c>
      <c r="B168" s="95">
        <f>Stock!R92</f>
        <v>0.93</v>
      </c>
    </row>
    <row r="169" spans="1:2" x14ac:dyDescent="0.2">
      <c r="A169" s="19"/>
    </row>
    <row r="170" spans="1:2" x14ac:dyDescent="0.2">
      <c r="A170" s="19"/>
    </row>
    <row r="171" spans="1:2" ht="17" thickBot="1" x14ac:dyDescent="0.25"/>
    <row r="172" spans="1:2" ht="17" thickBot="1" x14ac:dyDescent="0.25">
      <c r="A172" s="36"/>
      <c r="B172" s="104"/>
    </row>
    <row r="173" spans="1:2" x14ac:dyDescent="0.2">
      <c r="A173" s="37" t="s">
        <v>546</v>
      </c>
      <c r="B173" s="105">
        <f>B167+B160+B153+B145+B121+B113+E70</f>
        <v>55.986606365724001</v>
      </c>
    </row>
    <row r="174" spans="1:2" x14ac:dyDescent="0.2">
      <c r="A174" s="38" t="s">
        <v>547</v>
      </c>
      <c r="B174" s="105">
        <f>B168+B161+B154+B146+B122+B113+E71</f>
        <v>14.59</v>
      </c>
    </row>
    <row r="175" spans="1:2" x14ac:dyDescent="0.2">
      <c r="A175" s="38" t="s">
        <v>548</v>
      </c>
      <c r="B175" s="105">
        <f>Receipts!F65+Receipts!F59</f>
        <v>19.32</v>
      </c>
    </row>
    <row r="176" spans="1:2" x14ac:dyDescent="0.2">
      <c r="A176" s="38" t="s">
        <v>549</v>
      </c>
      <c r="B176" s="105">
        <f>B173+Receipts!F22+Receipts!F26+Receipts!F30+Receipts!F93+Receipts!F96</f>
        <v>63.316606365723999</v>
      </c>
    </row>
    <row r="177" spans="1:2" x14ac:dyDescent="0.2">
      <c r="A177" s="39"/>
      <c r="B177" s="102"/>
    </row>
    <row r="178" spans="1:2" x14ac:dyDescent="0.2">
      <c r="A178" s="40" t="s">
        <v>550</v>
      </c>
      <c r="B178" s="106">
        <f>B47/B173</f>
        <v>8.9236372607240808E-2</v>
      </c>
    </row>
    <row r="179" spans="1:2" x14ac:dyDescent="0.2">
      <c r="A179" s="38" t="s">
        <v>551</v>
      </c>
      <c r="B179" s="106">
        <f>B47/B176</f>
        <v>7.8905708208822117E-2</v>
      </c>
    </row>
    <row r="180" spans="1:2" x14ac:dyDescent="0.2">
      <c r="A180" s="39"/>
      <c r="B180" s="102"/>
    </row>
    <row r="181" spans="1:2" ht="17" thickBot="1" x14ac:dyDescent="0.25">
      <c r="A181" s="41" t="s">
        <v>552</v>
      </c>
      <c r="B181" s="103"/>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4"/>
  <sheetViews>
    <sheetView workbookViewId="0">
      <pane xSplit="1" ySplit="2" topLeftCell="B76" activePane="bottomRight" state="frozen"/>
      <selection pane="topRight" activeCell="B1" sqref="B1"/>
      <selection pane="bottomLeft" activeCell="A3" sqref="A3"/>
      <selection pane="bottomRight" activeCell="A88" sqref="A88"/>
    </sheetView>
  </sheetViews>
  <sheetFormatPr baseColWidth="10" defaultColWidth="8.83203125" defaultRowHeight="15" x14ac:dyDescent="0.2"/>
  <cols>
    <col min="1" max="1" width="32.83203125" bestFit="1" customWidth="1"/>
    <col min="2" max="2" width="10.83203125" customWidth="1"/>
    <col min="6" max="6" width="8.83203125" style="48"/>
    <col min="7" max="7" width="8.83203125" style="49"/>
  </cols>
  <sheetData>
    <row r="1" spans="1:8" ht="16" x14ac:dyDescent="0.2">
      <c r="A1" s="2" t="s">
        <v>555</v>
      </c>
    </row>
    <row r="2" spans="1:8" ht="16" x14ac:dyDescent="0.2">
      <c r="A2" s="44" t="s">
        <v>0</v>
      </c>
      <c r="B2" s="45" t="s">
        <v>556</v>
      </c>
      <c r="C2" s="46" t="s">
        <v>557</v>
      </c>
      <c r="D2" s="46" t="s">
        <v>558</v>
      </c>
      <c r="E2" s="46"/>
      <c r="F2" s="50" t="s">
        <v>553</v>
      </c>
      <c r="G2" s="51" t="s">
        <v>283</v>
      </c>
      <c r="H2" s="47" t="s">
        <v>559</v>
      </c>
    </row>
    <row r="3" spans="1:8" x14ac:dyDescent="0.2">
      <c r="A3" t="s">
        <v>40</v>
      </c>
      <c r="B3">
        <v>81</v>
      </c>
      <c r="C3">
        <v>6</v>
      </c>
      <c r="D3">
        <v>8.25</v>
      </c>
      <c r="F3" s="48">
        <v>81.33</v>
      </c>
      <c r="H3" t="s">
        <v>41</v>
      </c>
    </row>
    <row r="4" spans="1:8" x14ac:dyDescent="0.2">
      <c r="A4" t="s">
        <v>40</v>
      </c>
      <c r="B4">
        <v>0</v>
      </c>
      <c r="C4">
        <v>0</v>
      </c>
      <c r="D4">
        <v>0</v>
      </c>
      <c r="F4" s="48">
        <v>0</v>
      </c>
      <c r="H4" t="s">
        <v>42</v>
      </c>
    </row>
    <row r="5" spans="1:8" x14ac:dyDescent="0.2">
      <c r="A5" t="s">
        <v>40</v>
      </c>
      <c r="B5">
        <v>0</v>
      </c>
      <c r="C5">
        <v>0</v>
      </c>
      <c r="D5">
        <v>0</v>
      </c>
      <c r="F5" s="48">
        <v>0</v>
      </c>
      <c r="H5" t="s">
        <v>43</v>
      </c>
    </row>
    <row r="6" spans="1:8" x14ac:dyDescent="0.2">
      <c r="A6" t="s">
        <v>40</v>
      </c>
      <c r="F6" s="48">
        <v>81.33</v>
      </c>
      <c r="G6" s="49">
        <f>F6-F3</f>
        <v>0</v>
      </c>
      <c r="H6" t="s">
        <v>284</v>
      </c>
    </row>
    <row r="8" spans="1:8" x14ac:dyDescent="0.2">
      <c r="A8" t="s">
        <v>44</v>
      </c>
      <c r="B8">
        <v>1</v>
      </c>
      <c r="C8">
        <v>5</v>
      </c>
      <c r="D8">
        <v>0</v>
      </c>
      <c r="F8" s="48">
        <v>1.25</v>
      </c>
      <c r="H8" t="s">
        <v>45</v>
      </c>
    </row>
    <row r="9" spans="1:8" x14ac:dyDescent="0.2">
      <c r="A9" t="s">
        <v>44</v>
      </c>
      <c r="B9">
        <v>1</v>
      </c>
      <c r="C9">
        <v>5</v>
      </c>
      <c r="D9">
        <v>0</v>
      </c>
      <c r="F9" s="48">
        <v>1.25</v>
      </c>
      <c r="H9" t="s">
        <v>46</v>
      </c>
    </row>
    <row r="10" spans="1:8" x14ac:dyDescent="0.2">
      <c r="A10" t="s">
        <v>44</v>
      </c>
      <c r="B10">
        <v>1</v>
      </c>
      <c r="C10">
        <v>5</v>
      </c>
      <c r="D10">
        <v>0</v>
      </c>
      <c r="F10" s="48">
        <v>1.25</v>
      </c>
      <c r="H10" t="s">
        <v>47</v>
      </c>
    </row>
    <row r="11" spans="1:8" x14ac:dyDescent="0.2">
      <c r="A11" t="s">
        <v>44</v>
      </c>
      <c r="B11">
        <v>1</v>
      </c>
      <c r="C11">
        <v>8</v>
      </c>
      <c r="D11">
        <v>0.5</v>
      </c>
      <c r="F11" s="48">
        <v>1.4</v>
      </c>
      <c r="H11" t="s">
        <v>48</v>
      </c>
    </row>
    <row r="12" spans="1:8" x14ac:dyDescent="0.2">
      <c r="A12" t="s">
        <v>44</v>
      </c>
      <c r="B12">
        <v>5</v>
      </c>
      <c r="C12">
        <v>3</v>
      </c>
      <c r="D12">
        <v>0.5</v>
      </c>
      <c r="F12" s="48">
        <v>5.15</v>
      </c>
      <c r="H12" t="s">
        <v>49</v>
      </c>
    </row>
    <row r="13" spans="1:8" x14ac:dyDescent="0.2">
      <c r="A13" t="s">
        <v>44</v>
      </c>
      <c r="F13" s="48">
        <v>5.15</v>
      </c>
      <c r="G13" s="49">
        <v>0</v>
      </c>
      <c r="H13" t="s">
        <v>284</v>
      </c>
    </row>
    <row r="15" spans="1:8" x14ac:dyDescent="0.2">
      <c r="A15" t="s">
        <v>50</v>
      </c>
      <c r="B15">
        <v>0</v>
      </c>
      <c r="C15">
        <v>3</v>
      </c>
      <c r="D15">
        <v>0</v>
      </c>
      <c r="F15" s="48">
        <v>0.15</v>
      </c>
      <c r="H15" t="s">
        <v>51</v>
      </c>
    </row>
    <row r="16" spans="1:8" x14ac:dyDescent="0.2">
      <c r="A16" t="s">
        <v>50</v>
      </c>
      <c r="B16">
        <v>0</v>
      </c>
      <c r="C16">
        <v>2</v>
      </c>
      <c r="D16">
        <v>6</v>
      </c>
      <c r="F16" s="48">
        <v>0.12</v>
      </c>
      <c r="H16" t="s">
        <v>52</v>
      </c>
    </row>
    <row r="17" spans="1:8" x14ac:dyDescent="0.2">
      <c r="A17" t="s">
        <v>50</v>
      </c>
      <c r="B17">
        <v>0</v>
      </c>
      <c r="C17">
        <v>2</v>
      </c>
      <c r="D17">
        <v>6</v>
      </c>
      <c r="F17" s="48">
        <v>0.12</v>
      </c>
      <c r="H17" t="s">
        <v>560</v>
      </c>
    </row>
    <row r="18" spans="1:8" x14ac:dyDescent="0.2">
      <c r="A18" t="s">
        <v>50</v>
      </c>
      <c r="B18">
        <v>0</v>
      </c>
      <c r="C18">
        <v>8</v>
      </c>
      <c r="D18">
        <v>0</v>
      </c>
      <c r="F18" s="48">
        <f>B18+C18/20+D18/240</f>
        <v>0.4</v>
      </c>
      <c r="H18" t="s">
        <v>561</v>
      </c>
    </row>
    <row r="19" spans="1:8" x14ac:dyDescent="0.2">
      <c r="A19" t="s">
        <v>50</v>
      </c>
      <c r="F19" s="48">
        <f>SUM(F15:F17)</f>
        <v>0.39</v>
      </c>
      <c r="G19" s="49">
        <f>F19-F18</f>
        <v>-1.0000000000000009E-2</v>
      </c>
      <c r="H19" t="s">
        <v>284</v>
      </c>
    </row>
    <row r="21" spans="1:8" x14ac:dyDescent="0.2">
      <c r="A21" t="s">
        <v>54</v>
      </c>
      <c r="B21">
        <v>4</v>
      </c>
      <c r="C21">
        <v>15</v>
      </c>
      <c r="D21">
        <v>0</v>
      </c>
      <c r="F21" s="48">
        <v>4.75</v>
      </c>
      <c r="H21" t="s">
        <v>55</v>
      </c>
    </row>
    <row r="22" spans="1:8" x14ac:dyDescent="0.2">
      <c r="A22" t="s">
        <v>54</v>
      </c>
      <c r="F22" s="48">
        <v>4.75</v>
      </c>
      <c r="G22" s="49">
        <f>F22-F21</f>
        <v>0</v>
      </c>
      <c r="H22" t="s">
        <v>284</v>
      </c>
    </row>
    <row r="24" spans="1:8" x14ac:dyDescent="0.2">
      <c r="A24" t="s">
        <v>56</v>
      </c>
      <c r="B24">
        <v>0</v>
      </c>
      <c r="C24">
        <v>0</v>
      </c>
      <c r="D24">
        <v>0</v>
      </c>
      <c r="F24" s="48">
        <v>0</v>
      </c>
      <c r="H24" t="s">
        <v>57</v>
      </c>
    </row>
    <row r="25" spans="1:8" x14ac:dyDescent="0.2">
      <c r="A25" t="s">
        <v>56</v>
      </c>
      <c r="B25">
        <v>0</v>
      </c>
      <c r="C25">
        <v>0</v>
      </c>
      <c r="D25">
        <v>0</v>
      </c>
      <c r="F25" s="48">
        <v>0</v>
      </c>
      <c r="H25" t="s">
        <v>58</v>
      </c>
    </row>
    <row r="26" spans="1:8" x14ac:dyDescent="0.2">
      <c r="A26" t="s">
        <v>56</v>
      </c>
      <c r="F26" s="48">
        <v>0</v>
      </c>
      <c r="G26" s="49">
        <v>0</v>
      </c>
      <c r="H26" t="s">
        <v>284</v>
      </c>
    </row>
    <row r="28" spans="1:8" x14ac:dyDescent="0.2">
      <c r="A28" t="s">
        <v>59</v>
      </c>
      <c r="B28">
        <v>0</v>
      </c>
      <c r="C28">
        <v>0</v>
      </c>
      <c r="D28">
        <v>3</v>
      </c>
      <c r="F28" s="48">
        <v>0.01</v>
      </c>
      <c r="H28" t="s">
        <v>60</v>
      </c>
    </row>
    <row r="29" spans="1:8" x14ac:dyDescent="0.2">
      <c r="A29" t="s">
        <v>59</v>
      </c>
      <c r="B29">
        <v>0</v>
      </c>
      <c r="C29">
        <v>0</v>
      </c>
      <c r="D29">
        <v>3</v>
      </c>
      <c r="F29" s="48">
        <v>0.01</v>
      </c>
      <c r="H29" t="s">
        <v>61</v>
      </c>
    </row>
    <row r="30" spans="1:8" x14ac:dyDescent="0.2">
      <c r="A30" t="s">
        <v>59</v>
      </c>
      <c r="F30" s="48">
        <v>0.01</v>
      </c>
      <c r="G30" s="49">
        <v>0</v>
      </c>
      <c r="H30" t="s">
        <v>284</v>
      </c>
    </row>
    <row r="32" spans="1:8" x14ac:dyDescent="0.2">
      <c r="A32" t="s">
        <v>62</v>
      </c>
      <c r="B32">
        <v>0</v>
      </c>
      <c r="C32">
        <v>14</v>
      </c>
      <c r="D32">
        <v>5.25</v>
      </c>
      <c r="F32">
        <v>0.72</v>
      </c>
      <c r="H32" t="s">
        <v>63</v>
      </c>
    </row>
    <row r="33" spans="1:8" x14ac:dyDescent="0.2">
      <c r="A33" t="s">
        <v>62</v>
      </c>
      <c r="B33">
        <v>0</v>
      </c>
      <c r="C33">
        <v>14</v>
      </c>
      <c r="D33">
        <v>3.5</v>
      </c>
      <c r="F33">
        <v>0.71</v>
      </c>
      <c r="H33" t="s">
        <v>64</v>
      </c>
    </row>
    <row r="34" spans="1:8" x14ac:dyDescent="0.2">
      <c r="A34" t="s">
        <v>62</v>
      </c>
      <c r="B34">
        <v>0</v>
      </c>
      <c r="C34">
        <v>0</v>
      </c>
      <c r="D34">
        <v>0</v>
      </c>
      <c r="F34">
        <v>0</v>
      </c>
      <c r="H34" t="s">
        <v>65</v>
      </c>
    </row>
    <row r="35" spans="1:8" x14ac:dyDescent="0.2">
      <c r="A35" t="s">
        <v>62</v>
      </c>
      <c r="B35">
        <v>0</v>
      </c>
      <c r="C35">
        <v>2</v>
      </c>
      <c r="D35">
        <v>3</v>
      </c>
      <c r="F35">
        <v>0.11</v>
      </c>
      <c r="H35" t="s">
        <v>66</v>
      </c>
    </row>
    <row r="36" spans="1:8" x14ac:dyDescent="0.2">
      <c r="A36" t="s">
        <v>62</v>
      </c>
      <c r="B36">
        <v>0</v>
      </c>
      <c r="C36">
        <v>18</v>
      </c>
      <c r="D36">
        <v>7.5</v>
      </c>
      <c r="F36">
        <v>0.93</v>
      </c>
      <c r="H36" t="s">
        <v>67</v>
      </c>
    </row>
    <row r="37" spans="1:8" x14ac:dyDescent="0.2">
      <c r="A37" t="s">
        <v>62</v>
      </c>
      <c r="B37">
        <v>0</v>
      </c>
      <c r="C37">
        <v>2</v>
      </c>
      <c r="D37">
        <v>0</v>
      </c>
      <c r="F37">
        <v>0.1</v>
      </c>
      <c r="H37" t="s">
        <v>68</v>
      </c>
    </row>
    <row r="38" spans="1:8" x14ac:dyDescent="0.2">
      <c r="A38" t="s">
        <v>62</v>
      </c>
      <c r="B38">
        <v>0</v>
      </c>
      <c r="C38">
        <v>6</v>
      </c>
      <c r="D38">
        <v>8</v>
      </c>
      <c r="F38">
        <v>0.33</v>
      </c>
      <c r="H38" t="s">
        <v>69</v>
      </c>
    </row>
    <row r="39" spans="1:8" x14ac:dyDescent="0.2">
      <c r="A39" t="s">
        <v>62</v>
      </c>
      <c r="B39">
        <v>0</v>
      </c>
      <c r="C39">
        <v>6</v>
      </c>
      <c r="D39">
        <v>6</v>
      </c>
      <c r="F39">
        <v>0.33</v>
      </c>
      <c r="H39" t="s">
        <v>70</v>
      </c>
    </row>
    <row r="40" spans="1:8" x14ac:dyDescent="0.2">
      <c r="A40" t="s">
        <v>62</v>
      </c>
      <c r="B40">
        <v>0</v>
      </c>
      <c r="C40">
        <v>1</v>
      </c>
      <c r="D40">
        <v>0</v>
      </c>
      <c r="F40">
        <v>0.05</v>
      </c>
      <c r="H40" t="s">
        <v>71</v>
      </c>
    </row>
    <row r="41" spans="1:8" x14ac:dyDescent="0.2">
      <c r="A41" t="s">
        <v>62</v>
      </c>
      <c r="B41">
        <v>0</v>
      </c>
      <c r="C41">
        <v>3</v>
      </c>
      <c r="D41">
        <v>0</v>
      </c>
      <c r="F41">
        <v>0.15</v>
      </c>
      <c r="H41" t="s">
        <v>73</v>
      </c>
    </row>
    <row r="42" spans="1:8" x14ac:dyDescent="0.2">
      <c r="A42" t="s">
        <v>62</v>
      </c>
      <c r="B42">
        <v>0</v>
      </c>
      <c r="C42">
        <v>0</v>
      </c>
      <c r="D42">
        <v>0</v>
      </c>
      <c r="F42">
        <v>0</v>
      </c>
      <c r="H42" t="s">
        <v>74</v>
      </c>
    </row>
    <row r="43" spans="1:8" x14ac:dyDescent="0.2">
      <c r="A43" t="s">
        <v>62</v>
      </c>
      <c r="B43">
        <v>0</v>
      </c>
      <c r="C43">
        <v>1</v>
      </c>
      <c r="D43">
        <v>0</v>
      </c>
      <c r="F43">
        <v>0.05</v>
      </c>
      <c r="H43" t="s">
        <v>75</v>
      </c>
    </row>
    <row r="44" spans="1:8" x14ac:dyDescent="0.2">
      <c r="A44" t="s">
        <v>62</v>
      </c>
      <c r="B44">
        <v>0</v>
      </c>
      <c r="C44">
        <v>1</v>
      </c>
      <c r="D44">
        <v>0</v>
      </c>
      <c r="F44">
        <v>0.05</v>
      </c>
      <c r="H44" t="s">
        <v>76</v>
      </c>
    </row>
    <row r="45" spans="1:8" x14ac:dyDescent="0.2">
      <c r="A45" t="s">
        <v>62</v>
      </c>
      <c r="B45">
        <v>0</v>
      </c>
      <c r="C45">
        <v>0</v>
      </c>
      <c r="D45">
        <v>0</v>
      </c>
      <c r="F45">
        <v>0</v>
      </c>
      <c r="H45" t="s">
        <v>77</v>
      </c>
    </row>
    <row r="46" spans="1:8" x14ac:dyDescent="0.2">
      <c r="A46" t="s">
        <v>62</v>
      </c>
      <c r="B46">
        <v>0</v>
      </c>
      <c r="C46">
        <v>2</v>
      </c>
      <c r="D46">
        <v>0</v>
      </c>
      <c r="F46">
        <v>0.1</v>
      </c>
      <c r="H46" t="s">
        <v>78</v>
      </c>
    </row>
    <row r="47" spans="1:8" x14ac:dyDescent="0.2">
      <c r="A47" t="s">
        <v>62</v>
      </c>
      <c r="B47">
        <v>0</v>
      </c>
      <c r="C47">
        <v>3</v>
      </c>
      <c r="D47">
        <v>6</v>
      </c>
      <c r="F47">
        <v>0.17</v>
      </c>
      <c r="H47" t="s">
        <v>79</v>
      </c>
    </row>
    <row r="48" spans="1:8" x14ac:dyDescent="0.2">
      <c r="A48" t="s">
        <v>62</v>
      </c>
      <c r="B48">
        <v>0</v>
      </c>
      <c r="C48">
        <v>4</v>
      </c>
      <c r="D48">
        <v>0</v>
      </c>
      <c r="F48">
        <v>0.2</v>
      </c>
      <c r="H48" t="s">
        <v>80</v>
      </c>
    </row>
    <row r="49" spans="1:8" x14ac:dyDescent="0.2">
      <c r="A49" t="s">
        <v>62</v>
      </c>
      <c r="B49">
        <v>0</v>
      </c>
      <c r="C49">
        <v>5</v>
      </c>
      <c r="D49">
        <v>0</v>
      </c>
      <c r="F49">
        <v>0.25</v>
      </c>
      <c r="H49" t="s">
        <v>81</v>
      </c>
    </row>
    <row r="50" spans="1:8" x14ac:dyDescent="0.2">
      <c r="A50" t="s">
        <v>62</v>
      </c>
      <c r="B50">
        <v>1</v>
      </c>
      <c r="C50">
        <v>17</v>
      </c>
      <c r="D50">
        <v>9</v>
      </c>
      <c r="F50">
        <v>1.89</v>
      </c>
      <c r="H50" t="s">
        <v>82</v>
      </c>
    </row>
    <row r="51" spans="1:8" x14ac:dyDescent="0.2">
      <c r="A51" t="s">
        <v>62</v>
      </c>
      <c r="B51">
        <v>0</v>
      </c>
      <c r="C51">
        <v>0</v>
      </c>
      <c r="D51">
        <v>0</v>
      </c>
      <c r="F51">
        <v>0</v>
      </c>
      <c r="H51" t="s">
        <v>83</v>
      </c>
    </row>
    <row r="52" spans="1:8" x14ac:dyDescent="0.2">
      <c r="A52" t="s">
        <v>62</v>
      </c>
      <c r="B52">
        <v>0</v>
      </c>
      <c r="C52">
        <v>5</v>
      </c>
      <c r="D52">
        <v>3</v>
      </c>
      <c r="F52">
        <v>0.26</v>
      </c>
      <c r="H52" t="s">
        <v>84</v>
      </c>
    </row>
    <row r="53" spans="1:8" x14ac:dyDescent="0.2">
      <c r="A53" t="s">
        <v>62</v>
      </c>
      <c r="B53">
        <v>0</v>
      </c>
      <c r="C53">
        <v>2</v>
      </c>
      <c r="D53">
        <v>7.5</v>
      </c>
      <c r="F53">
        <v>0.13</v>
      </c>
      <c r="H53" t="s">
        <v>85</v>
      </c>
    </row>
    <row r="54" spans="1:8" x14ac:dyDescent="0.2">
      <c r="A54" t="s">
        <v>62</v>
      </c>
      <c r="B54">
        <v>0</v>
      </c>
      <c r="C54">
        <v>0</v>
      </c>
      <c r="D54">
        <v>0</v>
      </c>
      <c r="F54">
        <v>0</v>
      </c>
      <c r="H54" t="s">
        <v>86</v>
      </c>
    </row>
    <row r="55" spans="1:8" x14ac:dyDescent="0.2">
      <c r="A55" t="s">
        <v>62</v>
      </c>
      <c r="B55">
        <v>2</v>
      </c>
      <c r="C55">
        <v>5</v>
      </c>
      <c r="D55">
        <v>0</v>
      </c>
      <c r="F55">
        <v>2.25</v>
      </c>
      <c r="H55" t="s">
        <v>87</v>
      </c>
    </row>
    <row r="56" spans="1:8" x14ac:dyDescent="0.2">
      <c r="A56" t="s">
        <v>62</v>
      </c>
      <c r="B56">
        <v>0</v>
      </c>
      <c r="C56">
        <v>2</v>
      </c>
      <c r="D56">
        <v>11</v>
      </c>
      <c r="F56">
        <v>0.15</v>
      </c>
      <c r="H56" t="s">
        <v>88</v>
      </c>
    </row>
    <row r="57" spans="1:8" x14ac:dyDescent="0.2">
      <c r="A57" t="s">
        <v>62</v>
      </c>
      <c r="B57">
        <v>0</v>
      </c>
      <c r="C57">
        <v>0</v>
      </c>
      <c r="D57">
        <v>8</v>
      </c>
      <c r="F57">
        <v>0.03</v>
      </c>
      <c r="H57" t="s">
        <v>89</v>
      </c>
    </row>
    <row r="58" spans="1:8" x14ac:dyDescent="0.2">
      <c r="A58" t="s">
        <v>62</v>
      </c>
      <c r="B58">
        <v>8</v>
      </c>
      <c r="C58">
        <v>19</v>
      </c>
      <c r="D58">
        <v>2.75</v>
      </c>
      <c r="F58">
        <v>8.9600000000000009</v>
      </c>
      <c r="H58" t="s">
        <v>90</v>
      </c>
    </row>
    <row r="59" spans="1:8" x14ac:dyDescent="0.2">
      <c r="A59" t="s">
        <v>62</v>
      </c>
      <c r="F59" s="48">
        <f>SUM(F32:F57)</f>
        <v>8.9599999999999991</v>
      </c>
      <c r="G59" s="49">
        <f>F59-F58</f>
        <v>0</v>
      </c>
      <c r="H59" t="s">
        <v>284</v>
      </c>
    </row>
    <row r="61" spans="1:8" x14ac:dyDescent="0.2">
      <c r="A61" t="s">
        <v>91</v>
      </c>
      <c r="B61">
        <v>7</v>
      </c>
      <c r="C61">
        <v>4</v>
      </c>
      <c r="D61">
        <v>5.5</v>
      </c>
      <c r="F61" s="48">
        <v>7.22</v>
      </c>
      <c r="H61" t="s">
        <v>285</v>
      </c>
    </row>
    <row r="62" spans="1:8" x14ac:dyDescent="0.2">
      <c r="A62" t="s">
        <v>91</v>
      </c>
      <c r="B62">
        <v>2</v>
      </c>
      <c r="C62">
        <v>12</v>
      </c>
      <c r="D62">
        <v>10.5</v>
      </c>
      <c r="F62" s="48">
        <v>2.64</v>
      </c>
      <c r="H62" t="s">
        <v>286</v>
      </c>
    </row>
    <row r="63" spans="1:8" x14ac:dyDescent="0.2">
      <c r="A63" t="s">
        <v>91</v>
      </c>
      <c r="B63">
        <v>0</v>
      </c>
      <c r="C63">
        <v>10</v>
      </c>
      <c r="D63">
        <v>0</v>
      </c>
      <c r="F63" s="48">
        <v>0.5</v>
      </c>
      <c r="H63" t="s">
        <v>287</v>
      </c>
    </row>
    <row r="64" spans="1:8" x14ac:dyDescent="0.2">
      <c r="A64" t="s">
        <v>91</v>
      </c>
      <c r="B64">
        <v>10</v>
      </c>
      <c r="C64">
        <v>7</v>
      </c>
      <c r="D64">
        <v>4</v>
      </c>
      <c r="F64" s="48">
        <v>10.37</v>
      </c>
      <c r="H64" t="s">
        <v>96</v>
      </c>
    </row>
    <row r="65" spans="1:8" x14ac:dyDescent="0.2">
      <c r="A65" t="s">
        <v>91</v>
      </c>
      <c r="F65" s="48">
        <v>10.36</v>
      </c>
      <c r="G65" s="49">
        <v>-9.9999999999997868E-3</v>
      </c>
      <c r="H65" t="s">
        <v>284</v>
      </c>
    </row>
    <row r="67" spans="1:8" x14ac:dyDescent="0.2">
      <c r="A67" t="s">
        <v>97</v>
      </c>
      <c r="B67">
        <v>20</v>
      </c>
      <c r="C67">
        <v>3</v>
      </c>
      <c r="D67">
        <v>7.5</v>
      </c>
      <c r="F67" s="48">
        <v>20.18</v>
      </c>
      <c r="H67" t="s">
        <v>288</v>
      </c>
    </row>
    <row r="68" spans="1:8" x14ac:dyDescent="0.2">
      <c r="A68" t="s">
        <v>97</v>
      </c>
      <c r="B68">
        <v>1</v>
      </c>
      <c r="C68">
        <v>19</v>
      </c>
      <c r="D68">
        <v>7</v>
      </c>
      <c r="F68" s="48">
        <v>1.98</v>
      </c>
      <c r="H68" t="s">
        <v>289</v>
      </c>
    </row>
    <row r="69" spans="1:8" x14ac:dyDescent="0.2">
      <c r="A69" t="s">
        <v>97</v>
      </c>
      <c r="B69">
        <v>7</v>
      </c>
      <c r="C69">
        <v>13</v>
      </c>
      <c r="D69">
        <v>6</v>
      </c>
      <c r="F69" s="48">
        <v>7.68</v>
      </c>
      <c r="H69" t="s">
        <v>290</v>
      </c>
    </row>
    <row r="70" spans="1:8" x14ac:dyDescent="0.2">
      <c r="A70" t="s">
        <v>97</v>
      </c>
      <c r="B70">
        <v>5</v>
      </c>
      <c r="C70">
        <v>18</v>
      </c>
      <c r="D70">
        <v>1.5</v>
      </c>
      <c r="F70" s="48">
        <v>5.91</v>
      </c>
      <c r="H70" t="s">
        <v>291</v>
      </c>
    </row>
    <row r="71" spans="1:8" x14ac:dyDescent="0.2">
      <c r="A71" t="s">
        <v>97</v>
      </c>
      <c r="B71">
        <v>1</v>
      </c>
      <c r="C71">
        <v>12</v>
      </c>
      <c r="D71">
        <v>4</v>
      </c>
      <c r="F71" s="48">
        <v>1.62</v>
      </c>
      <c r="H71" t="s">
        <v>292</v>
      </c>
    </row>
    <row r="72" spans="1:8" x14ac:dyDescent="0.2">
      <c r="A72" t="s">
        <v>97</v>
      </c>
      <c r="B72">
        <v>0</v>
      </c>
      <c r="C72">
        <v>4</v>
      </c>
      <c r="D72">
        <v>0</v>
      </c>
      <c r="F72" s="48">
        <v>0.2</v>
      </c>
      <c r="H72" t="s">
        <v>105</v>
      </c>
    </row>
    <row r="73" spans="1:8" x14ac:dyDescent="0.2">
      <c r="A73" t="s">
        <v>97</v>
      </c>
      <c r="B73">
        <v>0</v>
      </c>
      <c r="C73">
        <v>12</v>
      </c>
      <c r="D73">
        <v>1</v>
      </c>
      <c r="F73" s="48">
        <v>0.6</v>
      </c>
      <c r="H73" t="s">
        <v>293</v>
      </c>
    </row>
    <row r="74" spans="1:8" x14ac:dyDescent="0.2">
      <c r="A74" t="s">
        <v>97</v>
      </c>
      <c r="B74">
        <v>38</v>
      </c>
      <c r="C74">
        <v>3</v>
      </c>
      <c r="D74">
        <v>4</v>
      </c>
      <c r="F74" s="48">
        <v>38.17</v>
      </c>
      <c r="H74" t="s">
        <v>109</v>
      </c>
    </row>
    <row r="75" spans="1:8" x14ac:dyDescent="0.2">
      <c r="A75" t="s">
        <v>97</v>
      </c>
      <c r="F75" s="48">
        <v>38.17</v>
      </c>
      <c r="G75" s="49">
        <v>0</v>
      </c>
      <c r="H75" t="s">
        <v>284</v>
      </c>
    </row>
    <row r="77" spans="1:8" x14ac:dyDescent="0.2">
      <c r="A77" t="s">
        <v>110</v>
      </c>
      <c r="B77">
        <v>38</v>
      </c>
      <c r="C77">
        <v>0</v>
      </c>
      <c r="D77">
        <v>0</v>
      </c>
      <c r="F77" s="48">
        <v>38</v>
      </c>
      <c r="H77" t="s">
        <v>111</v>
      </c>
    </row>
    <row r="78" spans="1:8" x14ac:dyDescent="0.2">
      <c r="A78" t="s">
        <v>110</v>
      </c>
      <c r="B78">
        <v>38</v>
      </c>
      <c r="C78">
        <v>0</v>
      </c>
      <c r="D78">
        <v>0</v>
      </c>
      <c r="F78" s="48">
        <v>38</v>
      </c>
      <c r="H78" t="s">
        <v>112</v>
      </c>
    </row>
    <row r="79" spans="1:8" x14ac:dyDescent="0.2">
      <c r="A79" t="s">
        <v>110</v>
      </c>
      <c r="F79" s="48">
        <v>38</v>
      </c>
      <c r="G79" s="49">
        <v>0</v>
      </c>
      <c r="H79" t="s">
        <v>284</v>
      </c>
    </row>
    <row r="81" spans="1:8" x14ac:dyDescent="0.2">
      <c r="A81" t="s">
        <v>113</v>
      </c>
      <c r="B81">
        <v>0</v>
      </c>
      <c r="C81">
        <v>14</v>
      </c>
      <c r="D81">
        <v>0</v>
      </c>
      <c r="F81" s="48">
        <v>0.7</v>
      </c>
      <c r="H81" t="s">
        <v>114</v>
      </c>
    </row>
    <row r="82" spans="1:8" x14ac:dyDescent="0.2">
      <c r="A82" t="s">
        <v>113</v>
      </c>
      <c r="B82">
        <v>1</v>
      </c>
      <c r="C82">
        <v>0</v>
      </c>
      <c r="D82">
        <v>0</v>
      </c>
      <c r="F82" s="48">
        <v>1</v>
      </c>
      <c r="H82" t="s">
        <v>115</v>
      </c>
    </row>
    <row r="83" spans="1:8" x14ac:dyDescent="0.2">
      <c r="A83" t="s">
        <v>113</v>
      </c>
      <c r="B83">
        <v>0</v>
      </c>
      <c r="C83">
        <v>7</v>
      </c>
      <c r="D83">
        <v>0</v>
      </c>
      <c r="F83">
        <f>B83+C83/20+D83/240</f>
        <v>0.35</v>
      </c>
      <c r="H83" t="s">
        <v>562</v>
      </c>
    </row>
    <row r="84" spans="1:8" x14ac:dyDescent="0.2">
      <c r="A84" t="s">
        <v>113</v>
      </c>
      <c r="B84">
        <v>2</v>
      </c>
      <c r="C84">
        <v>1</v>
      </c>
      <c r="D84">
        <v>0</v>
      </c>
      <c r="F84" s="48">
        <v>2.0499999999999998</v>
      </c>
      <c r="H84" t="s">
        <v>563</v>
      </c>
    </row>
    <row r="85" spans="1:8" x14ac:dyDescent="0.2">
      <c r="A85" t="s">
        <v>113</v>
      </c>
      <c r="F85" s="48">
        <f>SUM(F81:F83)</f>
        <v>2.0499999999999998</v>
      </c>
      <c r="G85" s="49">
        <f>F85-F84</f>
        <v>0</v>
      </c>
      <c r="H85" t="s">
        <v>284</v>
      </c>
    </row>
    <row r="87" spans="1:8" x14ac:dyDescent="0.2">
      <c r="A87" t="s">
        <v>615</v>
      </c>
      <c r="B87">
        <v>88</v>
      </c>
      <c r="C87">
        <v>1</v>
      </c>
      <c r="D87">
        <v>8</v>
      </c>
      <c r="F87" s="48">
        <f>B87+C87/20+D87/240</f>
        <v>88.083333333333329</v>
      </c>
      <c r="H87" t="s">
        <v>564</v>
      </c>
    </row>
    <row r="89" spans="1:8" x14ac:dyDescent="0.2">
      <c r="A89" t="s">
        <v>117</v>
      </c>
      <c r="B89">
        <v>0</v>
      </c>
      <c r="C89">
        <v>4</v>
      </c>
      <c r="D89">
        <v>0</v>
      </c>
      <c r="F89" s="48">
        <v>0.2</v>
      </c>
      <c r="H89" t="s">
        <v>118</v>
      </c>
    </row>
    <row r="90" spans="1:8" x14ac:dyDescent="0.2">
      <c r="A90" t="s">
        <v>117</v>
      </c>
      <c r="B90">
        <v>0</v>
      </c>
      <c r="C90">
        <v>4</v>
      </c>
      <c r="D90">
        <v>0</v>
      </c>
      <c r="F90" s="48">
        <v>0.2</v>
      </c>
      <c r="H90" t="s">
        <v>119</v>
      </c>
    </row>
    <row r="91" spans="1:8" x14ac:dyDescent="0.2">
      <c r="A91" t="s">
        <v>117</v>
      </c>
      <c r="B91">
        <v>1</v>
      </c>
      <c r="C91">
        <v>0</v>
      </c>
      <c r="D91">
        <v>0</v>
      </c>
      <c r="F91" s="48">
        <v>1</v>
      </c>
      <c r="H91" t="s">
        <v>565</v>
      </c>
    </row>
    <row r="92" spans="1:8" x14ac:dyDescent="0.2">
      <c r="A92" t="s">
        <v>117</v>
      </c>
      <c r="B92">
        <v>1</v>
      </c>
      <c r="C92">
        <v>8</v>
      </c>
      <c r="D92">
        <v>0</v>
      </c>
      <c r="F92" s="48">
        <f>B92+C92/20+D92/240</f>
        <v>1.4</v>
      </c>
      <c r="H92" t="s">
        <v>566</v>
      </c>
    </row>
    <row r="93" spans="1:8" x14ac:dyDescent="0.2">
      <c r="A93" t="s">
        <v>117</v>
      </c>
      <c r="F93" s="48">
        <v>1.4</v>
      </c>
      <c r="G93" s="49">
        <f>F93-F92</f>
        <v>0</v>
      </c>
      <c r="H93" t="s">
        <v>284</v>
      </c>
    </row>
    <row r="95" spans="1:8" x14ac:dyDescent="0.2">
      <c r="A95" t="s">
        <v>121</v>
      </c>
      <c r="B95">
        <v>1</v>
      </c>
      <c r="C95">
        <v>3</v>
      </c>
      <c r="D95">
        <v>6</v>
      </c>
      <c r="F95" s="48">
        <v>1.17</v>
      </c>
      <c r="H95" t="s">
        <v>122</v>
      </c>
    </row>
    <row r="96" spans="1:8" x14ac:dyDescent="0.2">
      <c r="A96" t="s">
        <v>121</v>
      </c>
      <c r="B96">
        <v>1</v>
      </c>
      <c r="C96">
        <v>3</v>
      </c>
      <c r="D96">
        <v>6</v>
      </c>
      <c r="F96" s="48">
        <v>1.17</v>
      </c>
      <c r="H96" t="s">
        <v>123</v>
      </c>
    </row>
    <row r="98" spans="1:8" x14ac:dyDescent="0.2">
      <c r="A98" t="s">
        <v>604</v>
      </c>
      <c r="B98">
        <v>2</v>
      </c>
      <c r="C98">
        <v>11</v>
      </c>
      <c r="D98">
        <v>6</v>
      </c>
      <c r="F98" s="48">
        <v>2.57</v>
      </c>
      <c r="G98" s="49">
        <f>F98-(F96+F93)</f>
        <v>0</v>
      </c>
      <c r="H98" t="s">
        <v>124</v>
      </c>
    </row>
    <row r="100" spans="1:8" x14ac:dyDescent="0.2">
      <c r="A100" t="s">
        <v>125</v>
      </c>
      <c r="C100">
        <v>104</v>
      </c>
      <c r="D100">
        <v>17</v>
      </c>
      <c r="E100">
        <v>8.25</v>
      </c>
      <c r="F100">
        <v>104.88</v>
      </c>
      <c r="H100" t="s">
        <v>126</v>
      </c>
    </row>
    <row r="101" spans="1:8" x14ac:dyDescent="0.2">
      <c r="F101"/>
    </row>
    <row r="102" spans="1:8" x14ac:dyDescent="0.2">
      <c r="A102" s="63" t="s">
        <v>601</v>
      </c>
      <c r="F102" s="48">
        <f>F100</f>
        <v>104.88</v>
      </c>
    </row>
    <row r="103" spans="1:8" ht="16" x14ac:dyDescent="0.2">
      <c r="A103" s="83" t="s">
        <v>602</v>
      </c>
      <c r="F103" s="48">
        <f>F96+F93+F87+F59+F30+F26+F22</f>
        <v>104.37333333333332</v>
      </c>
      <c r="G103" s="49">
        <f>F103-F102</f>
        <v>-0.50666666666667481</v>
      </c>
    </row>
    <row r="104" spans="1:8" ht="16" x14ac:dyDescent="0.2">
      <c r="A104" s="83" t="s">
        <v>603</v>
      </c>
      <c r="F104" s="48">
        <f>F103+F6</f>
        <v>185.70333333333332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7"/>
  <sheetViews>
    <sheetView workbookViewId="0">
      <pane xSplit="1" ySplit="2" topLeftCell="B70" activePane="bottomRight" state="frozen"/>
      <selection pane="topRight" activeCell="B1" sqref="B1"/>
      <selection pane="bottomLeft" activeCell="A3" sqref="A3"/>
      <selection pane="bottomRight" activeCell="F98" sqref="F98"/>
    </sheetView>
  </sheetViews>
  <sheetFormatPr baseColWidth="10" defaultColWidth="8.83203125" defaultRowHeight="15" x14ac:dyDescent="0.2"/>
  <cols>
    <col min="1" max="1" width="33.1640625" bestFit="1" customWidth="1"/>
    <col min="6" max="6" width="8.83203125" style="48"/>
    <col min="7" max="7" width="8.83203125" style="49"/>
    <col min="8" max="8" width="46" customWidth="1"/>
    <col min="10" max="10" width="20.83203125" customWidth="1"/>
    <col min="11" max="11" width="22.1640625" customWidth="1"/>
  </cols>
  <sheetData>
    <row r="1" spans="1:11" ht="16" x14ac:dyDescent="0.2">
      <c r="A1" s="2" t="s">
        <v>567</v>
      </c>
      <c r="B1" s="20"/>
      <c r="C1" s="20"/>
      <c r="D1" s="20"/>
      <c r="E1" s="20"/>
      <c r="F1" s="58"/>
      <c r="G1" s="59"/>
      <c r="H1" s="20"/>
    </row>
    <row r="2" spans="1:11" ht="34" x14ac:dyDescent="0.2">
      <c r="A2" s="52" t="s">
        <v>0</v>
      </c>
      <c r="B2" s="53" t="s">
        <v>556</v>
      </c>
      <c r="C2" s="54" t="s">
        <v>557</v>
      </c>
      <c r="D2" s="54" t="s">
        <v>558</v>
      </c>
      <c r="E2" s="55"/>
      <c r="F2" s="56" t="s">
        <v>553</v>
      </c>
      <c r="G2" s="57" t="s">
        <v>283</v>
      </c>
      <c r="H2" s="52" t="s">
        <v>559</v>
      </c>
      <c r="J2" s="84" t="s">
        <v>607</v>
      </c>
      <c r="K2" s="84" t="s">
        <v>608</v>
      </c>
    </row>
    <row r="3" spans="1:11" x14ac:dyDescent="0.2">
      <c r="A3" t="s">
        <v>127</v>
      </c>
      <c r="B3">
        <v>0</v>
      </c>
      <c r="C3">
        <v>1</v>
      </c>
      <c r="D3">
        <v>8</v>
      </c>
      <c r="F3" s="48">
        <v>0.08</v>
      </c>
      <c r="H3" t="s">
        <v>128</v>
      </c>
      <c r="J3" s="48">
        <f>F3</f>
        <v>0.08</v>
      </c>
      <c r="K3" s="48">
        <f>F3</f>
        <v>0.08</v>
      </c>
    </row>
    <row r="4" spans="1:11" x14ac:dyDescent="0.2">
      <c r="A4" t="s">
        <v>127</v>
      </c>
      <c r="B4">
        <v>0</v>
      </c>
      <c r="C4">
        <v>1</v>
      </c>
      <c r="D4">
        <v>0</v>
      </c>
      <c r="F4" s="48">
        <v>0.05</v>
      </c>
      <c r="H4" t="s">
        <v>129</v>
      </c>
      <c r="J4" s="48">
        <f t="shared" ref="J4:J12" si="0">F4</f>
        <v>0.05</v>
      </c>
      <c r="K4" s="48">
        <f t="shared" ref="K4:K12" si="1">F4</f>
        <v>0.05</v>
      </c>
    </row>
    <row r="5" spans="1:11" x14ac:dyDescent="0.2">
      <c r="A5" t="s">
        <v>127</v>
      </c>
      <c r="B5">
        <v>0</v>
      </c>
      <c r="C5">
        <v>0</v>
      </c>
      <c r="D5">
        <v>8.5</v>
      </c>
      <c r="F5" s="48">
        <v>0.04</v>
      </c>
      <c r="H5" t="s">
        <v>130</v>
      </c>
      <c r="J5" s="48">
        <f t="shared" si="0"/>
        <v>0.04</v>
      </c>
      <c r="K5" s="48">
        <f t="shared" si="1"/>
        <v>0.04</v>
      </c>
    </row>
    <row r="6" spans="1:11" x14ac:dyDescent="0.2">
      <c r="A6" t="s">
        <v>127</v>
      </c>
      <c r="B6">
        <v>0</v>
      </c>
      <c r="C6">
        <v>0</v>
      </c>
      <c r="D6">
        <v>3.5</v>
      </c>
      <c r="F6" s="48">
        <v>0.01</v>
      </c>
      <c r="H6" t="s">
        <v>131</v>
      </c>
      <c r="J6" s="48">
        <f t="shared" si="0"/>
        <v>0.01</v>
      </c>
      <c r="K6" s="48">
        <f t="shared" si="1"/>
        <v>0.01</v>
      </c>
    </row>
    <row r="7" spans="1:11" x14ac:dyDescent="0.2">
      <c r="A7" t="s">
        <v>127</v>
      </c>
      <c r="B7">
        <v>0</v>
      </c>
      <c r="C7">
        <v>0</v>
      </c>
      <c r="D7">
        <v>8</v>
      </c>
      <c r="F7" s="48">
        <v>0.03</v>
      </c>
      <c r="H7" t="s">
        <v>132</v>
      </c>
      <c r="J7" s="48">
        <f t="shared" si="0"/>
        <v>0.03</v>
      </c>
      <c r="K7" s="48">
        <f t="shared" si="1"/>
        <v>0.03</v>
      </c>
    </row>
    <row r="8" spans="1:11" x14ac:dyDescent="0.2">
      <c r="A8" t="s">
        <v>127</v>
      </c>
      <c r="B8">
        <v>0</v>
      </c>
      <c r="C8">
        <v>0</v>
      </c>
      <c r="D8">
        <v>4</v>
      </c>
      <c r="F8" s="48">
        <v>0.02</v>
      </c>
      <c r="H8" t="s">
        <v>133</v>
      </c>
      <c r="J8" s="48">
        <f t="shared" si="0"/>
        <v>0.02</v>
      </c>
      <c r="K8" s="48">
        <f t="shared" si="1"/>
        <v>0.02</v>
      </c>
    </row>
    <row r="9" spans="1:11" x14ac:dyDescent="0.2">
      <c r="A9" t="s">
        <v>127</v>
      </c>
      <c r="B9">
        <v>0</v>
      </c>
      <c r="C9">
        <v>0</v>
      </c>
      <c r="D9">
        <v>10</v>
      </c>
      <c r="F9" s="48">
        <v>0.04</v>
      </c>
      <c r="H9" t="s">
        <v>134</v>
      </c>
      <c r="J9" s="48">
        <f t="shared" si="0"/>
        <v>0.04</v>
      </c>
      <c r="K9" s="48">
        <f t="shared" si="1"/>
        <v>0.04</v>
      </c>
    </row>
    <row r="10" spans="1:11" x14ac:dyDescent="0.2">
      <c r="A10" t="s">
        <v>127</v>
      </c>
      <c r="B10">
        <v>0</v>
      </c>
      <c r="C10">
        <v>0</v>
      </c>
      <c r="D10">
        <v>1.5</v>
      </c>
      <c r="F10" s="48">
        <v>0.01</v>
      </c>
      <c r="H10" t="s">
        <v>135</v>
      </c>
      <c r="J10" s="48">
        <f t="shared" si="0"/>
        <v>0.01</v>
      </c>
      <c r="K10" s="48">
        <f t="shared" si="1"/>
        <v>0.01</v>
      </c>
    </row>
    <row r="11" spans="1:11" x14ac:dyDescent="0.2">
      <c r="A11" t="s">
        <v>127</v>
      </c>
      <c r="B11">
        <v>0</v>
      </c>
      <c r="C11">
        <v>0</v>
      </c>
      <c r="D11">
        <v>8</v>
      </c>
      <c r="F11" s="48">
        <v>0.03</v>
      </c>
      <c r="H11" t="s">
        <v>136</v>
      </c>
      <c r="J11" s="48">
        <f t="shared" si="0"/>
        <v>0.03</v>
      </c>
      <c r="K11" s="48">
        <f t="shared" si="1"/>
        <v>0.03</v>
      </c>
    </row>
    <row r="12" spans="1:11" x14ac:dyDescent="0.2">
      <c r="A12" t="s">
        <v>127</v>
      </c>
      <c r="B12">
        <v>0</v>
      </c>
      <c r="C12">
        <v>0</v>
      </c>
      <c r="D12">
        <v>9</v>
      </c>
      <c r="F12" s="48">
        <v>0.04</v>
      </c>
      <c r="H12" t="s">
        <v>137</v>
      </c>
      <c r="J12" s="48">
        <f t="shared" si="0"/>
        <v>0.04</v>
      </c>
      <c r="K12" s="48">
        <f t="shared" si="1"/>
        <v>0.04</v>
      </c>
    </row>
    <row r="13" spans="1:11" x14ac:dyDescent="0.2">
      <c r="A13" t="s">
        <v>127</v>
      </c>
      <c r="B13">
        <v>0</v>
      </c>
      <c r="C13">
        <v>0</v>
      </c>
      <c r="D13">
        <v>1</v>
      </c>
      <c r="F13" s="48">
        <v>0</v>
      </c>
      <c r="H13" t="s">
        <v>138</v>
      </c>
      <c r="J13" s="48">
        <f>F13</f>
        <v>0</v>
      </c>
      <c r="K13" s="48">
        <f>F13</f>
        <v>0</v>
      </c>
    </row>
    <row r="14" spans="1:11" x14ac:dyDescent="0.2">
      <c r="A14" t="s">
        <v>127</v>
      </c>
      <c r="B14">
        <v>0</v>
      </c>
      <c r="C14">
        <v>3</v>
      </c>
      <c r="D14">
        <v>0</v>
      </c>
      <c r="F14" s="48">
        <v>0.15</v>
      </c>
      <c r="H14" t="s">
        <v>139</v>
      </c>
    </row>
    <row r="15" spans="1:11" x14ac:dyDescent="0.2">
      <c r="A15" t="s">
        <v>127</v>
      </c>
      <c r="B15">
        <v>0</v>
      </c>
      <c r="C15">
        <v>12</v>
      </c>
      <c r="D15">
        <v>6</v>
      </c>
      <c r="F15" s="48">
        <f>B15+C15/20+D15/240</f>
        <v>0.625</v>
      </c>
      <c r="H15" t="s">
        <v>568</v>
      </c>
    </row>
    <row r="16" spans="1:11" x14ac:dyDescent="0.2">
      <c r="A16" t="s">
        <v>127</v>
      </c>
      <c r="B16">
        <v>1</v>
      </c>
      <c r="C16">
        <v>2</v>
      </c>
      <c r="D16">
        <v>9</v>
      </c>
      <c r="F16" s="48">
        <v>1.1399999999999999</v>
      </c>
      <c r="H16" t="s">
        <v>569</v>
      </c>
    </row>
    <row r="17" spans="1:11" x14ac:dyDescent="0.2">
      <c r="A17" t="s">
        <v>127</v>
      </c>
      <c r="F17" s="48">
        <f>SUM(F3:F15)</f>
        <v>1.125</v>
      </c>
      <c r="G17" s="49">
        <f>F17-F16</f>
        <v>-1.4999999999999902E-2</v>
      </c>
      <c r="H17" t="s">
        <v>284</v>
      </c>
    </row>
    <row r="19" spans="1:11" x14ac:dyDescent="0.2">
      <c r="A19" t="s">
        <v>141</v>
      </c>
      <c r="B19">
        <v>0</v>
      </c>
      <c r="C19">
        <v>0</v>
      </c>
      <c r="D19">
        <v>10</v>
      </c>
      <c r="F19" s="48">
        <v>0.04</v>
      </c>
      <c r="H19" t="s">
        <v>142</v>
      </c>
      <c r="J19" s="48">
        <f>F19</f>
        <v>0.04</v>
      </c>
      <c r="K19" s="48">
        <f>J19</f>
        <v>0.04</v>
      </c>
    </row>
    <row r="20" spans="1:11" x14ac:dyDescent="0.2">
      <c r="A20" t="s">
        <v>141</v>
      </c>
      <c r="B20">
        <v>0</v>
      </c>
      <c r="C20">
        <v>12</v>
      </c>
      <c r="D20">
        <v>6</v>
      </c>
      <c r="F20" s="48">
        <v>0.62</v>
      </c>
      <c r="H20" t="s">
        <v>143</v>
      </c>
      <c r="J20" s="48">
        <f t="shared" ref="J20:J25" si="2">F20</f>
        <v>0.62</v>
      </c>
      <c r="K20" s="48">
        <f t="shared" ref="K20:K25" si="3">J20</f>
        <v>0.62</v>
      </c>
    </row>
    <row r="21" spans="1:11" x14ac:dyDescent="0.2">
      <c r="A21" t="s">
        <v>141</v>
      </c>
      <c r="B21">
        <v>0</v>
      </c>
      <c r="C21">
        <v>0</v>
      </c>
      <c r="D21">
        <v>2</v>
      </c>
      <c r="F21" s="48">
        <v>0.01</v>
      </c>
      <c r="H21" t="s">
        <v>144</v>
      </c>
      <c r="J21" s="48">
        <f t="shared" si="2"/>
        <v>0.01</v>
      </c>
      <c r="K21" s="48">
        <f t="shared" si="3"/>
        <v>0.01</v>
      </c>
    </row>
    <row r="22" spans="1:11" x14ac:dyDescent="0.2">
      <c r="A22" t="s">
        <v>141</v>
      </c>
      <c r="B22">
        <v>0</v>
      </c>
      <c r="C22">
        <v>0</v>
      </c>
      <c r="D22">
        <v>2</v>
      </c>
      <c r="F22" s="48">
        <v>0.01</v>
      </c>
      <c r="H22" t="s">
        <v>145</v>
      </c>
      <c r="J22" s="48">
        <f t="shared" si="2"/>
        <v>0.01</v>
      </c>
      <c r="K22" s="48">
        <f t="shared" si="3"/>
        <v>0.01</v>
      </c>
    </row>
    <row r="23" spans="1:11" x14ac:dyDescent="0.2">
      <c r="A23" t="s">
        <v>141</v>
      </c>
      <c r="B23">
        <v>0</v>
      </c>
      <c r="C23">
        <v>1</v>
      </c>
      <c r="D23">
        <v>0</v>
      </c>
      <c r="F23" s="48">
        <v>0.05</v>
      </c>
      <c r="H23" t="s">
        <v>146</v>
      </c>
      <c r="J23" s="48">
        <f t="shared" si="2"/>
        <v>0.05</v>
      </c>
      <c r="K23" s="48">
        <f t="shared" si="3"/>
        <v>0.05</v>
      </c>
    </row>
    <row r="24" spans="1:11" x14ac:dyDescent="0.2">
      <c r="A24" t="s">
        <v>141</v>
      </c>
      <c r="B24">
        <v>0</v>
      </c>
      <c r="C24">
        <v>0</v>
      </c>
      <c r="D24">
        <v>6</v>
      </c>
      <c r="F24" s="48">
        <v>0.03</v>
      </c>
      <c r="H24" t="s">
        <v>147</v>
      </c>
      <c r="J24" s="48">
        <f t="shared" si="2"/>
        <v>0.03</v>
      </c>
      <c r="K24" s="48">
        <f t="shared" si="3"/>
        <v>0.03</v>
      </c>
    </row>
    <row r="25" spans="1:11" x14ac:dyDescent="0.2">
      <c r="A25" t="s">
        <v>141</v>
      </c>
      <c r="B25">
        <v>0</v>
      </c>
      <c r="C25">
        <v>2</v>
      </c>
      <c r="D25">
        <v>0</v>
      </c>
      <c r="F25" s="48">
        <v>0.1</v>
      </c>
      <c r="H25" t="s">
        <v>148</v>
      </c>
      <c r="J25" s="48">
        <f t="shared" si="2"/>
        <v>0.1</v>
      </c>
      <c r="K25" s="48">
        <f t="shared" si="3"/>
        <v>0.1</v>
      </c>
    </row>
    <row r="26" spans="1:11" x14ac:dyDescent="0.2">
      <c r="A26" t="s">
        <v>141</v>
      </c>
      <c r="B26">
        <v>0</v>
      </c>
      <c r="C26">
        <v>3</v>
      </c>
      <c r="D26">
        <v>4</v>
      </c>
      <c r="F26" s="48">
        <v>0.17</v>
      </c>
      <c r="H26" t="s">
        <v>149</v>
      </c>
    </row>
    <row r="27" spans="1:11" x14ac:dyDescent="0.2">
      <c r="A27" t="s">
        <v>141</v>
      </c>
      <c r="B27">
        <v>0</v>
      </c>
      <c r="C27">
        <v>16</v>
      </c>
      <c r="D27">
        <v>7</v>
      </c>
      <c r="F27" s="48">
        <f>B27+C27/20+D27/240</f>
        <v>0.82916666666666672</v>
      </c>
      <c r="H27" t="s">
        <v>570</v>
      </c>
    </row>
    <row r="28" spans="1:11" x14ac:dyDescent="0.2">
      <c r="A28" t="s">
        <v>141</v>
      </c>
      <c r="B28">
        <v>1</v>
      </c>
      <c r="C28">
        <v>17</v>
      </c>
      <c r="D28">
        <v>1</v>
      </c>
      <c r="F28" s="48">
        <v>1.85</v>
      </c>
      <c r="H28" t="s">
        <v>571</v>
      </c>
    </row>
    <row r="29" spans="1:11" x14ac:dyDescent="0.2">
      <c r="A29" t="s">
        <v>141</v>
      </c>
      <c r="F29" s="48">
        <f>SUM(F19:F27)</f>
        <v>1.8591666666666669</v>
      </c>
      <c r="G29" s="49">
        <f>F29-F28</f>
        <v>9.1666666666667673E-3</v>
      </c>
      <c r="H29" t="s">
        <v>284</v>
      </c>
    </row>
    <row r="31" spans="1:11" x14ac:dyDescent="0.2">
      <c r="A31" t="s">
        <v>151</v>
      </c>
      <c r="B31">
        <v>0</v>
      </c>
      <c r="C31">
        <v>0</v>
      </c>
      <c r="D31">
        <v>3</v>
      </c>
      <c r="F31">
        <v>0.01</v>
      </c>
      <c r="H31" t="s">
        <v>152</v>
      </c>
      <c r="J31">
        <f>F31</f>
        <v>0.01</v>
      </c>
      <c r="K31">
        <f>J31</f>
        <v>0.01</v>
      </c>
    </row>
    <row r="32" spans="1:11" x14ac:dyDescent="0.2">
      <c r="A32" t="s">
        <v>151</v>
      </c>
      <c r="B32">
        <v>0</v>
      </c>
      <c r="C32">
        <v>0</v>
      </c>
      <c r="D32">
        <v>7</v>
      </c>
      <c r="F32">
        <v>0.03</v>
      </c>
      <c r="H32" t="s">
        <v>153</v>
      </c>
      <c r="J32">
        <f t="shared" ref="J32:J35" si="4">F32</f>
        <v>0.03</v>
      </c>
      <c r="K32">
        <f t="shared" ref="K32:K35" si="5">J32</f>
        <v>0.03</v>
      </c>
    </row>
    <row r="33" spans="1:11" x14ac:dyDescent="0.2">
      <c r="A33" t="s">
        <v>151</v>
      </c>
      <c r="B33">
        <v>0</v>
      </c>
      <c r="C33">
        <v>3</v>
      </c>
      <c r="D33">
        <v>2</v>
      </c>
      <c r="F33">
        <v>0.16</v>
      </c>
      <c r="H33" t="s">
        <v>155</v>
      </c>
      <c r="J33">
        <f t="shared" si="4"/>
        <v>0.16</v>
      </c>
      <c r="K33">
        <f t="shared" si="5"/>
        <v>0.16</v>
      </c>
    </row>
    <row r="34" spans="1:11" x14ac:dyDescent="0.2">
      <c r="A34" t="s">
        <v>151</v>
      </c>
      <c r="B34">
        <v>0</v>
      </c>
      <c r="C34">
        <v>3</v>
      </c>
      <c r="D34">
        <v>3</v>
      </c>
      <c r="F34">
        <v>0.16</v>
      </c>
      <c r="H34" t="s">
        <v>156</v>
      </c>
      <c r="J34">
        <f t="shared" si="4"/>
        <v>0.16</v>
      </c>
      <c r="K34">
        <f t="shared" si="5"/>
        <v>0.16</v>
      </c>
    </row>
    <row r="35" spans="1:11" x14ac:dyDescent="0.2">
      <c r="A35" t="s">
        <v>151</v>
      </c>
      <c r="B35">
        <v>0</v>
      </c>
      <c r="C35">
        <v>0</v>
      </c>
      <c r="D35">
        <v>6</v>
      </c>
      <c r="F35">
        <f>B35+C35/20+D35/240</f>
        <v>2.5000000000000001E-2</v>
      </c>
      <c r="H35" t="s">
        <v>605</v>
      </c>
      <c r="J35">
        <f t="shared" si="4"/>
        <v>2.5000000000000001E-2</v>
      </c>
      <c r="K35">
        <f t="shared" si="5"/>
        <v>2.5000000000000001E-2</v>
      </c>
    </row>
    <row r="36" spans="1:11" x14ac:dyDescent="0.2">
      <c r="A36" t="s">
        <v>151</v>
      </c>
      <c r="B36">
        <v>0</v>
      </c>
      <c r="C36">
        <v>7</v>
      </c>
      <c r="D36">
        <v>9</v>
      </c>
      <c r="F36">
        <f>B36+C36/20+D36/240</f>
        <v>0.38749999999999996</v>
      </c>
      <c r="H36" t="s">
        <v>606</v>
      </c>
    </row>
    <row r="38" spans="1:11" x14ac:dyDescent="0.2">
      <c r="A38" t="s">
        <v>158</v>
      </c>
      <c r="B38">
        <v>0</v>
      </c>
      <c r="C38">
        <v>2</v>
      </c>
      <c r="D38">
        <v>0</v>
      </c>
      <c r="F38" s="48">
        <v>0.1</v>
      </c>
      <c r="H38" t="s">
        <v>159</v>
      </c>
      <c r="J38" s="48">
        <f>F38</f>
        <v>0.1</v>
      </c>
      <c r="K38" s="48">
        <f>J38</f>
        <v>0.1</v>
      </c>
    </row>
    <row r="39" spans="1:11" x14ac:dyDescent="0.2">
      <c r="A39" t="s">
        <v>158</v>
      </c>
      <c r="B39">
        <v>0</v>
      </c>
      <c r="C39">
        <v>0</v>
      </c>
      <c r="D39">
        <v>8</v>
      </c>
      <c r="F39" s="48">
        <v>0.03</v>
      </c>
      <c r="H39" t="s">
        <v>160</v>
      </c>
      <c r="J39" s="48">
        <f t="shared" ref="J39:J52" si="6">F39</f>
        <v>0.03</v>
      </c>
      <c r="K39" s="48">
        <f t="shared" ref="K39:K52" si="7">J39</f>
        <v>0.03</v>
      </c>
    </row>
    <row r="40" spans="1:11" x14ac:dyDescent="0.2">
      <c r="A40" t="s">
        <v>158</v>
      </c>
      <c r="B40">
        <v>0</v>
      </c>
      <c r="C40">
        <v>2</v>
      </c>
      <c r="D40">
        <v>0</v>
      </c>
      <c r="F40" s="48">
        <v>0.1</v>
      </c>
      <c r="H40" t="s">
        <v>161</v>
      </c>
      <c r="J40" s="48">
        <f t="shared" si="6"/>
        <v>0.1</v>
      </c>
      <c r="K40" s="48">
        <f t="shared" si="7"/>
        <v>0.1</v>
      </c>
    </row>
    <row r="41" spans="1:11" x14ac:dyDescent="0.2">
      <c r="A41" t="s">
        <v>158</v>
      </c>
      <c r="B41">
        <v>0</v>
      </c>
      <c r="C41">
        <v>1</v>
      </c>
      <c r="D41">
        <v>0</v>
      </c>
      <c r="F41" s="48">
        <v>0.05</v>
      </c>
      <c r="H41" t="s">
        <v>162</v>
      </c>
      <c r="J41" s="48">
        <f t="shared" si="6"/>
        <v>0.05</v>
      </c>
      <c r="K41" s="48">
        <f t="shared" si="7"/>
        <v>0.05</v>
      </c>
    </row>
    <row r="42" spans="1:11" x14ac:dyDescent="0.2">
      <c r="A42" t="s">
        <v>158</v>
      </c>
      <c r="B42">
        <v>0</v>
      </c>
      <c r="C42">
        <v>0</v>
      </c>
      <c r="D42">
        <v>6</v>
      </c>
      <c r="F42" s="48">
        <v>0.03</v>
      </c>
      <c r="H42" t="s">
        <v>163</v>
      </c>
      <c r="J42" s="48">
        <f t="shared" si="6"/>
        <v>0.03</v>
      </c>
      <c r="K42" s="48">
        <f t="shared" si="7"/>
        <v>0.03</v>
      </c>
    </row>
    <row r="43" spans="1:11" x14ac:dyDescent="0.2">
      <c r="A43" t="s">
        <v>158</v>
      </c>
      <c r="B43">
        <v>1</v>
      </c>
      <c r="C43">
        <v>1</v>
      </c>
      <c r="D43">
        <v>5</v>
      </c>
      <c r="F43" s="48">
        <v>1.07</v>
      </c>
      <c r="H43" t="s">
        <v>164</v>
      </c>
      <c r="J43" s="48">
        <f t="shared" si="6"/>
        <v>1.07</v>
      </c>
      <c r="K43" s="48">
        <f t="shared" si="7"/>
        <v>1.07</v>
      </c>
    </row>
    <row r="44" spans="1:11" x14ac:dyDescent="0.2">
      <c r="A44" t="s">
        <v>158</v>
      </c>
      <c r="B44">
        <v>0</v>
      </c>
      <c r="C44">
        <v>1</v>
      </c>
      <c r="D44">
        <v>0</v>
      </c>
      <c r="F44" s="48">
        <v>0.05</v>
      </c>
      <c r="H44" t="s">
        <v>165</v>
      </c>
      <c r="J44" s="48">
        <f t="shared" si="6"/>
        <v>0.05</v>
      </c>
      <c r="K44" s="48">
        <f t="shared" si="7"/>
        <v>0.05</v>
      </c>
    </row>
    <row r="45" spans="1:11" x14ac:dyDescent="0.2">
      <c r="A45" t="s">
        <v>158</v>
      </c>
      <c r="B45">
        <v>0</v>
      </c>
      <c r="C45">
        <v>0</v>
      </c>
      <c r="D45">
        <v>5</v>
      </c>
      <c r="F45" s="48">
        <v>0.02</v>
      </c>
      <c r="H45" t="s">
        <v>166</v>
      </c>
      <c r="J45" s="48">
        <f t="shared" si="6"/>
        <v>0.02</v>
      </c>
      <c r="K45" s="48">
        <f t="shared" si="7"/>
        <v>0.02</v>
      </c>
    </row>
    <row r="46" spans="1:11" x14ac:dyDescent="0.2">
      <c r="A46" t="s">
        <v>158</v>
      </c>
      <c r="B46">
        <v>0</v>
      </c>
      <c r="C46">
        <v>0</v>
      </c>
      <c r="D46">
        <v>10.5</v>
      </c>
      <c r="F46" s="48">
        <v>0.04</v>
      </c>
      <c r="H46" t="s">
        <v>167</v>
      </c>
      <c r="J46" s="48">
        <f t="shared" si="6"/>
        <v>0.04</v>
      </c>
      <c r="K46" s="48">
        <f t="shared" si="7"/>
        <v>0.04</v>
      </c>
    </row>
    <row r="47" spans="1:11" x14ac:dyDescent="0.2">
      <c r="A47" t="s">
        <v>158</v>
      </c>
      <c r="B47">
        <v>1</v>
      </c>
      <c r="C47">
        <v>1</v>
      </c>
      <c r="D47">
        <v>0</v>
      </c>
      <c r="F47" s="48">
        <v>1.05</v>
      </c>
      <c r="H47" t="s">
        <v>168</v>
      </c>
      <c r="J47" s="48">
        <f t="shared" si="6"/>
        <v>1.05</v>
      </c>
      <c r="K47" s="48">
        <f t="shared" si="7"/>
        <v>1.05</v>
      </c>
    </row>
    <row r="48" spans="1:11" x14ac:dyDescent="0.2">
      <c r="A48" t="s">
        <v>158</v>
      </c>
      <c r="B48">
        <v>0</v>
      </c>
      <c r="C48">
        <v>1</v>
      </c>
      <c r="D48">
        <v>6</v>
      </c>
      <c r="F48" s="48">
        <v>0.08</v>
      </c>
      <c r="H48" t="s">
        <v>169</v>
      </c>
      <c r="J48" s="48">
        <f t="shared" si="6"/>
        <v>0.08</v>
      </c>
      <c r="K48" s="48">
        <f t="shared" si="7"/>
        <v>0.08</v>
      </c>
    </row>
    <row r="49" spans="1:11" x14ac:dyDescent="0.2">
      <c r="A49" t="s">
        <v>158</v>
      </c>
      <c r="B49">
        <v>0</v>
      </c>
      <c r="C49">
        <v>0</v>
      </c>
      <c r="D49">
        <v>5</v>
      </c>
      <c r="F49" s="48">
        <v>0.02</v>
      </c>
      <c r="H49" t="s">
        <v>170</v>
      </c>
      <c r="J49" s="48">
        <f t="shared" si="6"/>
        <v>0.02</v>
      </c>
      <c r="K49" s="48">
        <f t="shared" si="7"/>
        <v>0.02</v>
      </c>
    </row>
    <row r="50" spans="1:11" x14ac:dyDescent="0.2">
      <c r="A50" t="s">
        <v>158</v>
      </c>
      <c r="B50">
        <v>0</v>
      </c>
      <c r="C50">
        <v>4</v>
      </c>
      <c r="D50">
        <v>4</v>
      </c>
      <c r="F50" s="48">
        <v>0.22</v>
      </c>
      <c r="H50" t="s">
        <v>171</v>
      </c>
      <c r="J50" s="48">
        <f t="shared" si="6"/>
        <v>0.22</v>
      </c>
      <c r="K50" s="48">
        <f t="shared" si="7"/>
        <v>0.22</v>
      </c>
    </row>
    <row r="51" spans="1:11" x14ac:dyDescent="0.2">
      <c r="A51" t="s">
        <v>158</v>
      </c>
      <c r="B51">
        <v>0</v>
      </c>
      <c r="C51">
        <v>0</v>
      </c>
      <c r="D51">
        <v>4</v>
      </c>
      <c r="F51" s="48">
        <v>0.02</v>
      </c>
      <c r="H51" t="s">
        <v>172</v>
      </c>
      <c r="J51" s="48">
        <f t="shared" si="6"/>
        <v>0.02</v>
      </c>
      <c r="K51" s="48">
        <f t="shared" si="7"/>
        <v>0.02</v>
      </c>
    </row>
    <row r="52" spans="1:11" x14ac:dyDescent="0.2">
      <c r="A52" t="s">
        <v>158</v>
      </c>
      <c r="B52">
        <v>0</v>
      </c>
      <c r="C52">
        <v>0</v>
      </c>
      <c r="D52">
        <v>0.25</v>
      </c>
      <c r="F52" s="48">
        <f>B52+C52/20+D52/240</f>
        <v>1.0416666666666667E-3</v>
      </c>
      <c r="H52" t="s">
        <v>572</v>
      </c>
      <c r="J52" s="48">
        <f t="shared" si="6"/>
        <v>1.0416666666666667E-3</v>
      </c>
      <c r="K52" s="48">
        <f t="shared" si="7"/>
        <v>1.0416666666666667E-3</v>
      </c>
    </row>
    <row r="53" spans="1:11" x14ac:dyDescent="0.2">
      <c r="A53" t="s">
        <v>158</v>
      </c>
      <c r="B53">
        <v>2</v>
      </c>
      <c r="C53">
        <v>17</v>
      </c>
      <c r="D53">
        <v>2.25</v>
      </c>
      <c r="F53" s="48">
        <v>2.86</v>
      </c>
      <c r="H53" t="s">
        <v>573</v>
      </c>
    </row>
    <row r="54" spans="1:11" x14ac:dyDescent="0.2">
      <c r="A54" t="s">
        <v>158</v>
      </c>
      <c r="F54" s="48">
        <f>SUM(F38:F52)</f>
        <v>2.8810416666666669</v>
      </c>
      <c r="G54" s="49">
        <f>F54-F53</f>
        <v>2.1041666666667069E-2</v>
      </c>
      <c r="H54" t="s">
        <v>284</v>
      </c>
    </row>
    <row r="56" spans="1:11" x14ac:dyDescent="0.2">
      <c r="A56" t="s">
        <v>174</v>
      </c>
      <c r="B56">
        <v>0</v>
      </c>
      <c r="C56">
        <v>17</v>
      </c>
      <c r="D56">
        <v>5</v>
      </c>
      <c r="F56" s="48">
        <v>0.87</v>
      </c>
      <c r="H56" t="s">
        <v>175</v>
      </c>
    </row>
    <row r="57" spans="1:11" x14ac:dyDescent="0.2">
      <c r="A57" t="s">
        <v>174</v>
      </c>
      <c r="B57">
        <v>0</v>
      </c>
      <c r="C57">
        <v>11</v>
      </c>
      <c r="D57">
        <v>0.5</v>
      </c>
      <c r="F57" s="48">
        <f>B57+C57/20+D57/240</f>
        <v>0.55208333333333337</v>
      </c>
      <c r="H57" t="s">
        <v>176</v>
      </c>
    </row>
    <row r="58" spans="1:11" x14ac:dyDescent="0.2">
      <c r="A58" t="s">
        <v>174</v>
      </c>
      <c r="B58">
        <v>0</v>
      </c>
      <c r="C58">
        <v>2</v>
      </c>
      <c r="D58">
        <v>0.25</v>
      </c>
      <c r="F58" s="48">
        <f>B58+C58/20+D58/240</f>
        <v>0.10104166666666667</v>
      </c>
      <c r="H58" t="s">
        <v>178</v>
      </c>
    </row>
    <row r="59" spans="1:11" x14ac:dyDescent="0.2">
      <c r="A59" t="s">
        <v>174</v>
      </c>
      <c r="B59">
        <v>0</v>
      </c>
      <c r="C59">
        <v>8</v>
      </c>
      <c r="D59">
        <v>7.25</v>
      </c>
      <c r="F59" s="48">
        <v>0.43</v>
      </c>
      <c r="H59" t="s">
        <v>179</v>
      </c>
    </row>
    <row r="60" spans="1:11" x14ac:dyDescent="0.2">
      <c r="A60" t="s">
        <v>174</v>
      </c>
      <c r="B60">
        <v>1</v>
      </c>
      <c r="C60">
        <v>19</v>
      </c>
      <c r="D60">
        <v>1</v>
      </c>
      <c r="F60" s="48">
        <v>1.95</v>
      </c>
      <c r="H60" t="s">
        <v>180</v>
      </c>
    </row>
    <row r="61" spans="1:11" x14ac:dyDescent="0.2">
      <c r="A61" t="s">
        <v>174</v>
      </c>
      <c r="F61" s="48">
        <f>SUM(F56:F59)</f>
        <v>1.953125</v>
      </c>
      <c r="G61" s="49">
        <f>F61-F60</f>
        <v>3.1250000000000444E-3</v>
      </c>
      <c r="H61" t="s">
        <v>284</v>
      </c>
    </row>
    <row r="63" spans="1:11" x14ac:dyDescent="0.2">
      <c r="A63" t="s">
        <v>181</v>
      </c>
      <c r="B63">
        <v>1</v>
      </c>
      <c r="C63">
        <v>1</v>
      </c>
      <c r="D63">
        <v>5</v>
      </c>
      <c r="F63" s="48">
        <v>1.07</v>
      </c>
      <c r="H63" t="s">
        <v>182</v>
      </c>
    </row>
    <row r="64" spans="1:11" x14ac:dyDescent="0.2">
      <c r="A64" t="s">
        <v>181</v>
      </c>
      <c r="B64">
        <v>0</v>
      </c>
      <c r="C64">
        <v>2</v>
      </c>
      <c r="D64">
        <v>0</v>
      </c>
      <c r="F64" s="48">
        <v>0.1</v>
      </c>
      <c r="H64" t="s">
        <v>574</v>
      </c>
    </row>
    <row r="65" spans="1:11" x14ac:dyDescent="0.2">
      <c r="A65" t="s">
        <v>181</v>
      </c>
      <c r="B65">
        <v>1</v>
      </c>
      <c r="C65">
        <v>3</v>
      </c>
      <c r="D65">
        <v>5</v>
      </c>
      <c r="F65" s="48">
        <v>1.17</v>
      </c>
      <c r="H65" t="s">
        <v>575</v>
      </c>
    </row>
    <row r="66" spans="1:11" x14ac:dyDescent="0.2">
      <c r="A66" t="s">
        <v>181</v>
      </c>
      <c r="F66" s="48">
        <f>SUM(F63:F64)</f>
        <v>1.1700000000000002</v>
      </c>
      <c r="G66" s="49">
        <f>F66-F65</f>
        <v>0</v>
      </c>
      <c r="H66" t="s">
        <v>284</v>
      </c>
    </row>
    <row r="68" spans="1:11" x14ac:dyDescent="0.2">
      <c r="A68" t="s">
        <v>185</v>
      </c>
      <c r="B68">
        <v>0</v>
      </c>
      <c r="C68">
        <v>15</v>
      </c>
      <c r="D68">
        <v>0</v>
      </c>
      <c r="F68">
        <v>0.75</v>
      </c>
      <c r="H68" t="s">
        <v>186</v>
      </c>
    </row>
    <row r="69" spans="1:11" x14ac:dyDescent="0.2">
      <c r="A69" t="s">
        <v>185</v>
      </c>
      <c r="B69">
        <v>0</v>
      </c>
      <c r="C69">
        <v>16</v>
      </c>
      <c r="D69">
        <v>0</v>
      </c>
      <c r="F69">
        <v>0.8</v>
      </c>
      <c r="H69" t="s">
        <v>187</v>
      </c>
    </row>
    <row r="70" spans="1:11" x14ac:dyDescent="0.2">
      <c r="A70" t="s">
        <v>185</v>
      </c>
      <c r="B70">
        <v>0</v>
      </c>
      <c r="C70">
        <v>0</v>
      </c>
      <c r="D70">
        <v>9</v>
      </c>
      <c r="F70">
        <v>0.04</v>
      </c>
      <c r="H70" t="s">
        <v>188</v>
      </c>
      <c r="J70">
        <f>F70</f>
        <v>0.04</v>
      </c>
      <c r="K70">
        <f>J70</f>
        <v>0.04</v>
      </c>
    </row>
    <row r="71" spans="1:11" x14ac:dyDescent="0.2">
      <c r="A71" t="s">
        <v>185</v>
      </c>
      <c r="B71">
        <v>1</v>
      </c>
      <c r="C71">
        <v>15</v>
      </c>
      <c r="D71">
        <v>6</v>
      </c>
      <c r="F71">
        <v>1.77</v>
      </c>
      <c r="H71" t="s">
        <v>189</v>
      </c>
    </row>
    <row r="72" spans="1:11" x14ac:dyDescent="0.2">
      <c r="A72" t="s">
        <v>185</v>
      </c>
      <c r="B72">
        <v>0</v>
      </c>
      <c r="C72">
        <v>18</v>
      </c>
      <c r="D72">
        <v>4</v>
      </c>
      <c r="F72">
        <v>0.92</v>
      </c>
      <c r="H72" t="s">
        <v>190</v>
      </c>
    </row>
    <row r="73" spans="1:11" x14ac:dyDescent="0.2">
      <c r="A73" t="s">
        <v>185</v>
      </c>
      <c r="B73">
        <v>0</v>
      </c>
      <c r="C73">
        <v>0</v>
      </c>
      <c r="D73">
        <v>0</v>
      </c>
      <c r="F73">
        <v>0</v>
      </c>
      <c r="H73" t="s">
        <v>191</v>
      </c>
    </row>
    <row r="74" spans="1:11" x14ac:dyDescent="0.2">
      <c r="A74" t="s">
        <v>185</v>
      </c>
      <c r="B74">
        <v>0</v>
      </c>
      <c r="C74">
        <v>1</v>
      </c>
      <c r="D74">
        <v>6</v>
      </c>
      <c r="F74">
        <v>0.08</v>
      </c>
      <c r="H74" t="s">
        <v>192</v>
      </c>
      <c r="J74">
        <f>F74</f>
        <v>0.08</v>
      </c>
      <c r="K74">
        <f t="shared" ref="K71:K79" si="8">J74</f>
        <v>0.08</v>
      </c>
    </row>
    <row r="75" spans="1:11" x14ac:dyDescent="0.2">
      <c r="A75" t="s">
        <v>185</v>
      </c>
      <c r="B75">
        <v>0</v>
      </c>
      <c r="C75">
        <v>0</v>
      </c>
      <c r="D75">
        <v>6</v>
      </c>
      <c r="F75">
        <v>0.03</v>
      </c>
      <c r="H75" t="s">
        <v>193</v>
      </c>
      <c r="J75">
        <f t="shared" ref="J75:J79" si="9">F75</f>
        <v>0.03</v>
      </c>
      <c r="K75">
        <f t="shared" si="8"/>
        <v>0.03</v>
      </c>
    </row>
    <row r="76" spans="1:11" x14ac:dyDescent="0.2">
      <c r="A76" t="s">
        <v>185</v>
      </c>
      <c r="B76">
        <v>0</v>
      </c>
      <c r="C76">
        <v>2</v>
      </c>
      <c r="D76">
        <v>2</v>
      </c>
      <c r="F76">
        <v>0.11</v>
      </c>
      <c r="H76" t="s">
        <v>194</v>
      </c>
      <c r="J76">
        <f t="shared" si="9"/>
        <v>0.11</v>
      </c>
      <c r="K76">
        <f t="shared" si="8"/>
        <v>0.11</v>
      </c>
    </row>
    <row r="77" spans="1:11" x14ac:dyDescent="0.2">
      <c r="A77" t="s">
        <v>185</v>
      </c>
      <c r="B77">
        <v>0</v>
      </c>
      <c r="C77">
        <v>1</v>
      </c>
      <c r="D77">
        <v>10</v>
      </c>
      <c r="F77">
        <v>0.09</v>
      </c>
      <c r="H77" t="s">
        <v>195</v>
      </c>
      <c r="J77">
        <f t="shared" si="9"/>
        <v>0.09</v>
      </c>
      <c r="K77">
        <f t="shared" si="8"/>
        <v>0.09</v>
      </c>
    </row>
    <row r="78" spans="1:11" x14ac:dyDescent="0.2">
      <c r="A78" t="s">
        <v>185</v>
      </c>
      <c r="B78">
        <v>0</v>
      </c>
      <c r="C78">
        <v>2</v>
      </c>
      <c r="D78">
        <v>6</v>
      </c>
      <c r="F78">
        <v>0.12</v>
      </c>
      <c r="H78" t="s">
        <v>196</v>
      </c>
      <c r="J78">
        <f>F78</f>
        <v>0.12</v>
      </c>
      <c r="K78">
        <f t="shared" si="8"/>
        <v>0.12</v>
      </c>
    </row>
    <row r="79" spans="1:11" x14ac:dyDescent="0.2">
      <c r="A79" t="s">
        <v>185</v>
      </c>
      <c r="B79">
        <v>0</v>
      </c>
      <c r="C79">
        <v>1</v>
      </c>
      <c r="D79">
        <v>0</v>
      </c>
      <c r="F79">
        <v>0.05</v>
      </c>
      <c r="H79" t="s">
        <v>197</v>
      </c>
      <c r="J79">
        <f t="shared" si="9"/>
        <v>0.05</v>
      </c>
      <c r="K79">
        <f t="shared" si="8"/>
        <v>0.05</v>
      </c>
    </row>
    <row r="80" spans="1:11" x14ac:dyDescent="0.2">
      <c r="A80" t="s">
        <v>185</v>
      </c>
      <c r="B80">
        <v>0</v>
      </c>
      <c r="C80">
        <v>2</v>
      </c>
      <c r="D80">
        <v>4</v>
      </c>
      <c r="F80">
        <v>0.12</v>
      </c>
      <c r="H80" t="s">
        <v>198</v>
      </c>
    </row>
    <row r="81" spans="1:8" x14ac:dyDescent="0.2">
      <c r="A81" t="s">
        <v>185</v>
      </c>
      <c r="B81">
        <v>0</v>
      </c>
      <c r="C81">
        <v>5</v>
      </c>
      <c r="D81">
        <v>4</v>
      </c>
      <c r="F81">
        <v>0.27</v>
      </c>
      <c r="H81" t="s">
        <v>199</v>
      </c>
    </row>
    <row r="82" spans="1:8" x14ac:dyDescent="0.2">
      <c r="A82" t="s">
        <v>185</v>
      </c>
      <c r="B82">
        <v>5</v>
      </c>
      <c r="C82">
        <v>4</v>
      </c>
      <c r="D82">
        <v>9</v>
      </c>
      <c r="F82">
        <v>5.24</v>
      </c>
      <c r="H82" t="s">
        <v>200</v>
      </c>
    </row>
    <row r="84" spans="1:8" x14ac:dyDescent="0.2">
      <c r="A84" t="s">
        <v>201</v>
      </c>
      <c r="B84">
        <v>14</v>
      </c>
      <c r="C84">
        <v>12</v>
      </c>
      <c r="D84">
        <v>0.25</v>
      </c>
      <c r="F84" s="48">
        <v>14.6</v>
      </c>
      <c r="H84" t="s">
        <v>202</v>
      </c>
    </row>
    <row r="85" spans="1:8" x14ac:dyDescent="0.2">
      <c r="A85" t="s">
        <v>201</v>
      </c>
      <c r="F85" s="48">
        <v>14.6</v>
      </c>
      <c r="G85" s="49">
        <f>F85-F84</f>
        <v>0</v>
      </c>
      <c r="H85" t="s">
        <v>284</v>
      </c>
    </row>
    <row r="87" spans="1:8" x14ac:dyDescent="0.2">
      <c r="A87" t="s">
        <v>203</v>
      </c>
      <c r="B87">
        <v>90</v>
      </c>
      <c r="C87">
        <v>5</v>
      </c>
      <c r="D87">
        <v>8</v>
      </c>
      <c r="F87" s="48">
        <v>90.28</v>
      </c>
      <c r="H87" t="s">
        <v>204</v>
      </c>
    </row>
    <row r="88" spans="1:8" x14ac:dyDescent="0.2">
      <c r="A88" t="s">
        <v>203</v>
      </c>
      <c r="B88">
        <v>43</v>
      </c>
      <c r="C88">
        <v>0</v>
      </c>
      <c r="D88">
        <v>0</v>
      </c>
      <c r="F88" s="48">
        <v>43</v>
      </c>
      <c r="H88" t="s">
        <v>205</v>
      </c>
    </row>
    <row r="91" spans="1:8" x14ac:dyDescent="0.2">
      <c r="A91" t="s">
        <v>206</v>
      </c>
      <c r="B91">
        <v>47</v>
      </c>
      <c r="C91">
        <v>5</v>
      </c>
      <c r="D91">
        <v>8</v>
      </c>
      <c r="F91" s="48">
        <v>47.28</v>
      </c>
      <c r="H91" t="s">
        <v>207</v>
      </c>
    </row>
    <row r="94" spans="1:8" ht="16" x14ac:dyDescent="0.2">
      <c r="A94" s="2" t="s">
        <v>500</v>
      </c>
      <c r="F94" s="48">
        <f>F85</f>
        <v>14.6</v>
      </c>
    </row>
    <row r="95" spans="1:8" ht="16" x14ac:dyDescent="0.2">
      <c r="A95" s="2" t="s">
        <v>501</v>
      </c>
      <c r="F95" s="48">
        <f>F82+F66+F61+F54+F29+F36+F17</f>
        <v>14.615833333333333</v>
      </c>
      <c r="G95" s="49">
        <f>F95-F94</f>
        <v>1.5833333333333144E-2</v>
      </c>
    </row>
    <row r="96" spans="1:8" ht="16" x14ac:dyDescent="0.2">
      <c r="A96" s="2" t="s">
        <v>502</v>
      </c>
      <c r="F96" s="48">
        <f>SUM(J3:J82)</f>
        <v>4.9960416666666667</v>
      </c>
    </row>
    <row r="97" spans="1:6" ht="16" x14ac:dyDescent="0.2">
      <c r="A97" s="2" t="s">
        <v>503</v>
      </c>
      <c r="F97" s="48">
        <f>SUM(K3:K81)</f>
        <v>4.9960416666666667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23"/>
  <sheetViews>
    <sheetView workbookViewId="0">
      <pane xSplit="1" ySplit="1" topLeftCell="H2" activePane="bottomRight" state="frozen"/>
      <selection pane="topRight" activeCell="B1" sqref="B1"/>
      <selection pane="bottomLeft" activeCell="A2" sqref="A2"/>
      <selection pane="bottomRight" activeCell="O24" sqref="O24"/>
    </sheetView>
  </sheetViews>
  <sheetFormatPr baseColWidth="10" defaultColWidth="8.83203125" defaultRowHeight="15" x14ac:dyDescent="0.2"/>
  <cols>
    <col min="1" max="1" width="30" bestFit="1" customWidth="1"/>
    <col min="2" max="2" width="12.1640625" bestFit="1" customWidth="1"/>
    <col min="3" max="3" width="19.1640625" bestFit="1" customWidth="1"/>
    <col min="4" max="4" width="20" bestFit="1" customWidth="1"/>
    <col min="5" max="5" width="21.5" bestFit="1" customWidth="1"/>
    <col min="6" max="6" width="15.83203125" bestFit="1" customWidth="1"/>
    <col min="7" max="9" width="20.33203125" customWidth="1"/>
    <col min="10" max="12" width="17" customWidth="1"/>
    <col min="13" max="13" width="14" customWidth="1"/>
    <col min="14" max="14" width="8.1640625" bestFit="1" customWidth="1"/>
    <col min="15" max="15" width="13.83203125" customWidth="1"/>
    <col min="16" max="16" width="17" customWidth="1"/>
  </cols>
  <sheetData>
    <row r="1" spans="1:16" s="63" customFormat="1" ht="32" x14ac:dyDescent="0.2">
      <c r="A1" s="60" t="s">
        <v>331</v>
      </c>
      <c r="B1" s="60" t="s">
        <v>576</v>
      </c>
      <c r="C1" s="60" t="s">
        <v>323</v>
      </c>
      <c r="D1" s="60" t="s">
        <v>311</v>
      </c>
      <c r="E1" s="60" t="s">
        <v>596</v>
      </c>
      <c r="F1" s="60" t="s">
        <v>320</v>
      </c>
      <c r="G1" s="61" t="s">
        <v>332</v>
      </c>
      <c r="H1" s="61" t="s">
        <v>333</v>
      </c>
      <c r="I1" s="62" t="s">
        <v>335</v>
      </c>
    </row>
    <row r="2" spans="1:16" s="9" customFormat="1" x14ac:dyDescent="0.2">
      <c r="A2" s="70" t="s">
        <v>72</v>
      </c>
      <c r="B2" s="9">
        <f>C2+D2+E2</f>
        <v>104.5</v>
      </c>
      <c r="C2" s="75">
        <f>38+5/8</f>
        <v>38.625</v>
      </c>
      <c r="D2" s="75">
        <v>0</v>
      </c>
      <c r="E2" s="75">
        <f>65+7/8</f>
        <v>65.875</v>
      </c>
      <c r="F2" s="74">
        <f>25+1/8+E2</f>
        <v>91</v>
      </c>
      <c r="G2" s="76">
        <f>B2-F2</f>
        <v>13.5</v>
      </c>
      <c r="H2" s="98">
        <v>0.28000000000000003</v>
      </c>
      <c r="I2" s="98">
        <f>H2*B2</f>
        <v>29.26</v>
      </c>
      <c r="J2" s="9" t="s">
        <v>612</v>
      </c>
    </row>
    <row r="3" spans="1:16" x14ac:dyDescent="0.2">
      <c r="A3" t="s">
        <v>593</v>
      </c>
      <c r="B3" s="9">
        <f t="shared" ref="B3:B8" si="0">C3+D3+E3</f>
        <v>41</v>
      </c>
      <c r="C3">
        <v>26.125</v>
      </c>
      <c r="D3">
        <v>0</v>
      </c>
      <c r="E3">
        <f>14.5+3/8</f>
        <v>14.875</v>
      </c>
      <c r="F3" s="7">
        <f>18+7/8+E3</f>
        <v>33.75</v>
      </c>
      <c r="G3" s="76">
        <f t="shared" ref="G3:G8" si="1">B3-F3</f>
        <v>7.25</v>
      </c>
      <c r="H3" s="97">
        <v>0.16666666666666671</v>
      </c>
      <c r="I3" s="98">
        <f t="shared" ref="I3:I8" si="2">H3*B3</f>
        <v>6.8333333333333348</v>
      </c>
      <c r="J3" t="s">
        <v>614</v>
      </c>
    </row>
    <row r="4" spans="1:16" x14ac:dyDescent="0.2">
      <c r="A4" t="s">
        <v>95</v>
      </c>
      <c r="B4" s="9">
        <f t="shared" si="0"/>
        <v>60.125</v>
      </c>
      <c r="C4">
        <v>21.75</v>
      </c>
      <c r="D4">
        <v>0</v>
      </c>
      <c r="E4">
        <f>38+3/8</f>
        <v>38.375</v>
      </c>
      <c r="F4" s="7">
        <f>2.5/8+E4</f>
        <v>38.6875</v>
      </c>
      <c r="G4" s="76">
        <f t="shared" si="1"/>
        <v>21.4375</v>
      </c>
      <c r="H4" s="97">
        <v>0.1936681222707424</v>
      </c>
      <c r="I4" s="98">
        <f t="shared" si="2"/>
        <v>11.644295851528387</v>
      </c>
      <c r="J4" s="9" t="s">
        <v>612</v>
      </c>
    </row>
    <row r="5" spans="1:16" x14ac:dyDescent="0.2">
      <c r="A5" t="s">
        <v>102</v>
      </c>
      <c r="B5" s="9">
        <f t="shared" si="0"/>
        <v>129.5</v>
      </c>
      <c r="C5">
        <v>65.5</v>
      </c>
      <c r="D5">
        <v>0</v>
      </c>
      <c r="E5">
        <f>64</f>
        <v>64</v>
      </c>
      <c r="F5" s="7">
        <f>65+1/8+E5</f>
        <v>129.125</v>
      </c>
      <c r="G5" s="76">
        <f t="shared" si="1"/>
        <v>0.375</v>
      </c>
      <c r="H5" s="97">
        <v>0.10320396429111819</v>
      </c>
      <c r="I5" s="98">
        <f t="shared" si="2"/>
        <v>13.364913375699807</v>
      </c>
      <c r="J5" s="9" t="s">
        <v>612</v>
      </c>
    </row>
    <row r="6" spans="1:16" x14ac:dyDescent="0.2">
      <c r="A6" t="s">
        <v>104</v>
      </c>
      <c r="B6" s="9">
        <f t="shared" si="0"/>
        <v>12.125</v>
      </c>
      <c r="C6">
        <v>0</v>
      </c>
      <c r="D6">
        <v>0</v>
      </c>
      <c r="E6">
        <f>12+1/8</f>
        <v>12.125</v>
      </c>
      <c r="F6">
        <f>E6</f>
        <v>12.125</v>
      </c>
      <c r="G6" s="76">
        <f t="shared" si="1"/>
        <v>0</v>
      </c>
      <c r="H6" s="97">
        <f>2/20+8/240</f>
        <v>0.13333333333333333</v>
      </c>
      <c r="I6" s="98">
        <f t="shared" si="2"/>
        <v>1.6166666666666667</v>
      </c>
    </row>
    <row r="7" spans="1:16" x14ac:dyDescent="0.2">
      <c r="A7" t="s">
        <v>106</v>
      </c>
      <c r="B7" s="9">
        <f t="shared" si="0"/>
        <v>2</v>
      </c>
      <c r="C7">
        <v>0</v>
      </c>
      <c r="D7">
        <v>0</v>
      </c>
      <c r="E7">
        <f>2</f>
        <v>2</v>
      </c>
      <c r="F7">
        <f t="shared" ref="F7:F8" si="3">E7</f>
        <v>2</v>
      </c>
      <c r="G7" s="76">
        <f t="shared" si="1"/>
        <v>0</v>
      </c>
      <c r="H7" s="97">
        <v>0.15</v>
      </c>
      <c r="I7" s="98">
        <f t="shared" si="2"/>
        <v>0.3</v>
      </c>
      <c r="J7" s="9" t="s">
        <v>613</v>
      </c>
    </row>
    <row r="8" spans="1:16" x14ac:dyDescent="0.2">
      <c r="A8" t="s">
        <v>108</v>
      </c>
      <c r="B8" s="9">
        <f t="shared" si="0"/>
        <v>7.25</v>
      </c>
      <c r="C8">
        <v>0</v>
      </c>
      <c r="D8">
        <v>0</v>
      </c>
      <c r="E8">
        <f>7+2/8</f>
        <v>7.25</v>
      </c>
      <c r="F8">
        <f t="shared" si="3"/>
        <v>7.25</v>
      </c>
      <c r="G8" s="76">
        <f t="shared" si="1"/>
        <v>0</v>
      </c>
      <c r="H8" s="97">
        <v>0.1</v>
      </c>
      <c r="I8" s="98">
        <f t="shared" si="2"/>
        <v>0.72500000000000009</v>
      </c>
      <c r="J8" s="9" t="s">
        <v>613</v>
      </c>
    </row>
    <row r="9" spans="1:16" x14ac:dyDescent="0.2">
      <c r="H9" s="48"/>
      <c r="I9" s="48"/>
    </row>
    <row r="10" spans="1:16" x14ac:dyDescent="0.2">
      <c r="A10" s="68" t="s">
        <v>594</v>
      </c>
      <c r="I10" s="48">
        <f>SUM(I2:I8)</f>
        <v>63.74420922722819</v>
      </c>
    </row>
    <row r="11" spans="1:16" x14ac:dyDescent="0.2">
      <c r="A11" s="68" t="s">
        <v>595</v>
      </c>
    </row>
    <row r="14" spans="1:16" ht="32" x14ac:dyDescent="0.2">
      <c r="A14" s="63" t="s">
        <v>577</v>
      </c>
      <c r="B14" s="64" t="s">
        <v>578</v>
      </c>
      <c r="C14" s="65" t="s">
        <v>579</v>
      </c>
      <c r="D14" s="65" t="s">
        <v>580</v>
      </c>
      <c r="E14" s="65" t="s">
        <v>581</v>
      </c>
      <c r="F14" s="63" t="s">
        <v>582</v>
      </c>
      <c r="G14" s="65" t="s">
        <v>583</v>
      </c>
      <c r="H14" s="65" t="s">
        <v>584</v>
      </c>
      <c r="I14" s="65" t="s">
        <v>585</v>
      </c>
      <c r="J14" s="65" t="s">
        <v>586</v>
      </c>
      <c r="K14" s="66" t="s">
        <v>587</v>
      </c>
      <c r="L14" s="65" t="s">
        <v>588</v>
      </c>
      <c r="M14" s="65" t="s">
        <v>589</v>
      </c>
      <c r="N14" s="67" t="s">
        <v>590</v>
      </c>
      <c r="O14" s="67" t="s">
        <v>591</v>
      </c>
      <c r="P14" s="64" t="s">
        <v>592</v>
      </c>
    </row>
    <row r="15" spans="1:16" x14ac:dyDescent="0.2">
      <c r="A15" t="s">
        <v>72</v>
      </c>
      <c r="B15" s="71">
        <f>B2</f>
        <v>104.5</v>
      </c>
      <c r="C15" s="3">
        <v>9.5</v>
      </c>
      <c r="D15" s="3"/>
      <c r="E15" s="3">
        <f>C15+D15/8</f>
        <v>9.5</v>
      </c>
      <c r="G15" s="3"/>
      <c r="H15" s="3"/>
      <c r="I15" s="3">
        <v>4</v>
      </c>
      <c r="J15" s="3"/>
      <c r="K15" s="72">
        <f>I15+J15/8</f>
        <v>4</v>
      </c>
      <c r="L15" s="3">
        <f>B15-E15-K15</f>
        <v>91</v>
      </c>
      <c r="M15" s="3"/>
      <c r="N15" s="73">
        <f>H2</f>
        <v>0.28000000000000003</v>
      </c>
      <c r="O15" s="73">
        <f>N15*L15</f>
        <v>25.480000000000004</v>
      </c>
      <c r="P15" s="71"/>
    </row>
    <row r="16" spans="1:16" x14ac:dyDescent="0.2">
      <c r="A16" t="s">
        <v>593</v>
      </c>
      <c r="B16" s="71">
        <f t="shared" ref="B16:B21" si="4">B3</f>
        <v>41</v>
      </c>
      <c r="C16">
        <v>7</v>
      </c>
      <c r="D16">
        <v>2</v>
      </c>
      <c r="E16" s="3">
        <f t="shared" ref="E16:E21" si="5">C16+D16/8</f>
        <v>7.25</v>
      </c>
      <c r="K16" s="72">
        <f t="shared" ref="K16:K21" si="6">I16+J16/8</f>
        <v>0</v>
      </c>
      <c r="L16" s="3">
        <f t="shared" ref="L16:L21" si="7">B16-E16-K16</f>
        <v>33.75</v>
      </c>
      <c r="N16" s="73">
        <f t="shared" ref="N16:N21" si="8">H3</f>
        <v>0.16666666666666671</v>
      </c>
      <c r="O16" s="73">
        <f t="shared" ref="O16:O21" si="9">N16*L16</f>
        <v>5.6250000000000018</v>
      </c>
    </row>
    <row r="17" spans="1:15" x14ac:dyDescent="0.2">
      <c r="A17" t="s">
        <v>95</v>
      </c>
      <c r="B17" s="71">
        <f t="shared" si="4"/>
        <v>60.125</v>
      </c>
      <c r="C17">
        <v>6</v>
      </c>
      <c r="D17">
        <v>2</v>
      </c>
      <c r="E17" s="3">
        <f t="shared" si="5"/>
        <v>6.25</v>
      </c>
      <c r="I17">
        <v>13</v>
      </c>
      <c r="K17" s="72">
        <f t="shared" si="6"/>
        <v>13</v>
      </c>
      <c r="L17" s="3">
        <f t="shared" si="7"/>
        <v>40.875</v>
      </c>
      <c r="N17" s="73">
        <f t="shared" si="8"/>
        <v>0.1936681222707424</v>
      </c>
      <c r="O17" s="73">
        <f t="shared" si="9"/>
        <v>7.9161844978165954</v>
      </c>
    </row>
    <row r="18" spans="1:15" x14ac:dyDescent="0.2">
      <c r="A18" t="s">
        <v>102</v>
      </c>
      <c r="B18" s="71">
        <f t="shared" si="4"/>
        <v>129.5</v>
      </c>
      <c r="C18">
        <v>26.5</v>
      </c>
      <c r="E18" s="3">
        <f t="shared" si="5"/>
        <v>26.5</v>
      </c>
      <c r="I18">
        <f>19+17.5+0.5+1.5</f>
        <v>38.5</v>
      </c>
      <c r="J18">
        <f>1</f>
        <v>1</v>
      </c>
      <c r="K18" s="72">
        <f t="shared" si="6"/>
        <v>38.625</v>
      </c>
      <c r="L18" s="3">
        <f t="shared" si="7"/>
        <v>64.375</v>
      </c>
      <c r="N18" s="73">
        <f t="shared" si="8"/>
        <v>0.10320396429111819</v>
      </c>
      <c r="O18" s="73">
        <f t="shared" si="9"/>
        <v>6.6437552012407339</v>
      </c>
    </row>
    <row r="19" spans="1:15" x14ac:dyDescent="0.2">
      <c r="A19" t="s">
        <v>104</v>
      </c>
      <c r="B19" s="71">
        <f t="shared" si="4"/>
        <v>12.125</v>
      </c>
      <c r="E19" s="3">
        <f t="shared" si="5"/>
        <v>0</v>
      </c>
      <c r="K19" s="72">
        <f t="shared" si="6"/>
        <v>0</v>
      </c>
      <c r="L19" s="3">
        <f t="shared" si="7"/>
        <v>12.125</v>
      </c>
      <c r="N19" s="73">
        <f t="shared" si="8"/>
        <v>0.13333333333333333</v>
      </c>
      <c r="O19" s="73">
        <f t="shared" si="9"/>
        <v>1.6166666666666667</v>
      </c>
    </row>
    <row r="20" spans="1:15" x14ac:dyDescent="0.2">
      <c r="A20" t="s">
        <v>106</v>
      </c>
      <c r="B20" s="71">
        <f t="shared" si="4"/>
        <v>2</v>
      </c>
      <c r="E20" s="3">
        <f t="shared" si="5"/>
        <v>0</v>
      </c>
      <c r="K20" s="72">
        <f t="shared" si="6"/>
        <v>0</v>
      </c>
      <c r="L20" s="3">
        <f t="shared" si="7"/>
        <v>2</v>
      </c>
      <c r="N20" s="73">
        <f t="shared" si="8"/>
        <v>0.15</v>
      </c>
      <c r="O20" s="73">
        <f t="shared" si="9"/>
        <v>0.3</v>
      </c>
    </row>
    <row r="21" spans="1:15" x14ac:dyDescent="0.2">
      <c r="A21" t="s">
        <v>108</v>
      </c>
      <c r="B21" s="71">
        <f t="shared" si="4"/>
        <v>7.25</v>
      </c>
      <c r="E21" s="3">
        <f t="shared" si="5"/>
        <v>0</v>
      </c>
      <c r="K21" s="72">
        <f t="shared" si="6"/>
        <v>0</v>
      </c>
      <c r="L21" s="3">
        <f t="shared" si="7"/>
        <v>7.25</v>
      </c>
      <c r="N21" s="73">
        <f t="shared" si="8"/>
        <v>0.1</v>
      </c>
      <c r="O21" s="73">
        <f t="shared" si="9"/>
        <v>0.72500000000000009</v>
      </c>
    </row>
    <row r="22" spans="1:15" x14ac:dyDescent="0.2">
      <c r="K22" s="72"/>
    </row>
    <row r="23" spans="1:15" x14ac:dyDescent="0.2">
      <c r="A23" s="69" t="s">
        <v>284</v>
      </c>
      <c r="O23" s="48">
        <f>SUM(O15:O21)</f>
        <v>48.306606365724001</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31"/>
  <sheetViews>
    <sheetView zoomScale="90" workbookViewId="0">
      <pane xSplit="1" ySplit="4" topLeftCell="P74" activePane="bottomRight" state="frozen"/>
      <selection pane="topRight" activeCell="B1" sqref="B1"/>
      <selection pane="bottomLeft" activeCell="A5" sqref="A5"/>
      <selection pane="bottomRight" activeCell="T35" sqref="T35"/>
    </sheetView>
  </sheetViews>
  <sheetFormatPr baseColWidth="10" defaultColWidth="8.83203125" defaultRowHeight="15" x14ac:dyDescent="0.2"/>
  <cols>
    <col min="1" max="1" width="44.33203125" bestFit="1" customWidth="1"/>
    <col min="2" max="2" width="11.6640625" customWidth="1"/>
    <col min="6" max="6" width="7.1640625" customWidth="1"/>
    <col min="10" max="10" width="19" customWidth="1"/>
    <col min="14" max="14" width="14.5" customWidth="1"/>
    <col min="15" max="15" width="8.83203125" style="48"/>
    <col min="16" max="16" width="19.33203125" customWidth="1"/>
    <col min="17" max="17" width="19.6640625" customWidth="1"/>
    <col min="19" max="19" width="14.6640625" customWidth="1"/>
    <col min="20" max="20" width="17.6640625" customWidth="1"/>
  </cols>
  <sheetData>
    <row r="1" spans="1:21" ht="16" x14ac:dyDescent="0.2">
      <c r="A1" s="2" t="s">
        <v>440</v>
      </c>
    </row>
    <row r="2" spans="1:21" ht="16" x14ac:dyDescent="0.2">
      <c r="A2" s="2"/>
    </row>
    <row r="3" spans="1:21" x14ac:dyDescent="0.2">
      <c r="A3" s="3"/>
      <c r="B3" s="3"/>
      <c r="C3" s="80" t="s">
        <v>294</v>
      </c>
      <c r="D3" s="80"/>
      <c r="E3" s="80"/>
      <c r="F3" s="80"/>
      <c r="G3" s="81" t="s">
        <v>441</v>
      </c>
      <c r="H3" s="80"/>
      <c r="I3" s="80"/>
      <c r="J3" s="80"/>
      <c r="K3" s="3"/>
      <c r="L3" s="3"/>
      <c r="M3" s="3"/>
      <c r="N3" s="3"/>
      <c r="O3" s="13"/>
      <c r="P3" s="13"/>
      <c r="Q3" s="3"/>
      <c r="R3" s="3"/>
      <c r="S3" s="3"/>
      <c r="T3" s="3"/>
    </row>
    <row r="4" spans="1:21" ht="51" x14ac:dyDescent="0.2">
      <c r="A4" s="4" t="s">
        <v>348</v>
      </c>
      <c r="B4" s="14" t="s">
        <v>442</v>
      </c>
      <c r="C4" s="14" t="s">
        <v>294</v>
      </c>
      <c r="D4" s="2" t="s">
        <v>443</v>
      </c>
      <c r="E4" s="2" t="s">
        <v>444</v>
      </c>
      <c r="F4" s="4" t="s">
        <v>445</v>
      </c>
      <c r="G4" s="2" t="s">
        <v>446</v>
      </c>
      <c r="H4" s="14" t="s">
        <v>295</v>
      </c>
      <c r="I4" s="14" t="s">
        <v>447</v>
      </c>
      <c r="J4" s="14" t="s">
        <v>448</v>
      </c>
      <c r="K4" s="14" t="s">
        <v>449</v>
      </c>
      <c r="L4" s="14" t="s">
        <v>450</v>
      </c>
      <c r="M4" s="14" t="s">
        <v>451</v>
      </c>
      <c r="N4" s="14" t="s">
        <v>452</v>
      </c>
      <c r="O4" s="78" t="s">
        <v>453</v>
      </c>
      <c r="P4" s="15" t="s">
        <v>454</v>
      </c>
      <c r="Q4" s="4" t="s">
        <v>455</v>
      </c>
      <c r="R4" s="4" t="s">
        <v>456</v>
      </c>
      <c r="S4" s="4" t="s">
        <v>457</v>
      </c>
      <c r="T4" s="16" t="s">
        <v>458</v>
      </c>
      <c r="U4" s="14" t="s">
        <v>459</v>
      </c>
    </row>
    <row r="5" spans="1:21" ht="16" x14ac:dyDescent="0.2">
      <c r="A5" s="3" t="s">
        <v>296</v>
      </c>
      <c r="B5">
        <v>3</v>
      </c>
      <c r="C5">
        <v>1</v>
      </c>
      <c r="J5">
        <v>1</v>
      </c>
      <c r="K5">
        <v>2</v>
      </c>
    </row>
    <row r="6" spans="1:21" ht="16" x14ac:dyDescent="0.2">
      <c r="A6" s="3" t="s">
        <v>349</v>
      </c>
    </row>
    <row r="7" spans="1:21" x14ac:dyDescent="0.2">
      <c r="A7" t="s">
        <v>350</v>
      </c>
      <c r="B7">
        <v>6</v>
      </c>
      <c r="C7">
        <v>1</v>
      </c>
      <c r="H7">
        <v>1</v>
      </c>
      <c r="K7">
        <v>7</v>
      </c>
      <c r="O7" s="48">
        <f>R7/H7</f>
        <v>0.2</v>
      </c>
      <c r="R7">
        <f>Receipts!F48</f>
        <v>0.2</v>
      </c>
    </row>
    <row r="8" spans="1:21" x14ac:dyDescent="0.2">
      <c r="A8" t="s">
        <v>351</v>
      </c>
    </row>
    <row r="9" spans="1:21" x14ac:dyDescent="0.2">
      <c r="A9" t="s">
        <v>352</v>
      </c>
    </row>
    <row r="10" spans="1:21" x14ac:dyDescent="0.2">
      <c r="A10" t="s">
        <v>353</v>
      </c>
    </row>
    <row r="11" spans="1:21" x14ac:dyDescent="0.2">
      <c r="A11" t="s">
        <v>354</v>
      </c>
    </row>
    <row r="12" spans="1:21" x14ac:dyDescent="0.2">
      <c r="A12" t="s">
        <v>297</v>
      </c>
      <c r="B12">
        <v>1</v>
      </c>
      <c r="K12">
        <v>1</v>
      </c>
    </row>
    <row r="13" spans="1:21" x14ac:dyDescent="0.2">
      <c r="A13" t="s">
        <v>355</v>
      </c>
    </row>
    <row r="14" spans="1:21" x14ac:dyDescent="0.2">
      <c r="A14" t="s">
        <v>356</v>
      </c>
    </row>
    <row r="15" spans="1:21" x14ac:dyDescent="0.2">
      <c r="A15" t="s">
        <v>357</v>
      </c>
    </row>
    <row r="16" spans="1:21" x14ac:dyDescent="0.2">
      <c r="A16" t="s">
        <v>358</v>
      </c>
    </row>
    <row r="17" spans="1:18" x14ac:dyDescent="0.2">
      <c r="A17" t="s">
        <v>359</v>
      </c>
    </row>
    <row r="18" spans="1:18" x14ac:dyDescent="0.2">
      <c r="A18" t="s">
        <v>360</v>
      </c>
    </row>
    <row r="19" spans="1:18" x14ac:dyDescent="0.2">
      <c r="A19" t="s">
        <v>298</v>
      </c>
      <c r="B19">
        <v>205</v>
      </c>
      <c r="C19">
        <v>50</v>
      </c>
      <c r="H19">
        <v>5</v>
      </c>
      <c r="I19">
        <f>20+21</f>
        <v>41</v>
      </c>
      <c r="K19">
        <v>209</v>
      </c>
      <c r="O19" s="48">
        <f t="shared" ref="O19:O23" si="0">R19/H19</f>
        <v>0.05</v>
      </c>
      <c r="R19">
        <f>Receipts!F49</f>
        <v>0.25</v>
      </c>
    </row>
    <row r="20" spans="1:18" x14ac:dyDescent="0.2">
      <c r="A20" t="s">
        <v>361</v>
      </c>
    </row>
    <row r="21" spans="1:18" x14ac:dyDescent="0.2">
      <c r="A21" t="s">
        <v>362</v>
      </c>
    </row>
    <row r="22" spans="1:18" x14ac:dyDescent="0.2">
      <c r="A22" t="s">
        <v>363</v>
      </c>
    </row>
    <row r="23" spans="1:18" x14ac:dyDescent="0.2">
      <c r="A23" t="s">
        <v>299</v>
      </c>
      <c r="B23">
        <v>150</v>
      </c>
      <c r="C23">
        <v>29</v>
      </c>
      <c r="H23">
        <v>121</v>
      </c>
      <c r="O23" s="48">
        <f t="shared" si="0"/>
        <v>1.5619834710743801E-2</v>
      </c>
      <c r="R23">
        <f>Receipts!F50</f>
        <v>1.89</v>
      </c>
    </row>
    <row r="24" spans="1:18" x14ac:dyDescent="0.2">
      <c r="A24" t="s">
        <v>364</v>
      </c>
    </row>
    <row r="25" spans="1:18" x14ac:dyDescent="0.2">
      <c r="A25" t="s">
        <v>365</v>
      </c>
    </row>
    <row r="26" spans="1:18" x14ac:dyDescent="0.2">
      <c r="A26" t="s">
        <v>366</v>
      </c>
    </row>
    <row r="27" spans="1:18" x14ac:dyDescent="0.2">
      <c r="A27" t="s">
        <v>367</v>
      </c>
    </row>
    <row r="28" spans="1:18" x14ac:dyDescent="0.2">
      <c r="A28" t="s">
        <v>300</v>
      </c>
      <c r="C28">
        <v>9</v>
      </c>
      <c r="I28">
        <v>1</v>
      </c>
      <c r="J28">
        <v>8</v>
      </c>
      <c r="K28">
        <v>0</v>
      </c>
    </row>
    <row r="29" spans="1:18" x14ac:dyDescent="0.2">
      <c r="A29" t="s">
        <v>368</v>
      </c>
    </row>
    <row r="30" spans="1:18" x14ac:dyDescent="0.2">
      <c r="A30" t="s">
        <v>369</v>
      </c>
    </row>
    <row r="31" spans="1:18" s="77" customFormat="1" ht="16" x14ac:dyDescent="0.2">
      <c r="A31" s="5" t="s">
        <v>370</v>
      </c>
      <c r="O31" s="79"/>
      <c r="R31" s="77">
        <f>SUM(R5:R30)</f>
        <v>2.34</v>
      </c>
    </row>
    <row r="34" spans="1:20" ht="17" x14ac:dyDescent="0.2">
      <c r="A34" s="4" t="s">
        <v>371</v>
      </c>
    </row>
    <row r="35" spans="1:20" ht="16" x14ac:dyDescent="0.2">
      <c r="A35" s="3" t="s">
        <v>598</v>
      </c>
      <c r="C35">
        <v>180</v>
      </c>
      <c r="J35">
        <v>180</v>
      </c>
      <c r="O35" s="48">
        <v>0.02</v>
      </c>
      <c r="T35">
        <f>O35*J35</f>
        <v>3.6</v>
      </c>
    </row>
    <row r="36" spans="1:20" x14ac:dyDescent="0.2">
      <c r="A36" t="s">
        <v>372</v>
      </c>
    </row>
    <row r="37" spans="1:20" x14ac:dyDescent="0.2">
      <c r="A37" t="s">
        <v>373</v>
      </c>
    </row>
    <row r="38" spans="1:20" x14ac:dyDescent="0.2">
      <c r="A38" t="s">
        <v>374</v>
      </c>
    </row>
    <row r="39" spans="1:20" x14ac:dyDescent="0.2">
      <c r="A39" t="s">
        <v>375</v>
      </c>
    </row>
    <row r="40" spans="1:20" s="77" customFormat="1" ht="16" x14ac:dyDescent="0.2">
      <c r="A40" s="5" t="s">
        <v>376</v>
      </c>
      <c r="O40" s="79"/>
      <c r="R40" s="77">
        <v>0</v>
      </c>
      <c r="T40" s="77">
        <f>SUM(T35:T39)</f>
        <v>3.6</v>
      </c>
    </row>
    <row r="43" spans="1:20" ht="17" x14ac:dyDescent="0.2">
      <c r="A43" s="4" t="s">
        <v>377</v>
      </c>
    </row>
    <row r="44" spans="1:20" x14ac:dyDescent="0.2">
      <c r="A44" t="s">
        <v>378</v>
      </c>
    </row>
    <row r="45" spans="1:20" x14ac:dyDescent="0.2">
      <c r="A45" t="s">
        <v>379</v>
      </c>
    </row>
    <row r="46" spans="1:20" x14ac:dyDescent="0.2">
      <c r="A46" t="s">
        <v>380</v>
      </c>
    </row>
    <row r="47" spans="1:20" x14ac:dyDescent="0.2">
      <c r="A47" t="s">
        <v>381</v>
      </c>
    </row>
    <row r="48" spans="1:20" x14ac:dyDescent="0.2">
      <c r="A48" s="6" t="s">
        <v>382</v>
      </c>
    </row>
    <row r="49" spans="1:15" x14ac:dyDescent="0.2">
      <c r="A49" t="s">
        <v>383</v>
      </c>
    </row>
    <row r="50" spans="1:15" x14ac:dyDescent="0.2">
      <c r="A50" s="7" t="s">
        <v>384</v>
      </c>
    </row>
    <row r="51" spans="1:15" x14ac:dyDescent="0.2">
      <c r="A51" s="7" t="s">
        <v>385</v>
      </c>
    </row>
    <row r="52" spans="1:15" x14ac:dyDescent="0.2">
      <c r="A52" s="7" t="s">
        <v>386</v>
      </c>
    </row>
    <row r="53" spans="1:15" x14ac:dyDescent="0.2">
      <c r="A53" s="7" t="s">
        <v>387</v>
      </c>
    </row>
    <row r="54" spans="1:15" x14ac:dyDescent="0.2">
      <c r="A54" s="8" t="s">
        <v>388</v>
      </c>
    </row>
    <row r="55" spans="1:15" x14ac:dyDescent="0.2">
      <c r="A55" s="9" t="s">
        <v>389</v>
      </c>
    </row>
    <row r="56" spans="1:15" x14ac:dyDescent="0.2">
      <c r="A56" s="7" t="s">
        <v>384</v>
      </c>
    </row>
    <row r="57" spans="1:15" x14ac:dyDescent="0.2">
      <c r="A57" s="7" t="s">
        <v>385</v>
      </c>
    </row>
    <row r="58" spans="1:15" x14ac:dyDescent="0.2">
      <c r="A58" s="7" t="s">
        <v>386</v>
      </c>
    </row>
    <row r="59" spans="1:15" x14ac:dyDescent="0.2">
      <c r="A59" s="7" t="s">
        <v>387</v>
      </c>
    </row>
    <row r="60" spans="1:15" x14ac:dyDescent="0.2">
      <c r="A60" s="8" t="s">
        <v>390</v>
      </c>
    </row>
    <row r="61" spans="1:15" x14ac:dyDescent="0.2">
      <c r="A61" t="s">
        <v>391</v>
      </c>
    </row>
    <row r="62" spans="1:15" x14ac:dyDescent="0.2">
      <c r="A62" t="s">
        <v>392</v>
      </c>
    </row>
    <row r="63" spans="1:15" x14ac:dyDescent="0.2">
      <c r="A63" t="s">
        <v>393</v>
      </c>
    </row>
    <row r="64" spans="1:15" s="77" customFormat="1" x14ac:dyDescent="0.2">
      <c r="A64" s="77" t="s">
        <v>394</v>
      </c>
      <c r="O64" s="79"/>
    </row>
    <row r="67" spans="1:20" ht="17" x14ac:dyDescent="0.2">
      <c r="A67" s="4" t="s">
        <v>301</v>
      </c>
    </row>
    <row r="68" spans="1:20" ht="16" x14ac:dyDescent="0.2">
      <c r="A68" s="3" t="s">
        <v>395</v>
      </c>
      <c r="F68">
        <v>38</v>
      </c>
      <c r="G68">
        <f>1+1+1</f>
        <v>3</v>
      </c>
      <c r="H68">
        <v>35</v>
      </c>
      <c r="J68">
        <v>0</v>
      </c>
      <c r="O68" s="48">
        <f>R68/H68</f>
        <v>4.2857142857142859E-3</v>
      </c>
      <c r="R68">
        <f>Receipts!F56</f>
        <v>0.15</v>
      </c>
      <c r="T68">
        <f>O68*F68</f>
        <v>0.16285714285714287</v>
      </c>
    </row>
    <row r="69" spans="1:20" x14ac:dyDescent="0.2">
      <c r="A69" t="s">
        <v>396</v>
      </c>
      <c r="C69">
        <v>26</v>
      </c>
      <c r="H69">
        <v>26</v>
      </c>
      <c r="J69">
        <v>0</v>
      </c>
      <c r="O69" s="48">
        <f t="shared" ref="O69:O71" si="1">R69/H69</f>
        <v>1.2692307692307694E-2</v>
      </c>
      <c r="R69">
        <f>Receipts!F39</f>
        <v>0.33</v>
      </c>
      <c r="T69">
        <f>O69*C69</f>
        <v>0.33</v>
      </c>
    </row>
    <row r="70" spans="1:20" x14ac:dyDescent="0.2">
      <c r="A70" t="s">
        <v>397</v>
      </c>
    </row>
    <row r="71" spans="1:20" x14ac:dyDescent="0.2">
      <c r="A71" t="s">
        <v>600</v>
      </c>
      <c r="C71">
        <v>10</v>
      </c>
      <c r="H71">
        <v>10</v>
      </c>
      <c r="O71" s="48">
        <f t="shared" si="1"/>
        <v>3.3000000000000002E-2</v>
      </c>
      <c r="R71">
        <f>Receipts!F38</f>
        <v>0.33</v>
      </c>
      <c r="T71">
        <f t="shared" ref="T70:T71" si="2">O71*C71</f>
        <v>0.33</v>
      </c>
    </row>
    <row r="72" spans="1:20" x14ac:dyDescent="0.2">
      <c r="A72" t="s">
        <v>398</v>
      </c>
    </row>
    <row r="73" spans="1:20" s="77" customFormat="1" x14ac:dyDescent="0.2">
      <c r="A73" s="77" t="s">
        <v>399</v>
      </c>
      <c r="O73" s="79"/>
      <c r="R73" s="77">
        <f>SUM(R68:R72)</f>
        <v>0.81</v>
      </c>
    </row>
    <row r="74" spans="1:20" s="10" customFormat="1" x14ac:dyDescent="0.2">
      <c r="A74" s="10" t="s">
        <v>400</v>
      </c>
      <c r="O74" s="82"/>
      <c r="T74" s="10">
        <f>SUM(T69:T71)</f>
        <v>0.66</v>
      </c>
    </row>
    <row r="76" spans="1:20" ht="16" x14ac:dyDescent="0.2">
      <c r="A76" s="2" t="s">
        <v>401</v>
      </c>
    </row>
    <row r="77" spans="1:20" x14ac:dyDescent="0.2">
      <c r="A77" t="s">
        <v>402</v>
      </c>
    </row>
    <row r="78" spans="1:20" x14ac:dyDescent="0.2">
      <c r="A78" t="s">
        <v>403</v>
      </c>
      <c r="F78">
        <v>38</v>
      </c>
      <c r="G78">
        <v>3</v>
      </c>
      <c r="H78">
        <v>35</v>
      </c>
      <c r="O78" s="48">
        <f>R78/H78</f>
        <v>4.2857142857142859E-3</v>
      </c>
      <c r="R78">
        <f>Receipts!F56</f>
        <v>0.15</v>
      </c>
      <c r="T78">
        <f>O78*H78</f>
        <v>0.15</v>
      </c>
    </row>
    <row r="79" spans="1:20" x14ac:dyDescent="0.2">
      <c r="A79" t="s">
        <v>404</v>
      </c>
    </row>
    <row r="80" spans="1:20" s="77" customFormat="1" x14ac:dyDescent="0.2">
      <c r="A80" s="77" t="s">
        <v>284</v>
      </c>
      <c r="O80" s="79"/>
      <c r="R80" s="77">
        <f>SUM(R77:R79)</f>
        <v>0.15</v>
      </c>
      <c r="T80" s="77">
        <f>T78</f>
        <v>0.15</v>
      </c>
    </row>
    <row r="83" spans="1:20" ht="16" x14ac:dyDescent="0.2">
      <c r="A83" s="2" t="s">
        <v>405</v>
      </c>
    </row>
    <row r="84" spans="1:20" x14ac:dyDescent="0.2">
      <c r="A84" t="s">
        <v>406</v>
      </c>
    </row>
    <row r="85" spans="1:20" x14ac:dyDescent="0.2">
      <c r="A85" t="s">
        <v>407</v>
      </c>
    </row>
    <row r="86" spans="1:20" x14ac:dyDescent="0.2">
      <c r="A86" t="s">
        <v>408</v>
      </c>
    </row>
    <row r="87" spans="1:20" ht="16" x14ac:dyDescent="0.2">
      <c r="A87" s="11" t="s">
        <v>394</v>
      </c>
    </row>
    <row r="89" spans="1:20" ht="16" x14ac:dyDescent="0.2">
      <c r="A89" s="2" t="s">
        <v>409</v>
      </c>
    </row>
    <row r="90" spans="1:20" x14ac:dyDescent="0.2">
      <c r="A90" t="s">
        <v>410</v>
      </c>
    </row>
    <row r="91" spans="1:20" x14ac:dyDescent="0.2">
      <c r="A91" t="s">
        <v>411</v>
      </c>
      <c r="C91" t="s">
        <v>599</v>
      </c>
      <c r="H91" t="s">
        <v>599</v>
      </c>
      <c r="R91">
        <f>Receipts!F36</f>
        <v>0.93</v>
      </c>
      <c r="T91">
        <f>R91</f>
        <v>0.93</v>
      </c>
    </row>
    <row r="92" spans="1:20" s="77" customFormat="1" ht="16" x14ac:dyDescent="0.2">
      <c r="A92" s="5" t="s">
        <v>284</v>
      </c>
      <c r="O92" s="79"/>
      <c r="R92" s="77">
        <f>SUM(R90:R91)</f>
        <v>0.93</v>
      </c>
      <c r="T92" s="77">
        <f>T91</f>
        <v>0.93</v>
      </c>
    </row>
    <row r="94" spans="1:20" ht="16" x14ac:dyDescent="0.2">
      <c r="A94" s="2" t="s">
        <v>412</v>
      </c>
    </row>
    <row r="95" spans="1:20" x14ac:dyDescent="0.2">
      <c r="A95" t="s">
        <v>412</v>
      </c>
    </row>
    <row r="96" spans="1:20" ht="16" x14ac:dyDescent="0.2">
      <c r="A96" s="11" t="s">
        <v>284</v>
      </c>
    </row>
    <row r="97" spans="1:20" ht="16" x14ac:dyDescent="0.2">
      <c r="A97" s="12"/>
    </row>
    <row r="98" spans="1:20" ht="16" x14ac:dyDescent="0.2">
      <c r="A98" s="11" t="s">
        <v>413</v>
      </c>
    </row>
    <row r="101" spans="1:20" ht="16" x14ac:dyDescent="0.2">
      <c r="A101" s="2" t="s">
        <v>302</v>
      </c>
    </row>
    <row r="102" spans="1:20" x14ac:dyDescent="0.2">
      <c r="A102" t="s">
        <v>597</v>
      </c>
      <c r="B102">
        <v>3</v>
      </c>
      <c r="C102">
        <v>12</v>
      </c>
      <c r="H102">
        <v>3</v>
      </c>
      <c r="K102">
        <v>12</v>
      </c>
      <c r="O102" s="48">
        <f>R102/H102</f>
        <v>0.75</v>
      </c>
      <c r="R102">
        <f>Receipts!F55</f>
        <v>2.25</v>
      </c>
      <c r="T102">
        <f>R102</f>
        <v>2.25</v>
      </c>
    </row>
    <row r="103" spans="1:20" s="77" customFormat="1" x14ac:dyDescent="0.2">
      <c r="A103" s="77" t="s">
        <v>302</v>
      </c>
      <c r="O103" s="79"/>
      <c r="R103" s="77">
        <f>SUM(R102)</f>
        <v>2.25</v>
      </c>
      <c r="T103" s="77">
        <f>T102</f>
        <v>2.25</v>
      </c>
    </row>
    <row r="105" spans="1:20" ht="16" x14ac:dyDescent="0.2">
      <c r="A105" s="12" t="s">
        <v>414</v>
      </c>
    </row>
    <row r="106" spans="1:20" ht="16" x14ac:dyDescent="0.2">
      <c r="A106" s="2" t="s">
        <v>303</v>
      </c>
    </row>
    <row r="107" spans="1:20" x14ac:dyDescent="0.2">
      <c r="A107" t="s">
        <v>415</v>
      </c>
    </row>
    <row r="108" spans="1:20" x14ac:dyDescent="0.2">
      <c r="A108" t="s">
        <v>416</v>
      </c>
    </row>
    <row r="109" spans="1:20" x14ac:dyDescent="0.2">
      <c r="A109" t="s">
        <v>417</v>
      </c>
    </row>
    <row r="110" spans="1:20" x14ac:dyDescent="0.2">
      <c r="A110" t="s">
        <v>418</v>
      </c>
    </row>
    <row r="111" spans="1:20" x14ac:dyDescent="0.2">
      <c r="A111" t="s">
        <v>419</v>
      </c>
    </row>
    <row r="112" spans="1:20" x14ac:dyDescent="0.2">
      <c r="A112" t="s">
        <v>420</v>
      </c>
    </row>
    <row r="113" spans="1:1" x14ac:dyDescent="0.2">
      <c r="A113" t="s">
        <v>421</v>
      </c>
    </row>
    <row r="114" spans="1:1" x14ac:dyDescent="0.2">
      <c r="A114" t="s">
        <v>422</v>
      </c>
    </row>
    <row r="115" spans="1:1" x14ac:dyDescent="0.2">
      <c r="A115" t="s">
        <v>423</v>
      </c>
    </row>
    <row r="116" spans="1:1" x14ac:dyDescent="0.2">
      <c r="A116" t="s">
        <v>424</v>
      </c>
    </row>
    <row r="117" spans="1:1" x14ac:dyDescent="0.2">
      <c r="A117" t="s">
        <v>425</v>
      </c>
    </row>
    <row r="118" spans="1:1" x14ac:dyDescent="0.2">
      <c r="A118" t="s">
        <v>426</v>
      </c>
    </row>
    <row r="119" spans="1:1" x14ac:dyDescent="0.2">
      <c r="A119" t="s">
        <v>427</v>
      </c>
    </row>
    <row r="120" spans="1:1" x14ac:dyDescent="0.2">
      <c r="A120" t="s">
        <v>428</v>
      </c>
    </row>
    <row r="121" spans="1:1" x14ac:dyDescent="0.2">
      <c r="A121" t="s">
        <v>429</v>
      </c>
    </row>
    <row r="122" spans="1:1" x14ac:dyDescent="0.2">
      <c r="A122" t="s">
        <v>430</v>
      </c>
    </row>
    <row r="123" spans="1:1" x14ac:dyDescent="0.2">
      <c r="A123" t="s">
        <v>431</v>
      </c>
    </row>
    <row r="124" spans="1:1" x14ac:dyDescent="0.2">
      <c r="A124" t="s">
        <v>432</v>
      </c>
    </row>
    <row r="125" spans="1:1" x14ac:dyDescent="0.2">
      <c r="A125" t="s">
        <v>433</v>
      </c>
    </row>
    <row r="126" spans="1:1" x14ac:dyDescent="0.2">
      <c r="A126" t="s">
        <v>434</v>
      </c>
    </row>
    <row r="127" spans="1:1" x14ac:dyDescent="0.2">
      <c r="A127" t="s">
        <v>435</v>
      </c>
    </row>
    <row r="128" spans="1:1" x14ac:dyDescent="0.2">
      <c r="A128" t="s">
        <v>436</v>
      </c>
    </row>
    <row r="129" spans="1:1" x14ac:dyDescent="0.2">
      <c r="A129" t="s">
        <v>437</v>
      </c>
    </row>
    <row r="130" spans="1:1" x14ac:dyDescent="0.2">
      <c r="A130" t="s">
        <v>438</v>
      </c>
    </row>
    <row r="131" spans="1:1" x14ac:dyDescent="0.2">
      <c r="A131" t="s">
        <v>439</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24"/>
  <sheetViews>
    <sheetView topLeftCell="A107" workbookViewId="0">
      <selection activeCell="C127" sqref="C127:F142"/>
    </sheetView>
  </sheetViews>
  <sheetFormatPr baseColWidth="10" defaultColWidth="8.83203125" defaultRowHeight="15" x14ac:dyDescent="0.2"/>
  <cols>
    <col min="1" max="1" width="63.83203125" bestFit="1" customWidth="1"/>
  </cols>
  <sheetData>
    <row r="1" spans="1:4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
      <c r="A2" t="s">
        <v>40</v>
      </c>
      <c r="B2" t="s">
        <v>41</v>
      </c>
      <c r="C2">
        <v>81.33</v>
      </c>
      <c r="D2">
        <v>81</v>
      </c>
      <c r="E2">
        <v>6</v>
      </c>
      <c r="F2">
        <v>8.25</v>
      </c>
      <c r="H2">
        <v>0</v>
      </c>
      <c r="I2">
        <v>0</v>
      </c>
      <c r="J2">
        <v>0</v>
      </c>
      <c r="K2">
        <v>0</v>
      </c>
      <c r="L2">
        <v>0</v>
      </c>
      <c r="M2">
        <v>0</v>
      </c>
      <c r="N2">
        <v>0</v>
      </c>
    </row>
    <row r="3" spans="1:40" x14ac:dyDescent="0.2">
      <c r="A3" t="s">
        <v>40</v>
      </c>
      <c r="B3" t="s">
        <v>42</v>
      </c>
      <c r="C3">
        <v>0</v>
      </c>
      <c r="D3">
        <v>0</v>
      </c>
      <c r="E3">
        <v>0</v>
      </c>
      <c r="F3">
        <v>0</v>
      </c>
      <c r="H3">
        <v>0</v>
      </c>
      <c r="I3">
        <v>0</v>
      </c>
      <c r="J3">
        <v>0</v>
      </c>
      <c r="K3">
        <v>0</v>
      </c>
      <c r="L3">
        <v>0</v>
      </c>
      <c r="M3">
        <v>0</v>
      </c>
      <c r="N3">
        <v>0</v>
      </c>
    </row>
    <row r="4" spans="1:40" x14ac:dyDescent="0.2">
      <c r="A4" t="s">
        <v>40</v>
      </c>
      <c r="B4" t="s">
        <v>43</v>
      </c>
      <c r="C4">
        <v>0</v>
      </c>
      <c r="D4">
        <v>0</v>
      </c>
      <c r="E4">
        <v>0</v>
      </c>
      <c r="F4">
        <v>0</v>
      </c>
      <c r="H4">
        <v>0</v>
      </c>
      <c r="I4">
        <v>0</v>
      </c>
      <c r="J4">
        <v>0</v>
      </c>
      <c r="K4">
        <v>0</v>
      </c>
      <c r="L4">
        <v>0</v>
      </c>
      <c r="M4">
        <v>0</v>
      </c>
      <c r="N4">
        <v>0</v>
      </c>
    </row>
    <row r="5" spans="1:40" x14ac:dyDescent="0.2">
      <c r="A5" t="s">
        <v>44</v>
      </c>
      <c r="B5" t="s">
        <v>45</v>
      </c>
      <c r="C5">
        <v>1.25</v>
      </c>
      <c r="D5">
        <v>1</v>
      </c>
      <c r="E5">
        <v>5</v>
      </c>
      <c r="F5">
        <v>0</v>
      </c>
      <c r="H5">
        <v>0</v>
      </c>
      <c r="I5">
        <v>0</v>
      </c>
      <c r="J5">
        <v>0</v>
      </c>
      <c r="K5">
        <v>0</v>
      </c>
      <c r="L5">
        <v>0</v>
      </c>
      <c r="M5">
        <v>0</v>
      </c>
      <c r="N5">
        <v>0</v>
      </c>
    </row>
    <row r="6" spans="1:40" x14ac:dyDescent="0.2">
      <c r="A6" t="s">
        <v>44</v>
      </c>
      <c r="B6" t="s">
        <v>46</v>
      </c>
      <c r="C6">
        <v>1.25</v>
      </c>
      <c r="D6">
        <v>1</v>
      </c>
      <c r="E6">
        <v>5</v>
      </c>
      <c r="F6">
        <v>0</v>
      </c>
      <c r="H6">
        <v>0</v>
      </c>
      <c r="I6">
        <v>0</v>
      </c>
      <c r="J6">
        <v>0</v>
      </c>
      <c r="K6">
        <v>0</v>
      </c>
      <c r="L6">
        <v>0</v>
      </c>
      <c r="M6">
        <v>0</v>
      </c>
      <c r="N6">
        <v>0</v>
      </c>
    </row>
    <row r="7" spans="1:40" x14ac:dyDescent="0.2">
      <c r="A7" t="s">
        <v>44</v>
      </c>
      <c r="B7" t="s">
        <v>47</v>
      </c>
      <c r="C7">
        <v>1.25</v>
      </c>
      <c r="D7">
        <v>1</v>
      </c>
      <c r="E7">
        <v>5</v>
      </c>
      <c r="F7">
        <v>0</v>
      </c>
      <c r="H7">
        <v>0</v>
      </c>
      <c r="I7">
        <v>0</v>
      </c>
      <c r="J7">
        <v>0</v>
      </c>
      <c r="K7">
        <v>0</v>
      </c>
      <c r="L7">
        <v>0</v>
      </c>
      <c r="M7">
        <v>0</v>
      </c>
      <c r="N7">
        <v>0</v>
      </c>
    </row>
    <row r="8" spans="1:40" x14ac:dyDescent="0.2">
      <c r="A8" t="s">
        <v>44</v>
      </c>
      <c r="B8" t="s">
        <v>48</v>
      </c>
      <c r="C8">
        <v>1.4</v>
      </c>
      <c r="D8">
        <v>1</v>
      </c>
      <c r="E8">
        <v>8</v>
      </c>
      <c r="F8">
        <v>0.5</v>
      </c>
      <c r="H8">
        <v>0</v>
      </c>
      <c r="I8">
        <v>0</v>
      </c>
      <c r="J8">
        <v>0</v>
      </c>
      <c r="K8">
        <v>0</v>
      </c>
      <c r="L8">
        <v>0</v>
      </c>
      <c r="M8">
        <v>0</v>
      </c>
      <c r="N8">
        <v>0</v>
      </c>
    </row>
    <row r="9" spans="1:40" x14ac:dyDescent="0.2">
      <c r="A9" t="s">
        <v>44</v>
      </c>
      <c r="B9" t="s">
        <v>49</v>
      </c>
      <c r="C9">
        <v>5.15</v>
      </c>
      <c r="D9">
        <v>5</v>
      </c>
      <c r="E9">
        <v>3</v>
      </c>
      <c r="F9">
        <v>0.5</v>
      </c>
      <c r="H9">
        <v>0</v>
      </c>
      <c r="I9">
        <v>0</v>
      </c>
      <c r="J9">
        <v>0</v>
      </c>
      <c r="K9">
        <v>0</v>
      </c>
      <c r="L9">
        <v>0</v>
      </c>
      <c r="M9">
        <v>0</v>
      </c>
      <c r="N9">
        <v>0</v>
      </c>
    </row>
    <row r="10" spans="1:40" x14ac:dyDescent="0.2">
      <c r="A10" t="s">
        <v>50</v>
      </c>
      <c r="B10" t="s">
        <v>51</v>
      </c>
      <c r="C10">
        <v>0.15</v>
      </c>
      <c r="D10">
        <v>0</v>
      </c>
      <c r="E10">
        <v>3</v>
      </c>
      <c r="F10">
        <v>0</v>
      </c>
      <c r="H10">
        <v>0</v>
      </c>
      <c r="I10">
        <v>0</v>
      </c>
      <c r="J10">
        <v>0</v>
      </c>
      <c r="K10">
        <v>0</v>
      </c>
      <c r="L10">
        <v>0</v>
      </c>
      <c r="M10">
        <v>0</v>
      </c>
      <c r="N10">
        <v>0</v>
      </c>
    </row>
    <row r="11" spans="1:40" x14ac:dyDescent="0.2">
      <c r="A11" t="s">
        <v>50</v>
      </c>
      <c r="B11" t="s">
        <v>52</v>
      </c>
      <c r="C11">
        <v>0.12</v>
      </c>
      <c r="D11">
        <v>0</v>
      </c>
      <c r="E11">
        <v>2</v>
      </c>
      <c r="F11">
        <v>6</v>
      </c>
      <c r="H11">
        <v>0</v>
      </c>
      <c r="I11">
        <v>0</v>
      </c>
      <c r="J11">
        <v>0</v>
      </c>
      <c r="K11">
        <v>0</v>
      </c>
      <c r="L11">
        <v>0</v>
      </c>
      <c r="M11">
        <v>0</v>
      </c>
      <c r="N11">
        <v>0</v>
      </c>
    </row>
    <row r="12" spans="1:40" x14ac:dyDescent="0.2">
      <c r="A12" t="s">
        <v>50</v>
      </c>
      <c r="B12" t="s">
        <v>53</v>
      </c>
      <c r="C12">
        <v>0.12</v>
      </c>
      <c r="D12">
        <v>0</v>
      </c>
      <c r="E12">
        <v>2</v>
      </c>
      <c r="F12">
        <v>6</v>
      </c>
      <c r="H12">
        <v>0</v>
      </c>
      <c r="I12">
        <v>0</v>
      </c>
      <c r="J12">
        <v>0</v>
      </c>
      <c r="K12">
        <v>0</v>
      </c>
      <c r="L12">
        <v>0</v>
      </c>
      <c r="M12">
        <v>0</v>
      </c>
      <c r="N12">
        <v>0</v>
      </c>
    </row>
    <row r="13" spans="1:40" x14ac:dyDescent="0.2">
      <c r="A13" t="s">
        <v>54</v>
      </c>
      <c r="B13" t="s">
        <v>55</v>
      </c>
      <c r="C13">
        <v>4.75</v>
      </c>
      <c r="D13">
        <v>4</v>
      </c>
      <c r="E13">
        <v>15</v>
      </c>
      <c r="F13">
        <v>0</v>
      </c>
      <c r="H13">
        <v>0</v>
      </c>
      <c r="I13">
        <v>0</v>
      </c>
      <c r="J13">
        <v>0</v>
      </c>
      <c r="K13">
        <v>0</v>
      </c>
      <c r="L13">
        <v>0</v>
      </c>
      <c r="M13">
        <v>0</v>
      </c>
      <c r="N13">
        <v>0</v>
      </c>
    </row>
    <row r="14" spans="1:40" x14ac:dyDescent="0.2">
      <c r="A14" t="s">
        <v>56</v>
      </c>
      <c r="B14" t="s">
        <v>57</v>
      </c>
      <c r="C14">
        <v>0</v>
      </c>
      <c r="D14">
        <v>0</v>
      </c>
      <c r="E14">
        <v>0</v>
      </c>
      <c r="F14">
        <v>0</v>
      </c>
      <c r="H14">
        <v>0</v>
      </c>
      <c r="I14">
        <v>0</v>
      </c>
      <c r="J14">
        <v>0</v>
      </c>
      <c r="K14">
        <v>0</v>
      </c>
      <c r="L14">
        <v>0</v>
      </c>
      <c r="M14">
        <v>0</v>
      </c>
      <c r="N14">
        <v>0</v>
      </c>
    </row>
    <row r="15" spans="1:40" x14ac:dyDescent="0.2">
      <c r="A15" t="s">
        <v>56</v>
      </c>
      <c r="B15" t="s">
        <v>58</v>
      </c>
      <c r="C15">
        <v>0</v>
      </c>
      <c r="D15">
        <v>0</v>
      </c>
      <c r="E15">
        <v>0</v>
      </c>
      <c r="F15">
        <v>0</v>
      </c>
      <c r="H15">
        <v>0</v>
      </c>
      <c r="I15">
        <v>0</v>
      </c>
      <c r="J15">
        <v>0</v>
      </c>
      <c r="K15">
        <v>0</v>
      </c>
      <c r="L15">
        <v>0</v>
      </c>
      <c r="M15">
        <v>0</v>
      </c>
      <c r="N15">
        <v>0</v>
      </c>
    </row>
    <row r="16" spans="1:40" x14ac:dyDescent="0.2">
      <c r="A16" t="s">
        <v>59</v>
      </c>
      <c r="B16" t="s">
        <v>60</v>
      </c>
      <c r="C16">
        <v>0.01</v>
      </c>
      <c r="D16">
        <v>0</v>
      </c>
      <c r="E16">
        <v>0</v>
      </c>
      <c r="F16">
        <v>3</v>
      </c>
      <c r="H16">
        <v>0</v>
      </c>
      <c r="I16">
        <v>0</v>
      </c>
      <c r="J16">
        <v>0</v>
      </c>
      <c r="K16">
        <v>0</v>
      </c>
      <c r="L16">
        <v>0</v>
      </c>
      <c r="M16">
        <v>0</v>
      </c>
      <c r="N16">
        <v>0</v>
      </c>
    </row>
    <row r="17" spans="1:14" x14ac:dyDescent="0.2">
      <c r="A17" t="s">
        <v>59</v>
      </c>
      <c r="B17" t="s">
        <v>61</v>
      </c>
      <c r="C17">
        <v>0.01</v>
      </c>
      <c r="D17">
        <v>0</v>
      </c>
      <c r="E17">
        <v>0</v>
      </c>
      <c r="F17">
        <v>3</v>
      </c>
      <c r="H17">
        <v>0</v>
      </c>
      <c r="I17">
        <v>0</v>
      </c>
      <c r="J17">
        <v>0</v>
      </c>
      <c r="K17">
        <v>0</v>
      </c>
      <c r="L17">
        <v>0</v>
      </c>
      <c r="M17">
        <v>0</v>
      </c>
      <c r="N17">
        <v>0</v>
      </c>
    </row>
    <row r="18" spans="1:14" x14ac:dyDescent="0.2">
      <c r="A18" t="s">
        <v>62</v>
      </c>
      <c r="B18" t="s">
        <v>63</v>
      </c>
      <c r="C18">
        <v>0.72</v>
      </c>
      <c r="D18">
        <v>0</v>
      </c>
      <c r="E18">
        <v>14</v>
      </c>
      <c r="F18">
        <v>5.25</v>
      </c>
      <c r="H18">
        <v>0</v>
      </c>
      <c r="I18">
        <v>0</v>
      </c>
      <c r="J18">
        <v>0</v>
      </c>
      <c r="K18">
        <v>0</v>
      </c>
      <c r="L18">
        <v>0</v>
      </c>
      <c r="M18">
        <v>0</v>
      </c>
      <c r="N18">
        <v>0</v>
      </c>
    </row>
    <row r="19" spans="1:14" x14ac:dyDescent="0.2">
      <c r="A19" t="s">
        <v>62</v>
      </c>
      <c r="B19" t="s">
        <v>64</v>
      </c>
      <c r="C19">
        <v>0.71</v>
      </c>
      <c r="D19">
        <v>0</v>
      </c>
      <c r="E19">
        <v>14</v>
      </c>
      <c r="F19">
        <v>3.5</v>
      </c>
      <c r="H19">
        <v>0</v>
      </c>
      <c r="I19">
        <v>0</v>
      </c>
      <c r="J19">
        <v>0</v>
      </c>
      <c r="K19">
        <v>0</v>
      </c>
      <c r="L19">
        <v>0</v>
      </c>
      <c r="M19">
        <v>0</v>
      </c>
      <c r="N19">
        <v>0</v>
      </c>
    </row>
    <row r="20" spans="1:14" x14ac:dyDescent="0.2">
      <c r="A20" t="s">
        <v>62</v>
      </c>
      <c r="B20" t="s">
        <v>65</v>
      </c>
      <c r="C20">
        <v>0</v>
      </c>
      <c r="D20">
        <v>0</v>
      </c>
      <c r="E20">
        <v>0</v>
      </c>
      <c r="F20">
        <v>0</v>
      </c>
      <c r="H20">
        <v>0</v>
      </c>
      <c r="I20">
        <v>0</v>
      </c>
      <c r="J20">
        <v>0</v>
      </c>
      <c r="K20">
        <v>0</v>
      </c>
      <c r="L20">
        <v>0</v>
      </c>
      <c r="M20">
        <v>0</v>
      </c>
      <c r="N20">
        <v>0</v>
      </c>
    </row>
    <row r="21" spans="1:14" x14ac:dyDescent="0.2">
      <c r="A21" t="s">
        <v>62</v>
      </c>
      <c r="B21" t="s">
        <v>66</v>
      </c>
      <c r="C21">
        <v>0.11</v>
      </c>
      <c r="D21">
        <v>0</v>
      </c>
      <c r="E21">
        <v>2</v>
      </c>
      <c r="F21">
        <v>3</v>
      </c>
      <c r="H21">
        <v>0</v>
      </c>
      <c r="I21">
        <v>0</v>
      </c>
      <c r="J21">
        <v>0</v>
      </c>
      <c r="K21">
        <v>0</v>
      </c>
      <c r="L21">
        <v>0</v>
      </c>
      <c r="M21">
        <v>0</v>
      </c>
      <c r="N21">
        <v>0</v>
      </c>
    </row>
    <row r="22" spans="1:14" x14ac:dyDescent="0.2">
      <c r="A22" t="s">
        <v>62</v>
      </c>
      <c r="B22" t="s">
        <v>67</v>
      </c>
      <c r="C22">
        <v>0.93</v>
      </c>
      <c r="D22">
        <v>0</v>
      </c>
      <c r="E22">
        <v>18</v>
      </c>
      <c r="F22">
        <v>7.5</v>
      </c>
      <c r="H22">
        <v>0</v>
      </c>
      <c r="I22">
        <v>0</v>
      </c>
      <c r="J22">
        <v>0</v>
      </c>
      <c r="K22">
        <v>0</v>
      </c>
      <c r="L22">
        <v>0</v>
      </c>
      <c r="M22">
        <v>0</v>
      </c>
      <c r="N22">
        <v>0</v>
      </c>
    </row>
    <row r="23" spans="1:14" x14ac:dyDescent="0.2">
      <c r="A23" t="s">
        <v>62</v>
      </c>
      <c r="B23" t="s">
        <v>68</v>
      </c>
      <c r="C23">
        <v>0.1</v>
      </c>
      <c r="D23">
        <v>0</v>
      </c>
      <c r="E23">
        <v>2</v>
      </c>
      <c r="F23">
        <v>0</v>
      </c>
      <c r="H23">
        <v>0</v>
      </c>
      <c r="I23">
        <v>0</v>
      </c>
      <c r="J23">
        <v>0</v>
      </c>
      <c r="K23">
        <v>0</v>
      </c>
      <c r="L23">
        <v>0</v>
      </c>
      <c r="M23">
        <v>0</v>
      </c>
      <c r="N23">
        <v>0</v>
      </c>
    </row>
    <row r="24" spans="1:14" x14ac:dyDescent="0.2">
      <c r="A24" t="s">
        <v>62</v>
      </c>
      <c r="B24" t="s">
        <v>69</v>
      </c>
      <c r="C24">
        <v>0.33</v>
      </c>
      <c r="D24">
        <v>0</v>
      </c>
      <c r="E24">
        <v>6</v>
      </c>
      <c r="F24">
        <v>8</v>
      </c>
      <c r="H24">
        <v>0</v>
      </c>
      <c r="I24">
        <v>0</v>
      </c>
      <c r="J24">
        <v>0</v>
      </c>
      <c r="K24">
        <v>0</v>
      </c>
      <c r="L24">
        <v>0</v>
      </c>
      <c r="M24">
        <v>0</v>
      </c>
      <c r="N24">
        <v>0</v>
      </c>
    </row>
    <row r="25" spans="1:14" x14ac:dyDescent="0.2">
      <c r="A25" t="s">
        <v>62</v>
      </c>
      <c r="B25" t="s">
        <v>70</v>
      </c>
      <c r="C25">
        <v>0.33</v>
      </c>
      <c r="D25">
        <v>0</v>
      </c>
      <c r="E25">
        <v>6</v>
      </c>
      <c r="F25">
        <v>6</v>
      </c>
      <c r="H25">
        <v>0</v>
      </c>
      <c r="I25">
        <v>0</v>
      </c>
      <c r="J25">
        <v>0</v>
      </c>
      <c r="K25">
        <v>0</v>
      </c>
      <c r="L25">
        <v>0</v>
      </c>
      <c r="M25">
        <v>0</v>
      </c>
      <c r="N25">
        <v>0</v>
      </c>
    </row>
    <row r="26" spans="1:14" x14ac:dyDescent="0.2">
      <c r="A26" t="s">
        <v>62</v>
      </c>
      <c r="B26" t="s">
        <v>71</v>
      </c>
      <c r="C26">
        <v>0.05</v>
      </c>
      <c r="D26">
        <v>0</v>
      </c>
      <c r="E26">
        <v>1</v>
      </c>
      <c r="F26">
        <v>0</v>
      </c>
      <c r="G26" t="s">
        <v>72</v>
      </c>
      <c r="H26">
        <v>0</v>
      </c>
      <c r="I26">
        <v>0</v>
      </c>
      <c r="J26">
        <v>0</v>
      </c>
      <c r="K26">
        <v>0</v>
      </c>
      <c r="L26">
        <v>0</v>
      </c>
      <c r="M26">
        <v>0</v>
      </c>
      <c r="N26">
        <v>0</v>
      </c>
    </row>
    <row r="27" spans="1:14" x14ac:dyDescent="0.2">
      <c r="A27" t="s">
        <v>62</v>
      </c>
      <c r="B27" t="s">
        <v>73</v>
      </c>
      <c r="C27">
        <v>0.15</v>
      </c>
      <c r="D27">
        <v>0</v>
      </c>
      <c r="E27">
        <v>3</v>
      </c>
      <c r="F27">
        <v>0</v>
      </c>
      <c r="H27">
        <v>0</v>
      </c>
      <c r="I27">
        <v>0</v>
      </c>
      <c r="J27">
        <v>0</v>
      </c>
      <c r="K27">
        <v>0</v>
      </c>
      <c r="L27">
        <v>0</v>
      </c>
      <c r="M27">
        <v>0</v>
      </c>
      <c r="N27">
        <v>0</v>
      </c>
    </row>
    <row r="28" spans="1:14" x14ac:dyDescent="0.2">
      <c r="A28" t="s">
        <v>62</v>
      </c>
      <c r="B28" t="s">
        <v>74</v>
      </c>
      <c r="C28">
        <v>0</v>
      </c>
      <c r="D28">
        <v>0</v>
      </c>
      <c r="E28">
        <v>0</v>
      </c>
      <c r="F28">
        <v>0</v>
      </c>
      <c r="H28">
        <v>0</v>
      </c>
      <c r="I28">
        <v>0</v>
      </c>
      <c r="J28">
        <v>0</v>
      </c>
      <c r="K28">
        <v>0</v>
      </c>
      <c r="L28">
        <v>0</v>
      </c>
      <c r="M28">
        <v>0</v>
      </c>
      <c r="N28">
        <v>0</v>
      </c>
    </row>
    <row r="29" spans="1:14" x14ac:dyDescent="0.2">
      <c r="A29" t="s">
        <v>62</v>
      </c>
      <c r="B29" t="s">
        <v>75</v>
      </c>
      <c r="C29">
        <v>0.05</v>
      </c>
      <c r="D29">
        <v>0</v>
      </c>
      <c r="E29">
        <v>1</v>
      </c>
      <c r="F29">
        <v>0</v>
      </c>
      <c r="H29">
        <v>0</v>
      </c>
      <c r="I29">
        <v>0</v>
      </c>
      <c r="J29">
        <v>0</v>
      </c>
      <c r="K29">
        <v>0</v>
      </c>
      <c r="L29">
        <v>0</v>
      </c>
      <c r="M29">
        <v>0</v>
      </c>
      <c r="N29">
        <v>0</v>
      </c>
    </row>
    <row r="30" spans="1:14" x14ac:dyDescent="0.2">
      <c r="A30" t="s">
        <v>62</v>
      </c>
      <c r="B30" t="s">
        <v>76</v>
      </c>
      <c r="C30">
        <v>0.05</v>
      </c>
      <c r="D30">
        <v>0</v>
      </c>
      <c r="E30">
        <v>1</v>
      </c>
      <c r="F30">
        <v>0</v>
      </c>
      <c r="H30">
        <v>0</v>
      </c>
      <c r="I30">
        <v>0</v>
      </c>
      <c r="J30">
        <v>0</v>
      </c>
      <c r="K30">
        <v>0</v>
      </c>
      <c r="L30">
        <v>0</v>
      </c>
      <c r="M30">
        <v>0</v>
      </c>
      <c r="N30">
        <v>0</v>
      </c>
    </row>
    <row r="31" spans="1:14" x14ac:dyDescent="0.2">
      <c r="A31" t="s">
        <v>62</v>
      </c>
      <c r="B31" t="s">
        <v>77</v>
      </c>
      <c r="C31">
        <v>0</v>
      </c>
      <c r="D31">
        <v>0</v>
      </c>
      <c r="E31">
        <v>0</v>
      </c>
      <c r="F31">
        <v>0</v>
      </c>
      <c r="H31">
        <v>0</v>
      </c>
      <c r="I31">
        <v>0</v>
      </c>
      <c r="J31">
        <v>0</v>
      </c>
      <c r="K31">
        <v>0</v>
      </c>
      <c r="L31">
        <v>0</v>
      </c>
      <c r="M31">
        <v>0</v>
      </c>
      <c r="N31">
        <v>0</v>
      </c>
    </row>
    <row r="32" spans="1:14" x14ac:dyDescent="0.2">
      <c r="A32" t="s">
        <v>62</v>
      </c>
      <c r="B32" t="s">
        <v>78</v>
      </c>
      <c r="C32">
        <v>0.1</v>
      </c>
      <c r="D32">
        <v>0</v>
      </c>
      <c r="E32">
        <v>2</v>
      </c>
      <c r="F32">
        <v>0</v>
      </c>
      <c r="H32">
        <v>0</v>
      </c>
      <c r="I32">
        <v>0</v>
      </c>
      <c r="J32">
        <v>0</v>
      </c>
      <c r="K32">
        <v>0</v>
      </c>
      <c r="L32">
        <v>0</v>
      </c>
      <c r="M32">
        <v>0</v>
      </c>
      <c r="N32">
        <v>0</v>
      </c>
    </row>
    <row r="33" spans="1:30" x14ac:dyDescent="0.2">
      <c r="A33" t="s">
        <v>62</v>
      </c>
      <c r="B33" t="s">
        <v>79</v>
      </c>
      <c r="C33">
        <v>0.17</v>
      </c>
      <c r="D33">
        <v>0</v>
      </c>
      <c r="E33">
        <v>3</v>
      </c>
      <c r="F33">
        <v>6</v>
      </c>
      <c r="H33">
        <v>0</v>
      </c>
      <c r="I33">
        <v>0</v>
      </c>
      <c r="J33">
        <v>0</v>
      </c>
      <c r="K33">
        <v>0</v>
      </c>
      <c r="L33">
        <v>0</v>
      </c>
      <c r="M33">
        <v>0</v>
      </c>
      <c r="N33">
        <v>0</v>
      </c>
    </row>
    <row r="34" spans="1:30" x14ac:dyDescent="0.2">
      <c r="A34" t="s">
        <v>62</v>
      </c>
      <c r="B34" t="s">
        <v>80</v>
      </c>
      <c r="C34">
        <v>0.2</v>
      </c>
      <c r="D34">
        <v>0</v>
      </c>
      <c r="E34">
        <v>4</v>
      </c>
      <c r="F34">
        <v>0</v>
      </c>
      <c r="H34">
        <v>0</v>
      </c>
      <c r="I34">
        <v>0</v>
      </c>
      <c r="J34">
        <v>0</v>
      </c>
      <c r="K34">
        <v>0</v>
      </c>
      <c r="L34">
        <v>0</v>
      </c>
      <c r="M34">
        <v>0</v>
      </c>
      <c r="N34">
        <v>0</v>
      </c>
    </row>
    <row r="35" spans="1:30" x14ac:dyDescent="0.2">
      <c r="A35" t="s">
        <v>62</v>
      </c>
      <c r="B35" t="s">
        <v>81</v>
      </c>
      <c r="C35">
        <v>0.25</v>
      </c>
      <c r="D35">
        <v>0</v>
      </c>
      <c r="E35">
        <v>5</v>
      </c>
      <c r="F35">
        <v>0</v>
      </c>
      <c r="H35">
        <v>0</v>
      </c>
      <c r="I35">
        <v>0</v>
      </c>
      <c r="J35">
        <v>0</v>
      </c>
      <c r="K35">
        <v>0</v>
      </c>
      <c r="L35">
        <v>0</v>
      </c>
      <c r="M35">
        <v>0</v>
      </c>
      <c r="N35">
        <v>0</v>
      </c>
    </row>
    <row r="36" spans="1:30" x14ac:dyDescent="0.2">
      <c r="A36" t="s">
        <v>62</v>
      </c>
      <c r="B36" t="s">
        <v>82</v>
      </c>
      <c r="C36">
        <v>1.89</v>
      </c>
      <c r="D36">
        <v>1</v>
      </c>
      <c r="E36">
        <v>17</v>
      </c>
      <c r="F36">
        <v>9</v>
      </c>
      <c r="H36">
        <v>0</v>
      </c>
      <c r="I36">
        <v>0</v>
      </c>
      <c r="J36">
        <v>0</v>
      </c>
      <c r="K36">
        <v>0</v>
      </c>
      <c r="L36">
        <v>0</v>
      </c>
      <c r="M36">
        <v>0</v>
      </c>
      <c r="N36">
        <v>0</v>
      </c>
    </row>
    <row r="37" spans="1:30" x14ac:dyDescent="0.2">
      <c r="A37" t="s">
        <v>62</v>
      </c>
      <c r="B37" t="s">
        <v>83</v>
      </c>
      <c r="C37">
        <v>0</v>
      </c>
      <c r="D37">
        <v>0</v>
      </c>
      <c r="E37">
        <v>0</v>
      </c>
      <c r="F37">
        <v>0</v>
      </c>
      <c r="H37">
        <v>0</v>
      </c>
      <c r="I37">
        <v>0</v>
      </c>
      <c r="J37">
        <v>0</v>
      </c>
      <c r="K37">
        <v>0</v>
      </c>
      <c r="L37">
        <v>0</v>
      </c>
      <c r="M37">
        <v>0</v>
      </c>
      <c r="N37">
        <v>0</v>
      </c>
    </row>
    <row r="38" spans="1:30" x14ac:dyDescent="0.2">
      <c r="A38" t="s">
        <v>62</v>
      </c>
      <c r="B38" t="s">
        <v>84</v>
      </c>
      <c r="C38">
        <v>0.26</v>
      </c>
      <c r="D38">
        <v>0</v>
      </c>
      <c r="E38">
        <v>5</v>
      </c>
      <c r="F38">
        <v>3</v>
      </c>
      <c r="H38">
        <v>0</v>
      </c>
      <c r="I38">
        <v>0</v>
      </c>
      <c r="J38">
        <v>0</v>
      </c>
      <c r="K38">
        <v>0</v>
      </c>
      <c r="L38">
        <v>0</v>
      </c>
      <c r="M38">
        <v>0</v>
      </c>
      <c r="N38">
        <v>0</v>
      </c>
    </row>
    <row r="39" spans="1:30" x14ac:dyDescent="0.2">
      <c r="A39" t="s">
        <v>62</v>
      </c>
      <c r="B39" t="s">
        <v>85</v>
      </c>
      <c r="C39">
        <v>0.13</v>
      </c>
      <c r="D39">
        <v>0</v>
      </c>
      <c r="E39">
        <v>2</v>
      </c>
      <c r="F39">
        <v>7.5</v>
      </c>
      <c r="H39">
        <v>0</v>
      </c>
      <c r="I39">
        <v>0</v>
      </c>
      <c r="J39">
        <v>0</v>
      </c>
      <c r="K39">
        <v>0</v>
      </c>
      <c r="L39">
        <v>0</v>
      </c>
      <c r="M39">
        <v>0</v>
      </c>
      <c r="N39">
        <v>0</v>
      </c>
    </row>
    <row r="40" spans="1:30" x14ac:dyDescent="0.2">
      <c r="A40" t="s">
        <v>62</v>
      </c>
      <c r="B40" t="s">
        <v>86</v>
      </c>
      <c r="C40">
        <v>0</v>
      </c>
      <c r="D40">
        <v>0</v>
      </c>
      <c r="E40">
        <v>0</v>
      </c>
      <c r="F40">
        <v>0</v>
      </c>
      <c r="H40">
        <v>0</v>
      </c>
      <c r="I40">
        <v>0</v>
      </c>
      <c r="J40">
        <v>0</v>
      </c>
      <c r="K40">
        <v>0</v>
      </c>
      <c r="L40">
        <v>0</v>
      </c>
      <c r="M40">
        <v>0</v>
      </c>
      <c r="N40">
        <v>0</v>
      </c>
    </row>
    <row r="41" spans="1:30" x14ac:dyDescent="0.2">
      <c r="A41" t="s">
        <v>62</v>
      </c>
      <c r="B41" t="s">
        <v>87</v>
      </c>
      <c r="C41">
        <v>2.25</v>
      </c>
      <c r="D41">
        <v>2</v>
      </c>
      <c r="E41">
        <v>5</v>
      </c>
      <c r="F41">
        <v>0</v>
      </c>
      <c r="H41">
        <v>0</v>
      </c>
      <c r="I41">
        <v>0</v>
      </c>
      <c r="J41">
        <v>0</v>
      </c>
      <c r="K41">
        <v>0</v>
      </c>
      <c r="L41">
        <v>0</v>
      </c>
      <c r="M41">
        <v>0</v>
      </c>
      <c r="N41">
        <v>0</v>
      </c>
    </row>
    <row r="42" spans="1:30" x14ac:dyDescent="0.2">
      <c r="A42" t="s">
        <v>62</v>
      </c>
      <c r="B42" t="s">
        <v>88</v>
      </c>
      <c r="C42">
        <v>0.15</v>
      </c>
      <c r="D42">
        <v>0</v>
      </c>
      <c r="E42">
        <v>2</v>
      </c>
      <c r="F42">
        <v>11</v>
      </c>
      <c r="H42">
        <v>0</v>
      </c>
      <c r="I42">
        <v>0</v>
      </c>
      <c r="J42">
        <v>0</v>
      </c>
      <c r="K42">
        <v>0</v>
      </c>
      <c r="L42">
        <v>0</v>
      </c>
      <c r="M42">
        <v>0</v>
      </c>
      <c r="N42">
        <v>0</v>
      </c>
    </row>
    <row r="43" spans="1:30" x14ac:dyDescent="0.2">
      <c r="A43" t="s">
        <v>62</v>
      </c>
      <c r="B43" t="s">
        <v>89</v>
      </c>
      <c r="C43">
        <v>0.03</v>
      </c>
      <c r="D43">
        <v>0</v>
      </c>
      <c r="E43">
        <v>0</v>
      </c>
      <c r="F43">
        <v>8</v>
      </c>
      <c r="H43">
        <v>0</v>
      </c>
      <c r="I43">
        <v>0</v>
      </c>
      <c r="J43">
        <v>0</v>
      </c>
      <c r="K43">
        <v>0</v>
      </c>
      <c r="L43">
        <v>0</v>
      </c>
      <c r="M43">
        <v>0</v>
      </c>
      <c r="N43">
        <v>0</v>
      </c>
    </row>
    <row r="44" spans="1:30" x14ac:dyDescent="0.2">
      <c r="A44" t="s">
        <v>62</v>
      </c>
      <c r="B44" t="s">
        <v>90</v>
      </c>
      <c r="C44">
        <v>8.9600000000000009</v>
      </c>
      <c r="D44">
        <v>8</v>
      </c>
      <c r="E44">
        <v>19</v>
      </c>
      <c r="F44">
        <v>2.75</v>
      </c>
      <c r="H44">
        <v>0</v>
      </c>
      <c r="I44">
        <v>0</v>
      </c>
      <c r="J44">
        <v>0</v>
      </c>
      <c r="K44">
        <v>0</v>
      </c>
      <c r="L44">
        <v>0</v>
      </c>
      <c r="M44">
        <v>0</v>
      </c>
      <c r="N44">
        <v>0</v>
      </c>
    </row>
    <row r="45" spans="1:30" x14ac:dyDescent="0.2">
      <c r="A45" t="s">
        <v>91</v>
      </c>
      <c r="B45" t="s">
        <v>92</v>
      </c>
      <c r="C45">
        <v>7.22</v>
      </c>
      <c r="D45">
        <v>7</v>
      </c>
      <c r="E45">
        <v>4</v>
      </c>
      <c r="F45">
        <v>5.5</v>
      </c>
      <c r="G45" t="s">
        <v>72</v>
      </c>
      <c r="H45">
        <v>24.5</v>
      </c>
      <c r="I45">
        <v>5</v>
      </c>
      <c r="J45">
        <v>25.125</v>
      </c>
      <c r="K45">
        <v>25.125</v>
      </c>
      <c r="L45">
        <v>0</v>
      </c>
      <c r="M45">
        <v>25</v>
      </c>
      <c r="N45">
        <v>1</v>
      </c>
      <c r="O45">
        <v>8</v>
      </c>
      <c r="P45">
        <v>5</v>
      </c>
      <c r="Q45">
        <v>6.5</v>
      </c>
      <c r="R45">
        <v>0</v>
      </c>
      <c r="S45">
        <v>10</v>
      </c>
      <c r="T45">
        <v>0</v>
      </c>
      <c r="Y45">
        <v>5</v>
      </c>
      <c r="Z45">
        <v>0</v>
      </c>
      <c r="AA45">
        <v>5</v>
      </c>
      <c r="AB45">
        <v>4</v>
      </c>
      <c r="AC45">
        <v>6</v>
      </c>
      <c r="AD45">
        <v>8</v>
      </c>
    </row>
    <row r="46" spans="1:30" x14ac:dyDescent="0.2">
      <c r="A46" t="s">
        <v>91</v>
      </c>
      <c r="B46" t="s">
        <v>93</v>
      </c>
      <c r="C46">
        <v>2.64</v>
      </c>
      <c r="D46">
        <v>2</v>
      </c>
      <c r="E46">
        <v>12</v>
      </c>
      <c r="F46">
        <v>10.5</v>
      </c>
      <c r="H46">
        <v>18</v>
      </c>
      <c r="I46">
        <v>7</v>
      </c>
      <c r="J46">
        <v>18.875</v>
      </c>
      <c r="K46">
        <v>18.875</v>
      </c>
      <c r="L46">
        <v>0</v>
      </c>
      <c r="M46">
        <v>18</v>
      </c>
      <c r="N46">
        <v>7</v>
      </c>
      <c r="O46">
        <v>11</v>
      </c>
      <c r="P46">
        <v>2</v>
      </c>
      <c r="Q46">
        <v>7</v>
      </c>
      <c r="R46">
        <v>5</v>
      </c>
      <c r="Y46">
        <v>2</v>
      </c>
      <c r="Z46">
        <v>8</v>
      </c>
      <c r="AA46">
        <v>3</v>
      </c>
      <c r="AB46">
        <v>0</v>
      </c>
    </row>
    <row r="47" spans="1:30" x14ac:dyDescent="0.2">
      <c r="A47" t="s">
        <v>91</v>
      </c>
      <c r="B47" t="s">
        <v>94</v>
      </c>
      <c r="C47">
        <v>0.5</v>
      </c>
      <c r="D47">
        <v>0</v>
      </c>
      <c r="E47">
        <v>10</v>
      </c>
      <c r="F47">
        <v>0</v>
      </c>
      <c r="G47" t="s">
        <v>95</v>
      </c>
      <c r="H47">
        <v>2.5</v>
      </c>
      <c r="I47">
        <v>0</v>
      </c>
      <c r="J47">
        <v>2.5</v>
      </c>
      <c r="K47">
        <v>2.5</v>
      </c>
      <c r="L47">
        <v>0</v>
      </c>
      <c r="M47">
        <v>2.5</v>
      </c>
      <c r="N47">
        <v>0</v>
      </c>
      <c r="Y47">
        <v>4</v>
      </c>
      <c r="Z47">
        <v>0</v>
      </c>
    </row>
    <row r="48" spans="1:30" x14ac:dyDescent="0.2">
      <c r="A48" t="s">
        <v>91</v>
      </c>
      <c r="B48" t="s">
        <v>96</v>
      </c>
      <c r="C48">
        <v>10.37</v>
      </c>
      <c r="D48">
        <v>10</v>
      </c>
      <c r="E48">
        <v>7</v>
      </c>
      <c r="F48">
        <v>4</v>
      </c>
      <c r="H48">
        <v>0</v>
      </c>
      <c r="I48">
        <v>0</v>
      </c>
      <c r="J48">
        <v>0</v>
      </c>
      <c r="K48">
        <v>0</v>
      </c>
      <c r="L48">
        <v>0</v>
      </c>
      <c r="M48">
        <v>0</v>
      </c>
      <c r="N48">
        <v>0</v>
      </c>
    </row>
    <row r="49" spans="1:30" x14ac:dyDescent="0.2">
      <c r="A49" t="s">
        <v>97</v>
      </c>
      <c r="B49" t="s">
        <v>98</v>
      </c>
      <c r="C49">
        <v>20.18</v>
      </c>
      <c r="D49">
        <v>20</v>
      </c>
      <c r="E49">
        <v>3</v>
      </c>
      <c r="F49">
        <v>7.5</v>
      </c>
      <c r="G49" t="s">
        <v>72</v>
      </c>
      <c r="H49">
        <v>65.5</v>
      </c>
      <c r="I49">
        <v>3</v>
      </c>
      <c r="J49">
        <v>65.875</v>
      </c>
      <c r="K49">
        <v>65.875</v>
      </c>
      <c r="L49">
        <v>0</v>
      </c>
      <c r="M49">
        <v>65</v>
      </c>
      <c r="N49">
        <v>7</v>
      </c>
      <c r="O49">
        <v>9</v>
      </c>
      <c r="P49">
        <v>1</v>
      </c>
      <c r="Q49">
        <v>15</v>
      </c>
      <c r="R49">
        <v>2</v>
      </c>
      <c r="S49">
        <v>41.5</v>
      </c>
      <c r="T49">
        <v>0</v>
      </c>
      <c r="Y49">
        <v>5</v>
      </c>
      <c r="Z49">
        <v>0</v>
      </c>
      <c r="AA49">
        <v>5</v>
      </c>
      <c r="AB49">
        <v>4</v>
      </c>
      <c r="AC49">
        <v>6</v>
      </c>
      <c r="AD49">
        <v>8</v>
      </c>
    </row>
    <row r="50" spans="1:30" x14ac:dyDescent="0.2">
      <c r="A50" t="s">
        <v>97</v>
      </c>
      <c r="B50" t="s">
        <v>99</v>
      </c>
      <c r="C50">
        <v>1.98</v>
      </c>
      <c r="D50">
        <v>1</v>
      </c>
      <c r="E50">
        <v>19</v>
      </c>
      <c r="F50">
        <v>7</v>
      </c>
      <c r="H50">
        <v>14</v>
      </c>
      <c r="I50">
        <v>7</v>
      </c>
      <c r="J50">
        <v>14.875</v>
      </c>
      <c r="K50">
        <v>14.875</v>
      </c>
      <c r="L50">
        <v>0</v>
      </c>
      <c r="M50">
        <v>14</v>
      </c>
      <c r="N50">
        <v>7</v>
      </c>
      <c r="Y50">
        <v>2</v>
      </c>
      <c r="Z50">
        <v>8</v>
      </c>
    </row>
    <row r="51" spans="1:30" x14ac:dyDescent="0.2">
      <c r="A51" t="s">
        <v>97</v>
      </c>
      <c r="B51" t="s">
        <v>100</v>
      </c>
      <c r="C51">
        <v>7.68</v>
      </c>
      <c r="D51">
        <v>7</v>
      </c>
      <c r="E51">
        <v>13</v>
      </c>
      <c r="F51">
        <v>6</v>
      </c>
      <c r="G51" t="s">
        <v>95</v>
      </c>
      <c r="H51">
        <v>38</v>
      </c>
      <c r="I51">
        <v>3</v>
      </c>
      <c r="J51">
        <v>38.375</v>
      </c>
      <c r="K51">
        <v>38.375</v>
      </c>
      <c r="L51">
        <v>0</v>
      </c>
      <c r="M51">
        <v>38</v>
      </c>
      <c r="N51">
        <v>3</v>
      </c>
      <c r="Y51">
        <v>4</v>
      </c>
      <c r="Z51">
        <v>0</v>
      </c>
    </row>
    <row r="52" spans="1:30" x14ac:dyDescent="0.2">
      <c r="A52" t="s">
        <v>97</v>
      </c>
      <c r="B52" t="s">
        <v>101</v>
      </c>
      <c r="C52">
        <v>5.91</v>
      </c>
      <c r="D52">
        <v>5</v>
      </c>
      <c r="E52">
        <v>18</v>
      </c>
      <c r="F52">
        <v>1.5</v>
      </c>
      <c r="G52" t="s">
        <v>102</v>
      </c>
      <c r="H52">
        <v>62</v>
      </c>
      <c r="I52">
        <v>16</v>
      </c>
      <c r="J52">
        <v>64</v>
      </c>
      <c r="K52">
        <v>64</v>
      </c>
      <c r="L52">
        <v>0</v>
      </c>
      <c r="M52">
        <v>64</v>
      </c>
      <c r="N52">
        <v>0</v>
      </c>
      <c r="O52">
        <v>44</v>
      </c>
      <c r="P52">
        <v>7</v>
      </c>
      <c r="Q52">
        <v>7</v>
      </c>
      <c r="R52">
        <v>6</v>
      </c>
      <c r="S52">
        <v>11</v>
      </c>
      <c r="T52">
        <v>3</v>
      </c>
      <c r="Y52">
        <v>1</v>
      </c>
      <c r="Z52">
        <v>8</v>
      </c>
      <c r="AA52">
        <v>2</v>
      </c>
      <c r="AB52">
        <v>2</v>
      </c>
      <c r="AC52">
        <v>2</v>
      </c>
      <c r="AD52">
        <v>4</v>
      </c>
    </row>
    <row r="53" spans="1:30" x14ac:dyDescent="0.2">
      <c r="A53" t="s">
        <v>97</v>
      </c>
      <c r="B53" t="s">
        <v>103</v>
      </c>
      <c r="C53">
        <v>1.62</v>
      </c>
      <c r="D53">
        <v>1</v>
      </c>
      <c r="E53">
        <v>12</v>
      </c>
      <c r="F53">
        <v>4</v>
      </c>
      <c r="G53" t="s">
        <v>104</v>
      </c>
      <c r="H53">
        <v>12</v>
      </c>
      <c r="I53">
        <v>1</v>
      </c>
      <c r="J53">
        <v>12.125</v>
      </c>
      <c r="K53">
        <v>12.125</v>
      </c>
      <c r="L53">
        <v>0</v>
      </c>
      <c r="M53">
        <v>12</v>
      </c>
      <c r="N53">
        <v>1</v>
      </c>
      <c r="Y53">
        <v>2</v>
      </c>
      <c r="Z53">
        <v>8</v>
      </c>
    </row>
    <row r="54" spans="1:30" x14ac:dyDescent="0.2">
      <c r="A54" t="s">
        <v>97</v>
      </c>
      <c r="B54" t="s">
        <v>105</v>
      </c>
      <c r="C54">
        <v>0.2</v>
      </c>
      <c r="D54">
        <v>0</v>
      </c>
      <c r="E54">
        <v>4</v>
      </c>
      <c r="F54">
        <v>0</v>
      </c>
      <c r="G54" t="s">
        <v>106</v>
      </c>
      <c r="H54">
        <v>2</v>
      </c>
      <c r="I54">
        <v>0</v>
      </c>
      <c r="J54">
        <v>2</v>
      </c>
      <c r="K54">
        <v>2</v>
      </c>
      <c r="L54">
        <v>0</v>
      </c>
      <c r="M54">
        <v>2</v>
      </c>
      <c r="N54">
        <v>0</v>
      </c>
    </row>
    <row r="55" spans="1:30" x14ac:dyDescent="0.2">
      <c r="A55" t="s">
        <v>97</v>
      </c>
      <c r="B55" t="s">
        <v>107</v>
      </c>
      <c r="C55">
        <v>0.6</v>
      </c>
      <c r="D55">
        <v>0</v>
      </c>
      <c r="E55">
        <v>12</v>
      </c>
      <c r="F55">
        <v>1</v>
      </c>
      <c r="G55" t="s">
        <v>108</v>
      </c>
      <c r="H55">
        <v>7</v>
      </c>
      <c r="I55">
        <v>2</v>
      </c>
      <c r="J55">
        <v>7.25</v>
      </c>
      <c r="K55">
        <v>7.25</v>
      </c>
      <c r="L55">
        <v>0</v>
      </c>
      <c r="M55">
        <v>7</v>
      </c>
      <c r="N55">
        <v>2</v>
      </c>
      <c r="Y55">
        <v>1</v>
      </c>
      <c r="Z55">
        <v>8</v>
      </c>
    </row>
    <row r="56" spans="1:30" x14ac:dyDescent="0.2">
      <c r="A56" t="s">
        <v>97</v>
      </c>
      <c r="B56" t="s">
        <v>109</v>
      </c>
      <c r="C56">
        <v>38.17</v>
      </c>
      <c r="D56">
        <v>38</v>
      </c>
      <c r="E56">
        <v>3</v>
      </c>
      <c r="F56">
        <v>4</v>
      </c>
      <c r="H56">
        <v>0</v>
      </c>
      <c r="I56">
        <v>0</v>
      </c>
      <c r="J56">
        <v>0</v>
      </c>
      <c r="K56">
        <v>0</v>
      </c>
      <c r="L56">
        <v>0</v>
      </c>
      <c r="M56">
        <v>0</v>
      </c>
      <c r="N56">
        <v>0</v>
      </c>
    </row>
    <row r="57" spans="1:30" x14ac:dyDescent="0.2">
      <c r="A57" t="s">
        <v>110</v>
      </c>
      <c r="B57" t="s">
        <v>111</v>
      </c>
      <c r="C57">
        <v>38</v>
      </c>
      <c r="D57">
        <v>38</v>
      </c>
      <c r="E57">
        <v>0</v>
      </c>
      <c r="F57">
        <v>0</v>
      </c>
      <c r="H57">
        <v>0</v>
      </c>
      <c r="I57">
        <v>0</v>
      </c>
      <c r="J57">
        <v>0</v>
      </c>
      <c r="K57">
        <v>0</v>
      </c>
      <c r="L57">
        <v>0</v>
      </c>
      <c r="M57">
        <v>0</v>
      </c>
      <c r="N57">
        <v>0</v>
      </c>
    </row>
    <row r="58" spans="1:30" x14ac:dyDescent="0.2">
      <c r="A58" t="s">
        <v>110</v>
      </c>
      <c r="B58" t="s">
        <v>112</v>
      </c>
      <c r="C58">
        <v>38</v>
      </c>
      <c r="D58">
        <v>38</v>
      </c>
      <c r="E58">
        <v>0</v>
      </c>
      <c r="F58">
        <v>0</v>
      </c>
      <c r="H58">
        <v>0</v>
      </c>
      <c r="I58">
        <v>0</v>
      </c>
      <c r="J58">
        <v>0</v>
      </c>
      <c r="K58">
        <v>0</v>
      </c>
      <c r="L58">
        <v>0</v>
      </c>
      <c r="M58">
        <v>0</v>
      </c>
      <c r="N58">
        <v>0</v>
      </c>
    </row>
    <row r="59" spans="1:30" x14ac:dyDescent="0.2">
      <c r="A59" t="s">
        <v>113</v>
      </c>
      <c r="B59" t="s">
        <v>114</v>
      </c>
      <c r="C59">
        <v>0.7</v>
      </c>
      <c r="D59">
        <v>0</v>
      </c>
      <c r="E59">
        <v>14</v>
      </c>
      <c r="F59">
        <v>0</v>
      </c>
      <c r="H59">
        <v>0</v>
      </c>
      <c r="I59">
        <v>0</v>
      </c>
      <c r="J59">
        <v>0</v>
      </c>
      <c r="K59">
        <v>0</v>
      </c>
      <c r="L59">
        <v>0</v>
      </c>
      <c r="M59">
        <v>0</v>
      </c>
      <c r="N59">
        <v>0</v>
      </c>
    </row>
    <row r="60" spans="1:30" x14ac:dyDescent="0.2">
      <c r="A60" t="s">
        <v>113</v>
      </c>
      <c r="B60" t="s">
        <v>115</v>
      </c>
      <c r="C60">
        <v>1</v>
      </c>
      <c r="D60">
        <v>1</v>
      </c>
      <c r="E60">
        <v>0</v>
      </c>
      <c r="F60">
        <v>0</v>
      </c>
      <c r="H60">
        <v>0</v>
      </c>
      <c r="I60">
        <v>0</v>
      </c>
      <c r="J60">
        <v>0</v>
      </c>
      <c r="K60">
        <v>0</v>
      </c>
      <c r="L60">
        <v>0</v>
      </c>
      <c r="M60">
        <v>0</v>
      </c>
      <c r="N60">
        <v>0</v>
      </c>
    </row>
    <row r="61" spans="1:30" x14ac:dyDescent="0.2">
      <c r="A61" t="s">
        <v>113</v>
      </c>
      <c r="B61" t="s">
        <v>116</v>
      </c>
      <c r="C61">
        <v>2.0499999999999998</v>
      </c>
      <c r="D61">
        <v>2</v>
      </c>
      <c r="E61">
        <v>1</v>
      </c>
      <c r="F61">
        <v>0</v>
      </c>
      <c r="H61">
        <v>0</v>
      </c>
      <c r="I61">
        <v>0</v>
      </c>
      <c r="J61">
        <v>0</v>
      </c>
      <c r="K61">
        <v>0</v>
      </c>
      <c r="L61">
        <v>0</v>
      </c>
      <c r="M61">
        <v>0</v>
      </c>
      <c r="N61">
        <v>0</v>
      </c>
    </row>
    <row r="62" spans="1:30" x14ac:dyDescent="0.2">
      <c r="A62" t="s">
        <v>117</v>
      </c>
      <c r="B62" t="s">
        <v>118</v>
      </c>
      <c r="C62">
        <v>0.2</v>
      </c>
      <c r="D62">
        <v>0</v>
      </c>
      <c r="E62">
        <v>4</v>
      </c>
      <c r="F62">
        <v>0</v>
      </c>
      <c r="H62">
        <v>0</v>
      </c>
      <c r="I62">
        <v>0</v>
      </c>
      <c r="J62">
        <v>0</v>
      </c>
      <c r="K62">
        <v>0</v>
      </c>
      <c r="L62">
        <v>0</v>
      </c>
      <c r="M62">
        <v>0</v>
      </c>
      <c r="N62">
        <v>0</v>
      </c>
    </row>
    <row r="63" spans="1:30" x14ac:dyDescent="0.2">
      <c r="A63" t="s">
        <v>117</v>
      </c>
      <c r="B63" t="s">
        <v>119</v>
      </c>
      <c r="C63">
        <v>0.2</v>
      </c>
      <c r="D63">
        <v>0</v>
      </c>
      <c r="E63">
        <v>4</v>
      </c>
      <c r="F63">
        <v>0</v>
      </c>
      <c r="H63">
        <v>0</v>
      </c>
      <c r="I63">
        <v>0</v>
      </c>
      <c r="J63">
        <v>0</v>
      </c>
      <c r="K63">
        <v>0</v>
      </c>
      <c r="L63">
        <v>0</v>
      </c>
      <c r="M63">
        <v>0</v>
      </c>
      <c r="N63">
        <v>0</v>
      </c>
    </row>
    <row r="64" spans="1:30" x14ac:dyDescent="0.2">
      <c r="A64" t="s">
        <v>117</v>
      </c>
      <c r="B64" t="s">
        <v>120</v>
      </c>
      <c r="C64">
        <v>1</v>
      </c>
      <c r="D64">
        <v>1</v>
      </c>
      <c r="E64">
        <v>0</v>
      </c>
      <c r="F64">
        <v>0</v>
      </c>
      <c r="H64">
        <v>0</v>
      </c>
      <c r="I64">
        <v>0</v>
      </c>
      <c r="J64">
        <v>0</v>
      </c>
      <c r="K64">
        <v>0</v>
      </c>
      <c r="L64">
        <v>0</v>
      </c>
      <c r="M64">
        <v>0</v>
      </c>
      <c r="N64">
        <v>0</v>
      </c>
    </row>
    <row r="65" spans="1:14" x14ac:dyDescent="0.2">
      <c r="A65" t="s">
        <v>121</v>
      </c>
      <c r="B65" t="s">
        <v>122</v>
      </c>
      <c r="C65">
        <v>1.17</v>
      </c>
      <c r="D65">
        <v>1</v>
      </c>
      <c r="E65">
        <v>3</v>
      </c>
      <c r="F65">
        <v>6</v>
      </c>
      <c r="H65">
        <v>0</v>
      </c>
      <c r="I65">
        <v>0</v>
      </c>
      <c r="J65">
        <v>0</v>
      </c>
      <c r="K65">
        <v>0</v>
      </c>
      <c r="L65">
        <v>0</v>
      </c>
      <c r="M65">
        <v>0</v>
      </c>
      <c r="N65">
        <v>0</v>
      </c>
    </row>
    <row r="66" spans="1:14" x14ac:dyDescent="0.2">
      <c r="A66" t="s">
        <v>121</v>
      </c>
      <c r="B66" t="s">
        <v>123</v>
      </c>
      <c r="C66">
        <v>1.17</v>
      </c>
      <c r="D66">
        <v>1</v>
      </c>
      <c r="E66">
        <v>3</v>
      </c>
      <c r="F66">
        <v>6</v>
      </c>
      <c r="H66">
        <v>0</v>
      </c>
      <c r="I66">
        <v>0</v>
      </c>
      <c r="J66">
        <v>0</v>
      </c>
      <c r="K66">
        <v>0</v>
      </c>
      <c r="L66">
        <v>0</v>
      </c>
      <c r="M66">
        <v>0</v>
      </c>
      <c r="N66">
        <v>0</v>
      </c>
    </row>
    <row r="67" spans="1:14" x14ac:dyDescent="0.2">
      <c r="A67" t="s">
        <v>121</v>
      </c>
      <c r="B67" t="s">
        <v>124</v>
      </c>
      <c r="C67">
        <v>2.57</v>
      </c>
      <c r="D67">
        <v>2</v>
      </c>
      <c r="E67">
        <v>11</v>
      </c>
      <c r="F67">
        <v>6</v>
      </c>
      <c r="H67">
        <v>0</v>
      </c>
      <c r="I67">
        <v>0</v>
      </c>
      <c r="J67">
        <v>0</v>
      </c>
      <c r="K67">
        <v>0</v>
      </c>
      <c r="L67">
        <v>0</v>
      </c>
      <c r="M67">
        <v>0</v>
      </c>
      <c r="N67">
        <v>0</v>
      </c>
    </row>
    <row r="68" spans="1:14" x14ac:dyDescent="0.2">
      <c r="A68" t="s">
        <v>125</v>
      </c>
      <c r="B68" t="s">
        <v>126</v>
      </c>
      <c r="C68">
        <v>104.88</v>
      </c>
      <c r="D68">
        <v>104</v>
      </c>
      <c r="E68">
        <v>17</v>
      </c>
      <c r="F68">
        <v>8.25</v>
      </c>
      <c r="H68">
        <v>0</v>
      </c>
      <c r="I68">
        <v>0</v>
      </c>
      <c r="J68">
        <v>0</v>
      </c>
      <c r="K68">
        <v>0</v>
      </c>
      <c r="L68">
        <v>0</v>
      </c>
      <c r="M68">
        <v>0</v>
      </c>
      <c r="N68">
        <v>0</v>
      </c>
    </row>
    <row r="69" spans="1:14" x14ac:dyDescent="0.2">
      <c r="A69" t="s">
        <v>127</v>
      </c>
      <c r="B69" t="s">
        <v>128</v>
      </c>
      <c r="C69">
        <v>0.08</v>
      </c>
      <c r="D69">
        <v>0</v>
      </c>
      <c r="E69">
        <v>1</v>
      </c>
      <c r="F69">
        <v>8</v>
      </c>
      <c r="H69">
        <v>0</v>
      </c>
      <c r="I69">
        <v>0</v>
      </c>
      <c r="J69">
        <v>0</v>
      </c>
      <c r="K69">
        <v>0</v>
      </c>
      <c r="L69">
        <v>0</v>
      </c>
      <c r="M69">
        <v>0</v>
      </c>
      <c r="N69">
        <v>0</v>
      </c>
    </row>
    <row r="70" spans="1:14" x14ac:dyDescent="0.2">
      <c r="A70" t="s">
        <v>127</v>
      </c>
      <c r="B70" t="s">
        <v>129</v>
      </c>
      <c r="C70">
        <v>0.05</v>
      </c>
      <c r="D70">
        <v>0</v>
      </c>
      <c r="E70">
        <v>1</v>
      </c>
      <c r="F70">
        <v>0</v>
      </c>
      <c r="H70">
        <v>0</v>
      </c>
      <c r="I70">
        <v>0</v>
      </c>
      <c r="J70">
        <v>0</v>
      </c>
      <c r="K70">
        <v>0</v>
      </c>
      <c r="L70">
        <v>0</v>
      </c>
      <c r="M70">
        <v>0</v>
      </c>
      <c r="N70">
        <v>0</v>
      </c>
    </row>
    <row r="71" spans="1:14" x14ac:dyDescent="0.2">
      <c r="A71" t="s">
        <v>127</v>
      </c>
      <c r="B71" t="s">
        <v>130</v>
      </c>
      <c r="C71">
        <v>0.04</v>
      </c>
      <c r="D71">
        <v>0</v>
      </c>
      <c r="E71">
        <v>0</v>
      </c>
      <c r="F71">
        <v>8.5</v>
      </c>
      <c r="H71">
        <v>0</v>
      </c>
      <c r="I71">
        <v>0</v>
      </c>
      <c r="J71">
        <v>0</v>
      </c>
      <c r="K71">
        <v>0</v>
      </c>
      <c r="L71">
        <v>0</v>
      </c>
      <c r="M71">
        <v>0</v>
      </c>
      <c r="N71">
        <v>0</v>
      </c>
    </row>
    <row r="72" spans="1:14" x14ac:dyDescent="0.2">
      <c r="A72" t="s">
        <v>127</v>
      </c>
      <c r="B72" t="s">
        <v>131</v>
      </c>
      <c r="C72">
        <v>0.01</v>
      </c>
      <c r="D72">
        <v>0</v>
      </c>
      <c r="E72">
        <v>0</v>
      </c>
      <c r="F72">
        <v>3.5</v>
      </c>
      <c r="H72">
        <v>0</v>
      </c>
      <c r="I72">
        <v>0</v>
      </c>
      <c r="J72">
        <v>0</v>
      </c>
      <c r="K72">
        <v>0</v>
      </c>
      <c r="L72">
        <v>0</v>
      </c>
      <c r="M72">
        <v>0</v>
      </c>
      <c r="N72">
        <v>0</v>
      </c>
    </row>
    <row r="73" spans="1:14" x14ac:dyDescent="0.2">
      <c r="A73" t="s">
        <v>127</v>
      </c>
      <c r="B73" t="s">
        <v>132</v>
      </c>
      <c r="C73">
        <v>0.03</v>
      </c>
      <c r="D73">
        <v>0</v>
      </c>
      <c r="E73">
        <v>0</v>
      </c>
      <c r="F73">
        <v>8</v>
      </c>
      <c r="H73">
        <v>0</v>
      </c>
      <c r="I73">
        <v>0</v>
      </c>
      <c r="J73">
        <v>0</v>
      </c>
      <c r="K73">
        <v>0</v>
      </c>
      <c r="L73">
        <v>0</v>
      </c>
      <c r="M73">
        <v>0</v>
      </c>
      <c r="N73">
        <v>0</v>
      </c>
    </row>
    <row r="74" spans="1:14" x14ac:dyDescent="0.2">
      <c r="A74" t="s">
        <v>127</v>
      </c>
      <c r="B74" t="s">
        <v>133</v>
      </c>
      <c r="C74">
        <v>0.02</v>
      </c>
      <c r="D74">
        <v>0</v>
      </c>
      <c r="E74">
        <v>0</v>
      </c>
      <c r="F74">
        <v>4</v>
      </c>
      <c r="H74">
        <v>0</v>
      </c>
      <c r="I74">
        <v>0</v>
      </c>
      <c r="J74">
        <v>0</v>
      </c>
      <c r="K74">
        <v>0</v>
      </c>
      <c r="L74">
        <v>0</v>
      </c>
      <c r="M74">
        <v>0</v>
      </c>
      <c r="N74">
        <v>0</v>
      </c>
    </row>
    <row r="75" spans="1:14" x14ac:dyDescent="0.2">
      <c r="A75" t="s">
        <v>127</v>
      </c>
      <c r="B75" t="s">
        <v>134</v>
      </c>
      <c r="C75">
        <v>0.04</v>
      </c>
      <c r="D75">
        <v>0</v>
      </c>
      <c r="E75">
        <v>0</v>
      </c>
      <c r="F75">
        <v>10</v>
      </c>
      <c r="H75">
        <v>0</v>
      </c>
      <c r="I75">
        <v>0</v>
      </c>
      <c r="J75">
        <v>0</v>
      </c>
      <c r="K75">
        <v>0</v>
      </c>
      <c r="L75">
        <v>0</v>
      </c>
      <c r="M75">
        <v>0</v>
      </c>
      <c r="N75">
        <v>0</v>
      </c>
    </row>
    <row r="76" spans="1:14" x14ac:dyDescent="0.2">
      <c r="A76" t="s">
        <v>127</v>
      </c>
      <c r="B76" t="s">
        <v>135</v>
      </c>
      <c r="C76">
        <v>0.01</v>
      </c>
      <c r="D76">
        <v>0</v>
      </c>
      <c r="E76">
        <v>0</v>
      </c>
      <c r="F76">
        <v>1.5</v>
      </c>
      <c r="H76">
        <v>0</v>
      </c>
      <c r="I76">
        <v>0</v>
      </c>
      <c r="J76">
        <v>0</v>
      </c>
      <c r="K76">
        <v>0</v>
      </c>
      <c r="L76">
        <v>0</v>
      </c>
      <c r="M76">
        <v>0</v>
      </c>
      <c r="N76">
        <v>0</v>
      </c>
    </row>
    <row r="77" spans="1:14" x14ac:dyDescent="0.2">
      <c r="A77" t="s">
        <v>127</v>
      </c>
      <c r="B77" t="s">
        <v>136</v>
      </c>
      <c r="C77">
        <v>0.03</v>
      </c>
      <c r="D77">
        <v>0</v>
      </c>
      <c r="E77">
        <v>0</v>
      </c>
      <c r="F77">
        <v>8</v>
      </c>
      <c r="H77">
        <v>0</v>
      </c>
      <c r="I77">
        <v>0</v>
      </c>
      <c r="J77">
        <v>0</v>
      </c>
      <c r="K77">
        <v>0</v>
      </c>
      <c r="L77">
        <v>0</v>
      </c>
      <c r="M77">
        <v>0</v>
      </c>
      <c r="N77">
        <v>0</v>
      </c>
    </row>
    <row r="78" spans="1:14" x14ac:dyDescent="0.2">
      <c r="A78" t="s">
        <v>127</v>
      </c>
      <c r="B78" t="s">
        <v>137</v>
      </c>
      <c r="C78">
        <v>0.04</v>
      </c>
      <c r="D78">
        <v>0</v>
      </c>
      <c r="E78">
        <v>0</v>
      </c>
      <c r="F78">
        <v>9</v>
      </c>
      <c r="H78">
        <v>0</v>
      </c>
      <c r="I78">
        <v>0</v>
      </c>
      <c r="J78">
        <v>0</v>
      </c>
      <c r="K78">
        <v>0</v>
      </c>
      <c r="L78">
        <v>0</v>
      </c>
      <c r="M78">
        <v>0</v>
      </c>
      <c r="N78">
        <v>0</v>
      </c>
    </row>
    <row r="79" spans="1:14" x14ac:dyDescent="0.2">
      <c r="A79" t="s">
        <v>127</v>
      </c>
      <c r="B79" t="s">
        <v>138</v>
      </c>
      <c r="C79">
        <v>0</v>
      </c>
      <c r="D79">
        <v>0</v>
      </c>
      <c r="E79">
        <v>0</v>
      </c>
      <c r="F79">
        <v>1</v>
      </c>
      <c r="H79">
        <v>0</v>
      </c>
      <c r="I79">
        <v>0</v>
      </c>
      <c r="J79">
        <v>0</v>
      </c>
      <c r="K79">
        <v>0</v>
      </c>
      <c r="L79">
        <v>0</v>
      </c>
      <c r="M79">
        <v>0</v>
      </c>
      <c r="N79">
        <v>0</v>
      </c>
    </row>
    <row r="80" spans="1:14" x14ac:dyDescent="0.2">
      <c r="A80" t="s">
        <v>127</v>
      </c>
      <c r="B80" t="s">
        <v>139</v>
      </c>
      <c r="C80">
        <v>0.15</v>
      </c>
      <c r="D80">
        <v>0</v>
      </c>
      <c r="E80">
        <v>3</v>
      </c>
      <c r="F80">
        <v>0</v>
      </c>
      <c r="H80">
        <v>0</v>
      </c>
      <c r="I80">
        <v>0</v>
      </c>
      <c r="J80">
        <v>0</v>
      </c>
      <c r="K80">
        <v>0</v>
      </c>
      <c r="L80">
        <v>0</v>
      </c>
      <c r="M80">
        <v>0</v>
      </c>
      <c r="N80">
        <v>0</v>
      </c>
    </row>
    <row r="81" spans="1:14" x14ac:dyDescent="0.2">
      <c r="A81" t="s">
        <v>127</v>
      </c>
      <c r="B81" t="s">
        <v>140</v>
      </c>
      <c r="C81">
        <v>1.1399999999999999</v>
      </c>
      <c r="D81">
        <v>1</v>
      </c>
      <c r="E81">
        <v>2</v>
      </c>
      <c r="F81">
        <v>9</v>
      </c>
      <c r="H81">
        <v>0</v>
      </c>
      <c r="I81">
        <v>0</v>
      </c>
      <c r="J81">
        <v>0</v>
      </c>
      <c r="K81">
        <v>0</v>
      </c>
      <c r="L81">
        <v>0</v>
      </c>
      <c r="M81">
        <v>0</v>
      </c>
      <c r="N81">
        <v>0</v>
      </c>
    </row>
    <row r="82" spans="1:14" x14ac:dyDescent="0.2">
      <c r="A82" t="s">
        <v>141</v>
      </c>
      <c r="B82" t="s">
        <v>142</v>
      </c>
      <c r="C82">
        <v>0.04</v>
      </c>
      <c r="D82">
        <v>0</v>
      </c>
      <c r="E82">
        <v>0</v>
      </c>
      <c r="F82">
        <v>10</v>
      </c>
      <c r="H82">
        <v>0</v>
      </c>
      <c r="I82">
        <v>0</v>
      </c>
      <c r="J82">
        <v>0</v>
      </c>
      <c r="K82">
        <v>0</v>
      </c>
      <c r="L82">
        <v>0</v>
      </c>
      <c r="M82">
        <v>0</v>
      </c>
      <c r="N82">
        <v>0</v>
      </c>
    </row>
    <row r="83" spans="1:14" x14ac:dyDescent="0.2">
      <c r="A83" t="s">
        <v>141</v>
      </c>
      <c r="B83" t="s">
        <v>143</v>
      </c>
      <c r="C83">
        <v>0.62</v>
      </c>
      <c r="D83">
        <v>0</v>
      </c>
      <c r="E83">
        <v>12</v>
      </c>
      <c r="F83">
        <v>6</v>
      </c>
      <c r="H83">
        <v>0</v>
      </c>
      <c r="I83">
        <v>0</v>
      </c>
      <c r="J83">
        <v>0</v>
      </c>
      <c r="K83">
        <v>0</v>
      </c>
      <c r="L83">
        <v>0</v>
      </c>
      <c r="M83">
        <v>0</v>
      </c>
      <c r="N83">
        <v>0</v>
      </c>
    </row>
    <row r="84" spans="1:14" x14ac:dyDescent="0.2">
      <c r="A84" t="s">
        <v>141</v>
      </c>
      <c r="B84" t="s">
        <v>144</v>
      </c>
      <c r="C84">
        <v>0.01</v>
      </c>
      <c r="D84">
        <v>0</v>
      </c>
      <c r="E84">
        <v>0</v>
      </c>
      <c r="F84">
        <v>2</v>
      </c>
      <c r="H84">
        <v>0</v>
      </c>
      <c r="I84">
        <v>0</v>
      </c>
      <c r="J84">
        <v>0</v>
      </c>
      <c r="K84">
        <v>0</v>
      </c>
      <c r="L84">
        <v>0</v>
      </c>
      <c r="M84">
        <v>0</v>
      </c>
      <c r="N84">
        <v>0</v>
      </c>
    </row>
    <row r="85" spans="1:14" x14ac:dyDescent="0.2">
      <c r="A85" t="s">
        <v>141</v>
      </c>
      <c r="B85" t="s">
        <v>145</v>
      </c>
      <c r="C85">
        <v>0.01</v>
      </c>
      <c r="D85">
        <v>0</v>
      </c>
      <c r="E85">
        <v>0</v>
      </c>
      <c r="F85">
        <v>2</v>
      </c>
      <c r="H85">
        <v>0</v>
      </c>
      <c r="I85">
        <v>0</v>
      </c>
      <c r="J85">
        <v>0</v>
      </c>
      <c r="K85">
        <v>0</v>
      </c>
      <c r="L85">
        <v>0</v>
      </c>
      <c r="M85">
        <v>0</v>
      </c>
      <c r="N85">
        <v>0</v>
      </c>
    </row>
    <row r="86" spans="1:14" x14ac:dyDescent="0.2">
      <c r="A86" t="s">
        <v>141</v>
      </c>
      <c r="B86" t="s">
        <v>146</v>
      </c>
      <c r="C86">
        <v>0.05</v>
      </c>
      <c r="D86">
        <v>0</v>
      </c>
      <c r="E86">
        <v>1</v>
      </c>
      <c r="F86">
        <v>0</v>
      </c>
      <c r="H86">
        <v>0</v>
      </c>
      <c r="I86">
        <v>0</v>
      </c>
      <c r="J86">
        <v>0</v>
      </c>
      <c r="K86">
        <v>0</v>
      </c>
      <c r="L86">
        <v>0</v>
      </c>
      <c r="M86">
        <v>0</v>
      </c>
      <c r="N86">
        <v>0</v>
      </c>
    </row>
    <row r="87" spans="1:14" x14ac:dyDescent="0.2">
      <c r="A87" t="s">
        <v>141</v>
      </c>
      <c r="B87" t="s">
        <v>147</v>
      </c>
      <c r="C87">
        <v>0.03</v>
      </c>
      <c r="D87">
        <v>0</v>
      </c>
      <c r="E87">
        <v>0</v>
      </c>
      <c r="F87">
        <v>6</v>
      </c>
      <c r="H87">
        <v>0</v>
      </c>
      <c r="I87">
        <v>0</v>
      </c>
      <c r="J87">
        <v>0</v>
      </c>
      <c r="K87">
        <v>0</v>
      </c>
      <c r="L87">
        <v>0</v>
      </c>
      <c r="M87">
        <v>0</v>
      </c>
      <c r="N87">
        <v>0</v>
      </c>
    </row>
    <row r="88" spans="1:14" x14ac:dyDescent="0.2">
      <c r="A88" t="s">
        <v>141</v>
      </c>
      <c r="B88" t="s">
        <v>148</v>
      </c>
      <c r="C88">
        <v>0.1</v>
      </c>
      <c r="D88">
        <v>0</v>
      </c>
      <c r="E88">
        <v>2</v>
      </c>
      <c r="F88">
        <v>0</v>
      </c>
      <c r="H88">
        <v>0</v>
      </c>
      <c r="I88">
        <v>0</v>
      </c>
      <c r="J88">
        <v>0</v>
      </c>
      <c r="K88">
        <v>0</v>
      </c>
      <c r="L88">
        <v>0</v>
      </c>
      <c r="M88">
        <v>0</v>
      </c>
      <c r="N88">
        <v>0</v>
      </c>
    </row>
    <row r="89" spans="1:14" x14ac:dyDescent="0.2">
      <c r="A89" t="s">
        <v>141</v>
      </c>
      <c r="B89" t="s">
        <v>149</v>
      </c>
      <c r="C89">
        <v>0.17</v>
      </c>
      <c r="D89">
        <v>0</v>
      </c>
      <c r="E89">
        <v>3</v>
      </c>
      <c r="F89">
        <v>4</v>
      </c>
      <c r="H89">
        <v>0</v>
      </c>
      <c r="I89">
        <v>0</v>
      </c>
      <c r="J89">
        <v>0</v>
      </c>
      <c r="K89">
        <v>0</v>
      </c>
      <c r="L89">
        <v>0</v>
      </c>
      <c r="M89">
        <v>0</v>
      </c>
      <c r="N89">
        <v>0</v>
      </c>
    </row>
    <row r="90" spans="1:14" x14ac:dyDescent="0.2">
      <c r="A90" t="s">
        <v>141</v>
      </c>
      <c r="B90" t="s">
        <v>150</v>
      </c>
      <c r="C90">
        <v>1.85</v>
      </c>
      <c r="D90">
        <v>1</v>
      </c>
      <c r="E90">
        <v>17</v>
      </c>
      <c r="F90">
        <v>1</v>
      </c>
      <c r="H90">
        <v>0</v>
      </c>
      <c r="I90">
        <v>0</v>
      </c>
      <c r="J90">
        <v>0</v>
      </c>
      <c r="K90">
        <v>0</v>
      </c>
      <c r="L90">
        <v>0</v>
      </c>
      <c r="M90">
        <v>0</v>
      </c>
      <c r="N90">
        <v>0</v>
      </c>
    </row>
    <row r="91" spans="1:14" x14ac:dyDescent="0.2">
      <c r="A91" t="s">
        <v>151</v>
      </c>
      <c r="B91" t="s">
        <v>152</v>
      </c>
      <c r="C91">
        <v>0.01</v>
      </c>
      <c r="D91">
        <v>0</v>
      </c>
      <c r="E91">
        <v>0</v>
      </c>
      <c r="F91">
        <v>3</v>
      </c>
      <c r="H91">
        <v>0</v>
      </c>
      <c r="I91">
        <v>0</v>
      </c>
      <c r="J91">
        <v>0</v>
      </c>
      <c r="K91">
        <v>0</v>
      </c>
      <c r="L91">
        <v>0</v>
      </c>
      <c r="M91">
        <v>0</v>
      </c>
      <c r="N91">
        <v>0</v>
      </c>
    </row>
    <row r="92" spans="1:14" x14ac:dyDescent="0.2">
      <c r="A92" t="s">
        <v>151</v>
      </c>
      <c r="B92" t="s">
        <v>153</v>
      </c>
      <c r="C92">
        <v>0.03</v>
      </c>
      <c r="D92">
        <v>0</v>
      </c>
      <c r="E92">
        <v>0</v>
      </c>
      <c r="F92">
        <v>7</v>
      </c>
      <c r="H92">
        <v>0</v>
      </c>
      <c r="I92">
        <v>0</v>
      </c>
      <c r="J92">
        <v>0</v>
      </c>
      <c r="K92">
        <v>0</v>
      </c>
      <c r="L92">
        <v>0</v>
      </c>
      <c r="M92">
        <v>0</v>
      </c>
      <c r="N92">
        <v>0</v>
      </c>
    </row>
    <row r="93" spans="1:14" x14ac:dyDescent="0.2">
      <c r="A93" t="s">
        <v>151</v>
      </c>
      <c r="B93" t="s">
        <v>154</v>
      </c>
      <c r="C93">
        <v>0</v>
      </c>
      <c r="D93">
        <v>0</v>
      </c>
      <c r="E93">
        <v>0</v>
      </c>
      <c r="F93">
        <v>0</v>
      </c>
      <c r="H93">
        <v>0</v>
      </c>
      <c r="I93">
        <v>0</v>
      </c>
      <c r="J93">
        <v>0</v>
      </c>
      <c r="K93">
        <v>0</v>
      </c>
      <c r="L93">
        <v>0</v>
      </c>
      <c r="M93">
        <v>0</v>
      </c>
      <c r="N93">
        <v>0</v>
      </c>
    </row>
    <row r="94" spans="1:14" x14ac:dyDescent="0.2">
      <c r="A94" t="s">
        <v>151</v>
      </c>
      <c r="B94" t="s">
        <v>155</v>
      </c>
      <c r="C94">
        <v>0.16</v>
      </c>
      <c r="D94">
        <v>0</v>
      </c>
      <c r="E94">
        <v>3</v>
      </c>
      <c r="F94">
        <v>2</v>
      </c>
      <c r="H94">
        <v>0</v>
      </c>
      <c r="I94">
        <v>0</v>
      </c>
      <c r="J94">
        <v>0</v>
      </c>
      <c r="K94">
        <v>0</v>
      </c>
      <c r="L94">
        <v>0</v>
      </c>
      <c r="M94">
        <v>0</v>
      </c>
      <c r="N94">
        <v>0</v>
      </c>
    </row>
    <row r="95" spans="1:14" x14ac:dyDescent="0.2">
      <c r="A95" t="s">
        <v>151</v>
      </c>
      <c r="B95" t="s">
        <v>156</v>
      </c>
      <c r="C95">
        <v>0.16</v>
      </c>
      <c r="D95">
        <v>0</v>
      </c>
      <c r="E95">
        <v>3</v>
      </c>
      <c r="F95">
        <v>3</v>
      </c>
      <c r="H95">
        <v>0</v>
      </c>
      <c r="I95">
        <v>0</v>
      </c>
      <c r="J95">
        <v>0</v>
      </c>
      <c r="K95">
        <v>0</v>
      </c>
      <c r="L95">
        <v>0</v>
      </c>
      <c r="M95">
        <v>0</v>
      </c>
      <c r="N95">
        <v>0</v>
      </c>
    </row>
    <row r="96" spans="1:14" x14ac:dyDescent="0.2">
      <c r="A96" t="s">
        <v>151</v>
      </c>
      <c r="B96" t="s">
        <v>154</v>
      </c>
      <c r="C96">
        <v>0</v>
      </c>
      <c r="D96">
        <v>0</v>
      </c>
      <c r="E96">
        <v>0</v>
      </c>
      <c r="F96">
        <v>0</v>
      </c>
      <c r="H96">
        <v>0</v>
      </c>
      <c r="I96">
        <v>0</v>
      </c>
      <c r="J96">
        <v>0</v>
      </c>
      <c r="K96">
        <v>0</v>
      </c>
      <c r="L96">
        <v>0</v>
      </c>
      <c r="M96">
        <v>0</v>
      </c>
      <c r="N96">
        <v>0</v>
      </c>
    </row>
    <row r="97" spans="1:14" x14ac:dyDescent="0.2">
      <c r="A97" t="s">
        <v>151</v>
      </c>
      <c r="B97" t="s">
        <v>157</v>
      </c>
      <c r="C97">
        <v>0.38</v>
      </c>
      <c r="D97">
        <v>0</v>
      </c>
      <c r="E97">
        <v>7</v>
      </c>
      <c r="F97">
        <v>6</v>
      </c>
      <c r="H97">
        <v>0</v>
      </c>
      <c r="I97">
        <v>0</v>
      </c>
      <c r="J97">
        <v>0</v>
      </c>
      <c r="K97">
        <v>0</v>
      </c>
      <c r="L97">
        <v>0</v>
      </c>
      <c r="M97">
        <v>0</v>
      </c>
      <c r="N97">
        <v>0</v>
      </c>
    </row>
    <row r="98" spans="1:14" x14ac:dyDescent="0.2">
      <c r="A98" t="s">
        <v>158</v>
      </c>
      <c r="B98" t="s">
        <v>159</v>
      </c>
      <c r="C98">
        <v>0.1</v>
      </c>
      <c r="D98">
        <v>0</v>
      </c>
      <c r="E98">
        <v>2</v>
      </c>
      <c r="F98">
        <v>0</v>
      </c>
      <c r="H98">
        <v>0</v>
      </c>
      <c r="I98">
        <v>0</v>
      </c>
      <c r="J98">
        <v>0</v>
      </c>
      <c r="K98">
        <v>0</v>
      </c>
      <c r="L98">
        <v>0</v>
      </c>
      <c r="M98">
        <v>0</v>
      </c>
      <c r="N98">
        <v>0</v>
      </c>
    </row>
    <row r="99" spans="1:14" x14ac:dyDescent="0.2">
      <c r="A99" t="s">
        <v>158</v>
      </c>
      <c r="B99" t="s">
        <v>160</v>
      </c>
      <c r="C99">
        <v>0.03</v>
      </c>
      <c r="D99">
        <v>0</v>
      </c>
      <c r="E99">
        <v>0</v>
      </c>
      <c r="F99">
        <v>8</v>
      </c>
      <c r="H99">
        <v>0</v>
      </c>
      <c r="I99">
        <v>0</v>
      </c>
      <c r="J99">
        <v>0</v>
      </c>
      <c r="K99">
        <v>0</v>
      </c>
      <c r="L99">
        <v>0</v>
      </c>
      <c r="M99">
        <v>0</v>
      </c>
      <c r="N99">
        <v>0</v>
      </c>
    </row>
    <row r="100" spans="1:14" x14ac:dyDescent="0.2">
      <c r="A100" t="s">
        <v>158</v>
      </c>
      <c r="B100" t="s">
        <v>161</v>
      </c>
      <c r="C100">
        <v>0.1</v>
      </c>
      <c r="D100">
        <v>0</v>
      </c>
      <c r="E100">
        <v>2</v>
      </c>
      <c r="F100">
        <v>0</v>
      </c>
      <c r="H100">
        <v>0</v>
      </c>
      <c r="I100">
        <v>0</v>
      </c>
      <c r="J100">
        <v>0</v>
      </c>
      <c r="K100">
        <v>0</v>
      </c>
      <c r="L100">
        <v>0</v>
      </c>
      <c r="M100">
        <v>0</v>
      </c>
      <c r="N100">
        <v>0</v>
      </c>
    </row>
    <row r="101" spans="1:14" x14ac:dyDescent="0.2">
      <c r="A101" t="s">
        <v>158</v>
      </c>
      <c r="B101" t="s">
        <v>162</v>
      </c>
      <c r="C101">
        <v>0.05</v>
      </c>
      <c r="D101">
        <v>0</v>
      </c>
      <c r="E101">
        <v>1</v>
      </c>
      <c r="F101">
        <v>0</v>
      </c>
      <c r="H101">
        <v>0</v>
      </c>
      <c r="I101">
        <v>0</v>
      </c>
      <c r="J101">
        <v>0</v>
      </c>
      <c r="K101">
        <v>0</v>
      </c>
      <c r="L101">
        <v>0</v>
      </c>
      <c r="M101">
        <v>0</v>
      </c>
      <c r="N101">
        <v>0</v>
      </c>
    </row>
    <row r="102" spans="1:14" x14ac:dyDescent="0.2">
      <c r="A102" t="s">
        <v>158</v>
      </c>
      <c r="B102" t="s">
        <v>163</v>
      </c>
      <c r="C102">
        <v>0.03</v>
      </c>
      <c r="D102">
        <v>0</v>
      </c>
      <c r="E102">
        <v>0</v>
      </c>
      <c r="F102">
        <v>6</v>
      </c>
      <c r="H102">
        <v>0</v>
      </c>
      <c r="I102">
        <v>0</v>
      </c>
      <c r="J102">
        <v>0</v>
      </c>
      <c r="K102">
        <v>0</v>
      </c>
      <c r="L102">
        <v>0</v>
      </c>
      <c r="M102">
        <v>0</v>
      </c>
      <c r="N102">
        <v>0</v>
      </c>
    </row>
    <row r="103" spans="1:14" x14ac:dyDescent="0.2">
      <c r="A103" t="s">
        <v>158</v>
      </c>
      <c r="B103" t="s">
        <v>164</v>
      </c>
      <c r="C103">
        <v>1.07</v>
      </c>
      <c r="D103">
        <v>1</v>
      </c>
      <c r="E103">
        <v>1</v>
      </c>
      <c r="F103">
        <v>5</v>
      </c>
      <c r="H103">
        <v>0</v>
      </c>
      <c r="I103">
        <v>0</v>
      </c>
      <c r="J103">
        <v>0</v>
      </c>
      <c r="K103">
        <v>0</v>
      </c>
      <c r="L103">
        <v>0</v>
      </c>
      <c r="M103">
        <v>0</v>
      </c>
      <c r="N103">
        <v>0</v>
      </c>
    </row>
    <row r="104" spans="1:14" x14ac:dyDescent="0.2">
      <c r="A104" t="s">
        <v>158</v>
      </c>
      <c r="B104" t="s">
        <v>154</v>
      </c>
      <c r="C104">
        <v>0</v>
      </c>
      <c r="D104">
        <v>0</v>
      </c>
      <c r="E104">
        <v>0</v>
      </c>
      <c r="F104">
        <v>0</v>
      </c>
      <c r="H104">
        <v>0</v>
      </c>
      <c r="I104">
        <v>0</v>
      </c>
      <c r="J104">
        <v>0</v>
      </c>
      <c r="K104">
        <v>0</v>
      </c>
      <c r="L104">
        <v>0</v>
      </c>
      <c r="M104">
        <v>0</v>
      </c>
      <c r="N104">
        <v>0</v>
      </c>
    </row>
    <row r="105" spans="1:14" x14ac:dyDescent="0.2">
      <c r="A105" t="s">
        <v>158</v>
      </c>
      <c r="B105" t="s">
        <v>165</v>
      </c>
      <c r="C105">
        <v>0.05</v>
      </c>
      <c r="D105">
        <v>0</v>
      </c>
      <c r="E105">
        <v>1</v>
      </c>
      <c r="F105">
        <v>0</v>
      </c>
      <c r="H105">
        <v>0</v>
      </c>
      <c r="I105">
        <v>0</v>
      </c>
      <c r="J105">
        <v>0</v>
      </c>
      <c r="K105">
        <v>0</v>
      </c>
      <c r="L105">
        <v>0</v>
      </c>
      <c r="M105">
        <v>0</v>
      </c>
      <c r="N105">
        <v>0</v>
      </c>
    </row>
    <row r="106" spans="1:14" x14ac:dyDescent="0.2">
      <c r="A106" t="s">
        <v>158</v>
      </c>
      <c r="B106" t="s">
        <v>166</v>
      </c>
      <c r="C106">
        <v>0.02</v>
      </c>
      <c r="D106">
        <v>0</v>
      </c>
      <c r="E106">
        <v>0</v>
      </c>
      <c r="F106">
        <v>5</v>
      </c>
      <c r="H106">
        <v>0</v>
      </c>
      <c r="I106">
        <v>0</v>
      </c>
      <c r="J106">
        <v>0</v>
      </c>
      <c r="K106">
        <v>0</v>
      </c>
      <c r="L106">
        <v>0</v>
      </c>
      <c r="M106">
        <v>0</v>
      </c>
      <c r="N106">
        <v>0</v>
      </c>
    </row>
    <row r="107" spans="1:14" x14ac:dyDescent="0.2">
      <c r="A107" t="s">
        <v>158</v>
      </c>
      <c r="B107" t="s">
        <v>167</v>
      </c>
      <c r="C107">
        <v>0.04</v>
      </c>
      <c r="D107">
        <v>0</v>
      </c>
      <c r="E107">
        <v>0</v>
      </c>
      <c r="F107">
        <v>10.5</v>
      </c>
      <c r="H107">
        <v>0</v>
      </c>
      <c r="I107">
        <v>0</v>
      </c>
      <c r="J107">
        <v>0</v>
      </c>
      <c r="K107">
        <v>0</v>
      </c>
      <c r="L107">
        <v>0</v>
      </c>
      <c r="M107">
        <v>0</v>
      </c>
      <c r="N107">
        <v>0</v>
      </c>
    </row>
    <row r="108" spans="1:14" x14ac:dyDescent="0.2">
      <c r="A108" t="s">
        <v>158</v>
      </c>
      <c r="B108" t="s">
        <v>168</v>
      </c>
      <c r="C108">
        <v>1.05</v>
      </c>
      <c r="D108">
        <v>1</v>
      </c>
      <c r="E108">
        <v>1</v>
      </c>
      <c r="F108">
        <v>0</v>
      </c>
      <c r="H108">
        <v>0</v>
      </c>
      <c r="I108">
        <v>0</v>
      </c>
      <c r="J108">
        <v>0</v>
      </c>
      <c r="K108">
        <v>0</v>
      </c>
      <c r="L108">
        <v>0</v>
      </c>
      <c r="M108">
        <v>0</v>
      </c>
      <c r="N108">
        <v>0</v>
      </c>
    </row>
    <row r="109" spans="1:14" x14ac:dyDescent="0.2">
      <c r="A109" t="s">
        <v>158</v>
      </c>
      <c r="B109" t="s">
        <v>154</v>
      </c>
      <c r="C109">
        <v>0</v>
      </c>
      <c r="D109">
        <v>0</v>
      </c>
      <c r="E109">
        <v>0</v>
      </c>
      <c r="F109">
        <v>0</v>
      </c>
      <c r="H109">
        <v>0</v>
      </c>
      <c r="I109">
        <v>0</v>
      </c>
      <c r="J109">
        <v>0</v>
      </c>
      <c r="K109">
        <v>0</v>
      </c>
      <c r="L109">
        <v>0</v>
      </c>
      <c r="M109">
        <v>0</v>
      </c>
      <c r="N109">
        <v>0</v>
      </c>
    </row>
    <row r="110" spans="1:14" x14ac:dyDescent="0.2">
      <c r="A110" t="s">
        <v>158</v>
      </c>
      <c r="B110" t="s">
        <v>169</v>
      </c>
      <c r="C110">
        <v>0.08</v>
      </c>
      <c r="D110">
        <v>0</v>
      </c>
      <c r="E110">
        <v>1</v>
      </c>
      <c r="F110">
        <v>6</v>
      </c>
      <c r="H110">
        <v>0</v>
      </c>
      <c r="I110">
        <v>0</v>
      </c>
      <c r="J110">
        <v>0</v>
      </c>
      <c r="K110">
        <v>0</v>
      </c>
      <c r="L110">
        <v>0</v>
      </c>
      <c r="M110">
        <v>0</v>
      </c>
      <c r="N110">
        <v>0</v>
      </c>
    </row>
    <row r="111" spans="1:14" x14ac:dyDescent="0.2">
      <c r="A111" t="s">
        <v>158</v>
      </c>
      <c r="B111" t="s">
        <v>170</v>
      </c>
      <c r="C111">
        <v>0.02</v>
      </c>
      <c r="D111">
        <v>0</v>
      </c>
      <c r="E111">
        <v>0</v>
      </c>
      <c r="F111">
        <v>5</v>
      </c>
      <c r="H111">
        <v>0</v>
      </c>
      <c r="I111">
        <v>0</v>
      </c>
      <c r="J111">
        <v>0</v>
      </c>
      <c r="K111">
        <v>0</v>
      </c>
      <c r="L111">
        <v>0</v>
      </c>
      <c r="M111">
        <v>0</v>
      </c>
      <c r="N111">
        <v>0</v>
      </c>
    </row>
    <row r="112" spans="1:14" x14ac:dyDescent="0.2">
      <c r="A112" t="s">
        <v>158</v>
      </c>
      <c r="B112" t="s">
        <v>171</v>
      </c>
      <c r="C112">
        <v>0.22</v>
      </c>
      <c r="D112">
        <v>0</v>
      </c>
      <c r="E112">
        <v>4</v>
      </c>
      <c r="F112">
        <v>4</v>
      </c>
      <c r="H112">
        <v>0</v>
      </c>
      <c r="I112">
        <v>0</v>
      </c>
      <c r="J112">
        <v>0</v>
      </c>
      <c r="K112">
        <v>0</v>
      </c>
      <c r="L112">
        <v>0</v>
      </c>
      <c r="M112">
        <v>0</v>
      </c>
      <c r="N112">
        <v>0</v>
      </c>
    </row>
    <row r="113" spans="1:24" x14ac:dyDescent="0.2">
      <c r="A113" t="s">
        <v>158</v>
      </c>
      <c r="B113" t="s">
        <v>154</v>
      </c>
      <c r="C113">
        <v>0</v>
      </c>
      <c r="D113">
        <v>0</v>
      </c>
      <c r="E113">
        <v>0</v>
      </c>
      <c r="F113">
        <v>0</v>
      </c>
      <c r="H113">
        <v>0</v>
      </c>
      <c r="I113">
        <v>0</v>
      </c>
      <c r="J113">
        <v>0</v>
      </c>
      <c r="K113">
        <v>0</v>
      </c>
      <c r="L113">
        <v>0</v>
      </c>
      <c r="M113">
        <v>0</v>
      </c>
      <c r="N113">
        <v>0</v>
      </c>
    </row>
    <row r="114" spans="1:24" x14ac:dyDescent="0.2">
      <c r="A114" t="s">
        <v>158</v>
      </c>
      <c r="B114" t="s">
        <v>172</v>
      </c>
      <c r="C114">
        <v>0.02</v>
      </c>
      <c r="D114">
        <v>0</v>
      </c>
      <c r="E114">
        <v>0</v>
      </c>
      <c r="F114">
        <v>4</v>
      </c>
      <c r="H114">
        <v>0</v>
      </c>
      <c r="I114">
        <v>0</v>
      </c>
      <c r="J114">
        <v>0</v>
      </c>
      <c r="K114">
        <v>0</v>
      </c>
      <c r="L114">
        <v>0</v>
      </c>
      <c r="M114">
        <v>0</v>
      </c>
      <c r="N114">
        <v>0</v>
      </c>
    </row>
    <row r="115" spans="1:24" x14ac:dyDescent="0.2">
      <c r="A115" t="s">
        <v>158</v>
      </c>
      <c r="B115" t="s">
        <v>173</v>
      </c>
      <c r="C115">
        <v>2.86</v>
      </c>
      <c r="D115">
        <v>2</v>
      </c>
      <c r="E115">
        <v>17</v>
      </c>
      <c r="F115">
        <v>2.25</v>
      </c>
      <c r="H115">
        <v>0</v>
      </c>
      <c r="I115">
        <v>0</v>
      </c>
      <c r="J115">
        <v>0</v>
      </c>
      <c r="K115">
        <v>0</v>
      </c>
      <c r="L115">
        <v>0</v>
      </c>
      <c r="M115">
        <v>0</v>
      </c>
      <c r="N115">
        <v>0</v>
      </c>
    </row>
    <row r="116" spans="1:24" x14ac:dyDescent="0.2">
      <c r="A116" t="s">
        <v>174</v>
      </c>
      <c r="B116" t="s">
        <v>175</v>
      </c>
      <c r="C116">
        <v>0.87</v>
      </c>
      <c r="D116">
        <v>0</v>
      </c>
      <c r="E116">
        <v>17</v>
      </c>
      <c r="F116">
        <v>5</v>
      </c>
      <c r="G116" t="s">
        <v>72</v>
      </c>
      <c r="H116">
        <v>65</v>
      </c>
      <c r="I116">
        <v>7</v>
      </c>
      <c r="J116">
        <v>65.875</v>
      </c>
      <c r="K116">
        <v>38.625</v>
      </c>
      <c r="L116">
        <v>27.25</v>
      </c>
      <c r="M116">
        <v>38</v>
      </c>
      <c r="N116">
        <v>5</v>
      </c>
      <c r="O116">
        <v>65</v>
      </c>
      <c r="P116">
        <v>7</v>
      </c>
    </row>
    <row r="117" spans="1:24" x14ac:dyDescent="0.2">
      <c r="A117" t="s">
        <v>174</v>
      </c>
      <c r="B117" t="s">
        <v>154</v>
      </c>
      <c r="C117">
        <v>0</v>
      </c>
      <c r="D117">
        <v>0</v>
      </c>
      <c r="E117">
        <v>0</v>
      </c>
      <c r="F117">
        <v>0</v>
      </c>
      <c r="H117">
        <v>0</v>
      </c>
      <c r="I117">
        <v>0</v>
      </c>
      <c r="J117">
        <v>0</v>
      </c>
      <c r="K117">
        <v>0</v>
      </c>
      <c r="L117">
        <v>0</v>
      </c>
      <c r="M117">
        <v>0</v>
      </c>
      <c r="N117">
        <v>0</v>
      </c>
    </row>
    <row r="118" spans="1:24" x14ac:dyDescent="0.2">
      <c r="A118" t="s">
        <v>174</v>
      </c>
      <c r="B118" t="s">
        <v>176</v>
      </c>
      <c r="C118">
        <v>0.56999999999999995</v>
      </c>
      <c r="D118">
        <v>0</v>
      </c>
      <c r="E118">
        <v>11</v>
      </c>
      <c r="F118">
        <v>5</v>
      </c>
      <c r="G118" t="s">
        <v>177</v>
      </c>
      <c r="H118">
        <v>82</v>
      </c>
      <c r="I118">
        <v>18</v>
      </c>
      <c r="J118">
        <v>84.25</v>
      </c>
      <c r="K118">
        <v>26.125</v>
      </c>
      <c r="L118">
        <v>58.125</v>
      </c>
      <c r="M118">
        <v>26</v>
      </c>
      <c r="N118">
        <v>1</v>
      </c>
      <c r="O118">
        <v>21</v>
      </c>
      <c r="P118">
        <v>0</v>
      </c>
      <c r="Q118">
        <v>0</v>
      </c>
      <c r="R118">
        <v>6</v>
      </c>
      <c r="S118">
        <v>14</v>
      </c>
      <c r="T118">
        <v>7</v>
      </c>
      <c r="U118">
        <v>38</v>
      </c>
      <c r="V118">
        <v>3</v>
      </c>
      <c r="W118">
        <v>9</v>
      </c>
      <c r="X118">
        <v>2</v>
      </c>
    </row>
    <row r="119" spans="1:24" x14ac:dyDescent="0.2">
      <c r="A119" t="s">
        <v>174</v>
      </c>
      <c r="B119" t="s">
        <v>154</v>
      </c>
      <c r="C119">
        <v>0</v>
      </c>
      <c r="D119">
        <v>0</v>
      </c>
      <c r="E119">
        <v>0</v>
      </c>
      <c r="F119">
        <v>0</v>
      </c>
      <c r="H119">
        <v>0</v>
      </c>
      <c r="I119">
        <v>0</v>
      </c>
      <c r="J119">
        <v>0</v>
      </c>
      <c r="K119">
        <v>0</v>
      </c>
      <c r="L119">
        <v>0</v>
      </c>
      <c r="M119">
        <v>0</v>
      </c>
      <c r="N119">
        <v>0</v>
      </c>
    </row>
    <row r="120" spans="1:24" x14ac:dyDescent="0.2">
      <c r="A120" t="s">
        <v>174</v>
      </c>
      <c r="B120" t="s">
        <v>178</v>
      </c>
      <c r="C120">
        <v>0.2</v>
      </c>
      <c r="D120">
        <v>0</v>
      </c>
      <c r="E120">
        <v>2</v>
      </c>
      <c r="F120">
        <v>25</v>
      </c>
      <c r="G120" t="s">
        <v>104</v>
      </c>
      <c r="H120">
        <v>12</v>
      </c>
      <c r="I120">
        <v>1</v>
      </c>
      <c r="J120">
        <v>12.125</v>
      </c>
      <c r="K120">
        <v>12.125</v>
      </c>
      <c r="L120">
        <v>0</v>
      </c>
      <c r="M120">
        <v>12</v>
      </c>
      <c r="N120">
        <v>1</v>
      </c>
    </row>
    <row r="121" spans="1:24" x14ac:dyDescent="0.2">
      <c r="A121" t="s">
        <v>174</v>
      </c>
      <c r="B121" t="s">
        <v>154</v>
      </c>
      <c r="C121">
        <v>0</v>
      </c>
      <c r="D121">
        <v>0</v>
      </c>
      <c r="E121">
        <v>0</v>
      </c>
      <c r="F121">
        <v>0</v>
      </c>
      <c r="H121">
        <v>0</v>
      </c>
      <c r="I121">
        <v>0</v>
      </c>
      <c r="J121">
        <v>0</v>
      </c>
      <c r="K121">
        <v>0</v>
      </c>
      <c r="L121">
        <v>0</v>
      </c>
      <c r="M121">
        <v>0</v>
      </c>
      <c r="N121">
        <v>0</v>
      </c>
    </row>
    <row r="122" spans="1:24" x14ac:dyDescent="0.2">
      <c r="A122" t="s">
        <v>174</v>
      </c>
      <c r="B122" t="s">
        <v>179</v>
      </c>
      <c r="C122">
        <v>0.43</v>
      </c>
      <c r="D122">
        <v>0</v>
      </c>
      <c r="E122">
        <v>8</v>
      </c>
      <c r="F122">
        <v>7.25</v>
      </c>
      <c r="G122" t="s">
        <v>102</v>
      </c>
      <c r="H122">
        <v>64</v>
      </c>
      <c r="I122">
        <v>2</v>
      </c>
      <c r="J122">
        <v>64.25</v>
      </c>
      <c r="K122">
        <v>65.25</v>
      </c>
      <c r="L122">
        <v>-1</v>
      </c>
      <c r="M122">
        <v>65</v>
      </c>
      <c r="N122">
        <v>2</v>
      </c>
      <c r="O122">
        <v>64</v>
      </c>
      <c r="P122">
        <v>0</v>
      </c>
    </row>
    <row r="123" spans="1:24" x14ac:dyDescent="0.2">
      <c r="A123" t="s">
        <v>174</v>
      </c>
      <c r="B123" t="s">
        <v>180</v>
      </c>
      <c r="C123">
        <v>1.95</v>
      </c>
      <c r="D123">
        <v>1</v>
      </c>
      <c r="E123">
        <v>19</v>
      </c>
      <c r="F123">
        <v>1</v>
      </c>
      <c r="H123">
        <v>0</v>
      </c>
      <c r="I123">
        <v>0</v>
      </c>
      <c r="J123">
        <v>0</v>
      </c>
      <c r="K123">
        <v>0</v>
      </c>
      <c r="L123">
        <v>0</v>
      </c>
      <c r="M123">
        <v>0</v>
      </c>
      <c r="N123">
        <v>0</v>
      </c>
    </row>
    <row r="124" spans="1:24" x14ac:dyDescent="0.2">
      <c r="A124" t="s">
        <v>181</v>
      </c>
      <c r="B124" t="s">
        <v>182</v>
      </c>
      <c r="C124">
        <v>1.07</v>
      </c>
      <c r="D124">
        <v>1</v>
      </c>
      <c r="E124">
        <v>1</v>
      </c>
      <c r="F124">
        <v>5</v>
      </c>
      <c r="H124">
        <v>0</v>
      </c>
      <c r="I124">
        <v>0</v>
      </c>
      <c r="J124">
        <v>0</v>
      </c>
      <c r="K124">
        <v>0</v>
      </c>
      <c r="L124">
        <v>0</v>
      </c>
      <c r="M124">
        <v>0</v>
      </c>
      <c r="N124">
        <v>0</v>
      </c>
    </row>
    <row r="125" spans="1:24" x14ac:dyDescent="0.2">
      <c r="A125" t="s">
        <v>181</v>
      </c>
      <c r="B125" t="s">
        <v>183</v>
      </c>
      <c r="C125">
        <v>0.1</v>
      </c>
      <c r="D125">
        <v>0</v>
      </c>
      <c r="E125">
        <v>2</v>
      </c>
      <c r="F125">
        <v>0</v>
      </c>
      <c r="H125">
        <v>0</v>
      </c>
      <c r="I125">
        <v>0</v>
      </c>
      <c r="J125">
        <v>0</v>
      </c>
      <c r="K125">
        <v>0</v>
      </c>
      <c r="L125">
        <v>0</v>
      </c>
      <c r="M125">
        <v>0</v>
      </c>
      <c r="N125">
        <v>0</v>
      </c>
    </row>
    <row r="126" spans="1:24" x14ac:dyDescent="0.2">
      <c r="A126" t="s">
        <v>181</v>
      </c>
      <c r="B126" t="s">
        <v>184</v>
      </c>
      <c r="C126">
        <v>1.17</v>
      </c>
      <c r="D126">
        <v>1</v>
      </c>
      <c r="E126">
        <v>3</v>
      </c>
      <c r="F126">
        <v>5</v>
      </c>
      <c r="H126">
        <v>0</v>
      </c>
      <c r="I126">
        <v>0</v>
      </c>
      <c r="J126">
        <v>0</v>
      </c>
      <c r="K126">
        <v>0</v>
      </c>
      <c r="L126">
        <v>0</v>
      </c>
      <c r="M126">
        <v>0</v>
      </c>
      <c r="N126">
        <v>0</v>
      </c>
    </row>
    <row r="127" spans="1:24" x14ac:dyDescent="0.2">
      <c r="A127" t="s">
        <v>185</v>
      </c>
      <c r="B127" t="s">
        <v>186</v>
      </c>
      <c r="C127">
        <v>0.75</v>
      </c>
      <c r="D127">
        <v>0</v>
      </c>
      <c r="E127">
        <v>15</v>
      </c>
      <c r="F127">
        <v>0</v>
      </c>
      <c r="H127">
        <v>0</v>
      </c>
      <c r="I127">
        <v>0</v>
      </c>
      <c r="J127">
        <v>0</v>
      </c>
      <c r="K127">
        <v>0</v>
      </c>
      <c r="L127">
        <v>0</v>
      </c>
      <c r="M127">
        <v>0</v>
      </c>
      <c r="N127">
        <v>0</v>
      </c>
    </row>
    <row r="128" spans="1:24" x14ac:dyDescent="0.2">
      <c r="A128" t="s">
        <v>185</v>
      </c>
      <c r="B128" t="s">
        <v>187</v>
      </c>
      <c r="C128">
        <v>0.8</v>
      </c>
      <c r="D128">
        <v>0</v>
      </c>
      <c r="E128">
        <v>16</v>
      </c>
      <c r="F128">
        <v>0</v>
      </c>
      <c r="H128">
        <v>0</v>
      </c>
      <c r="I128">
        <v>0</v>
      </c>
      <c r="J128">
        <v>0</v>
      </c>
      <c r="K128">
        <v>0</v>
      </c>
      <c r="L128">
        <v>0</v>
      </c>
      <c r="M128">
        <v>0</v>
      </c>
      <c r="N128">
        <v>0</v>
      </c>
    </row>
    <row r="129" spans="1:26" x14ac:dyDescent="0.2">
      <c r="A129" t="s">
        <v>185</v>
      </c>
      <c r="B129" t="s">
        <v>188</v>
      </c>
      <c r="C129">
        <v>0.04</v>
      </c>
      <c r="D129">
        <v>0</v>
      </c>
      <c r="E129">
        <v>0</v>
      </c>
      <c r="F129">
        <v>9</v>
      </c>
      <c r="H129">
        <v>0</v>
      </c>
      <c r="I129">
        <v>0</v>
      </c>
      <c r="J129">
        <v>0</v>
      </c>
      <c r="K129">
        <v>0</v>
      </c>
      <c r="L129">
        <v>0</v>
      </c>
      <c r="M129">
        <v>0</v>
      </c>
      <c r="N129">
        <v>0</v>
      </c>
    </row>
    <row r="130" spans="1:26" x14ac:dyDescent="0.2">
      <c r="A130" t="s">
        <v>185</v>
      </c>
      <c r="B130" t="s">
        <v>189</v>
      </c>
      <c r="C130">
        <v>1.77</v>
      </c>
      <c r="D130">
        <v>1</v>
      </c>
      <c r="E130">
        <v>15</v>
      </c>
      <c r="F130">
        <v>6</v>
      </c>
      <c r="H130">
        <v>0</v>
      </c>
      <c r="I130">
        <v>0</v>
      </c>
      <c r="J130">
        <v>0</v>
      </c>
      <c r="K130">
        <v>0</v>
      </c>
      <c r="L130">
        <v>0</v>
      </c>
      <c r="M130">
        <v>0</v>
      </c>
      <c r="N130">
        <v>0</v>
      </c>
    </row>
    <row r="131" spans="1:26" x14ac:dyDescent="0.2">
      <c r="A131" t="s">
        <v>185</v>
      </c>
      <c r="B131" t="s">
        <v>190</v>
      </c>
      <c r="C131">
        <v>0.92</v>
      </c>
      <c r="D131">
        <v>0</v>
      </c>
      <c r="E131">
        <v>18</v>
      </c>
      <c r="F131">
        <v>4</v>
      </c>
      <c r="H131">
        <v>0</v>
      </c>
      <c r="I131">
        <v>0</v>
      </c>
      <c r="J131">
        <v>0</v>
      </c>
      <c r="K131">
        <v>0</v>
      </c>
      <c r="L131">
        <v>0</v>
      </c>
      <c r="M131">
        <v>0</v>
      </c>
      <c r="N131">
        <v>0</v>
      </c>
    </row>
    <row r="132" spans="1:26" x14ac:dyDescent="0.2">
      <c r="A132" t="s">
        <v>185</v>
      </c>
      <c r="B132" t="s">
        <v>191</v>
      </c>
      <c r="C132">
        <v>0</v>
      </c>
      <c r="D132">
        <v>0</v>
      </c>
      <c r="E132">
        <v>0</v>
      </c>
      <c r="F132">
        <v>0</v>
      </c>
      <c r="H132">
        <v>0</v>
      </c>
      <c r="I132">
        <v>0</v>
      </c>
      <c r="J132">
        <v>0</v>
      </c>
      <c r="K132">
        <v>0</v>
      </c>
      <c r="L132">
        <v>0</v>
      </c>
      <c r="M132">
        <v>0</v>
      </c>
      <c r="N132">
        <v>0</v>
      </c>
    </row>
    <row r="133" spans="1:26" x14ac:dyDescent="0.2">
      <c r="A133" t="s">
        <v>185</v>
      </c>
      <c r="B133" t="s">
        <v>154</v>
      </c>
      <c r="C133">
        <v>0</v>
      </c>
      <c r="D133">
        <v>0</v>
      </c>
      <c r="E133">
        <v>0</v>
      </c>
      <c r="F133">
        <v>0</v>
      </c>
      <c r="H133">
        <v>0</v>
      </c>
      <c r="I133">
        <v>0</v>
      </c>
      <c r="J133">
        <v>0</v>
      </c>
      <c r="K133">
        <v>0</v>
      </c>
      <c r="L133">
        <v>0</v>
      </c>
      <c r="M133">
        <v>0</v>
      </c>
      <c r="N133">
        <v>0</v>
      </c>
    </row>
    <row r="134" spans="1:26" x14ac:dyDescent="0.2">
      <c r="A134" t="s">
        <v>185</v>
      </c>
      <c r="B134" t="s">
        <v>192</v>
      </c>
      <c r="C134">
        <v>0.08</v>
      </c>
      <c r="D134">
        <v>0</v>
      </c>
      <c r="E134">
        <v>1</v>
      </c>
      <c r="F134">
        <v>6</v>
      </c>
      <c r="H134">
        <v>0</v>
      </c>
      <c r="I134">
        <v>0</v>
      </c>
      <c r="J134">
        <v>0</v>
      </c>
      <c r="K134">
        <v>0</v>
      </c>
      <c r="L134">
        <v>0</v>
      </c>
      <c r="M134">
        <v>0</v>
      </c>
      <c r="N134">
        <v>0</v>
      </c>
    </row>
    <row r="135" spans="1:26" x14ac:dyDescent="0.2">
      <c r="A135" t="s">
        <v>185</v>
      </c>
      <c r="B135" t="s">
        <v>193</v>
      </c>
      <c r="C135">
        <v>0.03</v>
      </c>
      <c r="D135">
        <v>0</v>
      </c>
      <c r="E135">
        <v>0</v>
      </c>
      <c r="F135">
        <v>6</v>
      </c>
      <c r="H135">
        <v>0</v>
      </c>
      <c r="I135">
        <v>0</v>
      </c>
      <c r="J135">
        <v>0</v>
      </c>
      <c r="K135">
        <v>0</v>
      </c>
      <c r="L135">
        <v>0</v>
      </c>
      <c r="M135">
        <v>0</v>
      </c>
      <c r="N135">
        <v>0</v>
      </c>
    </row>
    <row r="136" spans="1:26" x14ac:dyDescent="0.2">
      <c r="A136" t="s">
        <v>185</v>
      </c>
      <c r="B136" t="s">
        <v>194</v>
      </c>
      <c r="C136">
        <v>0.11</v>
      </c>
      <c r="D136">
        <v>0</v>
      </c>
      <c r="E136">
        <v>2</v>
      </c>
      <c r="F136">
        <v>2</v>
      </c>
      <c r="H136">
        <v>0</v>
      </c>
      <c r="I136">
        <v>0</v>
      </c>
      <c r="J136">
        <v>0</v>
      </c>
      <c r="K136">
        <v>0</v>
      </c>
      <c r="L136">
        <v>0</v>
      </c>
      <c r="M136">
        <v>0</v>
      </c>
      <c r="N136">
        <v>0</v>
      </c>
    </row>
    <row r="137" spans="1:26" x14ac:dyDescent="0.2">
      <c r="A137" t="s">
        <v>185</v>
      </c>
      <c r="B137" t="s">
        <v>195</v>
      </c>
      <c r="C137">
        <v>0.09</v>
      </c>
      <c r="D137">
        <v>0</v>
      </c>
      <c r="E137">
        <v>1</v>
      </c>
      <c r="F137">
        <v>10</v>
      </c>
      <c r="H137">
        <v>0</v>
      </c>
      <c r="I137">
        <v>0</v>
      </c>
      <c r="J137">
        <v>0</v>
      </c>
      <c r="K137">
        <v>0</v>
      </c>
      <c r="L137">
        <v>0</v>
      </c>
      <c r="M137">
        <v>0</v>
      </c>
      <c r="N137">
        <v>0</v>
      </c>
    </row>
    <row r="138" spans="1:26" x14ac:dyDescent="0.2">
      <c r="A138" t="s">
        <v>185</v>
      </c>
      <c r="B138" t="s">
        <v>196</v>
      </c>
      <c r="C138">
        <v>0.12</v>
      </c>
      <c r="D138">
        <v>0</v>
      </c>
      <c r="E138">
        <v>2</v>
      </c>
      <c r="F138">
        <v>6</v>
      </c>
      <c r="H138">
        <v>0</v>
      </c>
      <c r="I138">
        <v>0</v>
      </c>
      <c r="J138">
        <v>0</v>
      </c>
      <c r="K138">
        <v>0</v>
      </c>
      <c r="L138">
        <v>0</v>
      </c>
      <c r="M138">
        <v>0</v>
      </c>
      <c r="N138">
        <v>0</v>
      </c>
    </row>
    <row r="139" spans="1:26" x14ac:dyDescent="0.2">
      <c r="A139" t="s">
        <v>185</v>
      </c>
      <c r="B139" t="s">
        <v>197</v>
      </c>
      <c r="C139">
        <v>0.05</v>
      </c>
      <c r="D139">
        <v>0</v>
      </c>
      <c r="E139">
        <v>1</v>
      </c>
      <c r="F139">
        <v>0</v>
      </c>
      <c r="H139">
        <v>0</v>
      </c>
      <c r="I139">
        <v>0</v>
      </c>
      <c r="J139">
        <v>0</v>
      </c>
      <c r="K139">
        <v>0</v>
      </c>
      <c r="L139">
        <v>0</v>
      </c>
      <c r="M139">
        <v>0</v>
      </c>
      <c r="N139">
        <v>0</v>
      </c>
    </row>
    <row r="140" spans="1:26" x14ac:dyDescent="0.2">
      <c r="A140" t="s">
        <v>185</v>
      </c>
      <c r="B140" t="s">
        <v>198</v>
      </c>
      <c r="C140">
        <v>0.12</v>
      </c>
      <c r="D140">
        <v>0</v>
      </c>
      <c r="E140">
        <v>2</v>
      </c>
      <c r="F140">
        <v>4</v>
      </c>
      <c r="H140">
        <v>0</v>
      </c>
      <c r="I140">
        <v>0</v>
      </c>
      <c r="J140">
        <v>0</v>
      </c>
      <c r="K140">
        <v>0</v>
      </c>
      <c r="L140">
        <v>0</v>
      </c>
      <c r="M140">
        <v>0</v>
      </c>
      <c r="N140">
        <v>0</v>
      </c>
    </row>
    <row r="141" spans="1:26" x14ac:dyDescent="0.2">
      <c r="A141" t="s">
        <v>185</v>
      </c>
      <c r="B141" t="s">
        <v>199</v>
      </c>
      <c r="C141">
        <v>0.27</v>
      </c>
      <c r="D141">
        <v>0</v>
      </c>
      <c r="E141">
        <v>5</v>
      </c>
      <c r="F141">
        <v>4</v>
      </c>
      <c r="G141" t="s">
        <v>102</v>
      </c>
      <c r="H141">
        <v>4</v>
      </c>
      <c r="I141">
        <v>0</v>
      </c>
      <c r="J141">
        <v>4</v>
      </c>
      <c r="K141">
        <v>4</v>
      </c>
      <c r="L141">
        <v>0</v>
      </c>
      <c r="M141">
        <v>4</v>
      </c>
      <c r="N141">
        <v>0</v>
      </c>
      <c r="Y141">
        <v>1</v>
      </c>
      <c r="Z141">
        <v>4</v>
      </c>
    </row>
    <row r="142" spans="1:26" x14ac:dyDescent="0.2">
      <c r="A142" t="s">
        <v>185</v>
      </c>
      <c r="B142" t="s">
        <v>200</v>
      </c>
      <c r="C142">
        <v>5.24</v>
      </c>
      <c r="D142">
        <v>5</v>
      </c>
      <c r="E142">
        <v>4</v>
      </c>
      <c r="F142">
        <v>9</v>
      </c>
      <c r="H142">
        <v>0</v>
      </c>
      <c r="I142">
        <v>0</v>
      </c>
      <c r="J142">
        <v>0</v>
      </c>
      <c r="K142">
        <v>0</v>
      </c>
      <c r="L142">
        <v>0</v>
      </c>
      <c r="M142">
        <v>0</v>
      </c>
      <c r="N142">
        <v>0</v>
      </c>
    </row>
    <row r="143" spans="1:26" x14ac:dyDescent="0.2">
      <c r="A143" t="s">
        <v>201</v>
      </c>
      <c r="B143" t="s">
        <v>202</v>
      </c>
      <c r="C143">
        <v>14.6</v>
      </c>
      <c r="D143">
        <v>14</v>
      </c>
      <c r="E143">
        <v>12</v>
      </c>
      <c r="F143">
        <v>0.25</v>
      </c>
      <c r="H143">
        <v>0</v>
      </c>
      <c r="I143">
        <v>0</v>
      </c>
      <c r="J143">
        <v>0</v>
      </c>
      <c r="K143">
        <v>0</v>
      </c>
      <c r="L143">
        <v>0</v>
      </c>
      <c r="M143">
        <v>0</v>
      </c>
      <c r="N143">
        <v>0</v>
      </c>
    </row>
    <row r="144" spans="1:26" x14ac:dyDescent="0.2">
      <c r="A144" t="s">
        <v>203</v>
      </c>
      <c r="B144" t="s">
        <v>204</v>
      </c>
      <c r="C144">
        <v>90.28</v>
      </c>
      <c r="D144">
        <v>90</v>
      </c>
      <c r="E144">
        <v>5</v>
      </c>
      <c r="F144">
        <v>8</v>
      </c>
      <c r="H144">
        <v>0</v>
      </c>
      <c r="I144">
        <v>0</v>
      </c>
      <c r="J144">
        <v>0</v>
      </c>
      <c r="K144">
        <v>0</v>
      </c>
      <c r="L144">
        <v>0</v>
      </c>
      <c r="M144">
        <v>0</v>
      </c>
      <c r="N144">
        <v>0</v>
      </c>
    </row>
    <row r="145" spans="1:16" x14ac:dyDescent="0.2">
      <c r="A145" t="s">
        <v>203</v>
      </c>
      <c r="B145" t="s">
        <v>205</v>
      </c>
      <c r="C145">
        <v>43</v>
      </c>
      <c r="D145">
        <v>43</v>
      </c>
      <c r="E145">
        <v>0</v>
      </c>
      <c r="F145">
        <v>0</v>
      </c>
      <c r="H145">
        <v>0</v>
      </c>
      <c r="I145">
        <v>0</v>
      </c>
      <c r="J145">
        <v>0</v>
      </c>
      <c r="K145">
        <v>0</v>
      </c>
      <c r="L145">
        <v>0</v>
      </c>
      <c r="M145">
        <v>0</v>
      </c>
      <c r="N145">
        <v>0</v>
      </c>
    </row>
    <row r="146" spans="1:16" x14ac:dyDescent="0.2">
      <c r="A146" t="s">
        <v>206</v>
      </c>
      <c r="B146" t="s">
        <v>207</v>
      </c>
      <c r="C146">
        <v>47.28</v>
      </c>
      <c r="D146">
        <v>47</v>
      </c>
      <c r="E146">
        <v>5</v>
      </c>
      <c r="F146">
        <v>8</v>
      </c>
      <c r="H146">
        <v>0</v>
      </c>
      <c r="I146">
        <v>0</v>
      </c>
      <c r="J146">
        <v>0</v>
      </c>
      <c r="K146">
        <v>0</v>
      </c>
      <c r="L146">
        <v>0</v>
      </c>
      <c r="M146">
        <v>0</v>
      </c>
      <c r="N146">
        <v>0</v>
      </c>
    </row>
    <row r="147" spans="1:16" x14ac:dyDescent="0.2">
      <c r="A147" t="s">
        <v>208</v>
      </c>
      <c r="B147" t="s">
        <v>209</v>
      </c>
      <c r="C147">
        <v>0</v>
      </c>
      <c r="D147">
        <v>0</v>
      </c>
      <c r="E147">
        <v>0</v>
      </c>
      <c r="F147">
        <v>0</v>
      </c>
      <c r="H147">
        <v>1</v>
      </c>
      <c r="I147">
        <v>7</v>
      </c>
      <c r="J147">
        <v>1.875</v>
      </c>
      <c r="K147">
        <v>1.875</v>
      </c>
      <c r="L147">
        <v>0</v>
      </c>
      <c r="M147">
        <v>1</v>
      </c>
      <c r="N147">
        <v>7</v>
      </c>
    </row>
    <row r="148" spans="1:16" x14ac:dyDescent="0.2">
      <c r="A148" t="s">
        <v>208</v>
      </c>
      <c r="B148" t="s">
        <v>210</v>
      </c>
      <c r="C148">
        <v>0</v>
      </c>
      <c r="D148">
        <v>0</v>
      </c>
      <c r="E148">
        <v>0</v>
      </c>
      <c r="F148">
        <v>0</v>
      </c>
      <c r="G148" t="s">
        <v>72</v>
      </c>
      <c r="H148">
        <v>38</v>
      </c>
      <c r="I148">
        <v>5</v>
      </c>
      <c r="J148">
        <v>38.625</v>
      </c>
      <c r="K148">
        <v>38.625</v>
      </c>
      <c r="L148">
        <v>0</v>
      </c>
      <c r="M148">
        <v>38</v>
      </c>
      <c r="N148">
        <v>5</v>
      </c>
    </row>
    <row r="149" spans="1:16" x14ac:dyDescent="0.2">
      <c r="A149" t="s">
        <v>208</v>
      </c>
      <c r="B149" t="s">
        <v>211</v>
      </c>
      <c r="C149">
        <v>0</v>
      </c>
      <c r="D149">
        <v>0</v>
      </c>
      <c r="E149">
        <v>0</v>
      </c>
      <c r="F149">
        <v>0</v>
      </c>
      <c r="H149">
        <v>9.5</v>
      </c>
      <c r="I149">
        <v>0</v>
      </c>
      <c r="J149">
        <v>9.5</v>
      </c>
      <c r="K149">
        <v>9.5</v>
      </c>
      <c r="L149">
        <v>0</v>
      </c>
      <c r="M149">
        <v>9.5</v>
      </c>
      <c r="N149">
        <v>0</v>
      </c>
    </row>
    <row r="150" spans="1:16" x14ac:dyDescent="0.2">
      <c r="A150" t="s">
        <v>208</v>
      </c>
      <c r="B150" t="s">
        <v>212</v>
      </c>
      <c r="C150">
        <v>0</v>
      </c>
      <c r="D150">
        <v>0</v>
      </c>
      <c r="E150">
        <v>0</v>
      </c>
      <c r="F150">
        <v>0</v>
      </c>
      <c r="H150">
        <v>1</v>
      </c>
      <c r="I150">
        <v>3.5</v>
      </c>
      <c r="J150">
        <v>1.4375</v>
      </c>
      <c r="K150">
        <v>0.125</v>
      </c>
      <c r="L150">
        <v>1.3125</v>
      </c>
      <c r="M150">
        <v>0</v>
      </c>
      <c r="N150">
        <v>1</v>
      </c>
      <c r="O150">
        <v>1</v>
      </c>
      <c r="P150">
        <v>3.5</v>
      </c>
    </row>
    <row r="151" spans="1:16" x14ac:dyDescent="0.2">
      <c r="A151" t="s">
        <v>208</v>
      </c>
      <c r="B151" t="s">
        <v>154</v>
      </c>
      <c r="C151">
        <v>0</v>
      </c>
      <c r="D151">
        <v>0</v>
      </c>
      <c r="E151">
        <v>0</v>
      </c>
      <c r="F151">
        <v>0</v>
      </c>
      <c r="H151">
        <v>0</v>
      </c>
      <c r="I151">
        <v>0</v>
      </c>
      <c r="J151">
        <v>0</v>
      </c>
      <c r="K151">
        <v>0</v>
      </c>
      <c r="L151">
        <v>0</v>
      </c>
      <c r="M151">
        <v>0</v>
      </c>
      <c r="N151">
        <v>0</v>
      </c>
    </row>
    <row r="152" spans="1:16" x14ac:dyDescent="0.2">
      <c r="A152" t="s">
        <v>208</v>
      </c>
      <c r="B152" t="s">
        <v>213</v>
      </c>
      <c r="C152">
        <v>0</v>
      </c>
      <c r="D152">
        <v>0</v>
      </c>
      <c r="E152">
        <v>0</v>
      </c>
      <c r="F152">
        <v>0</v>
      </c>
      <c r="H152">
        <v>4</v>
      </c>
      <c r="I152">
        <v>0</v>
      </c>
      <c r="J152">
        <v>4</v>
      </c>
      <c r="K152">
        <v>4</v>
      </c>
      <c r="L152">
        <v>0</v>
      </c>
      <c r="M152">
        <v>4</v>
      </c>
      <c r="N152">
        <v>0</v>
      </c>
    </row>
    <row r="153" spans="1:16" x14ac:dyDescent="0.2">
      <c r="A153" t="s">
        <v>208</v>
      </c>
      <c r="B153" t="s">
        <v>214</v>
      </c>
      <c r="C153">
        <v>0</v>
      </c>
      <c r="D153">
        <v>0</v>
      </c>
      <c r="E153">
        <v>0</v>
      </c>
      <c r="F153">
        <v>0</v>
      </c>
      <c r="H153">
        <v>25</v>
      </c>
      <c r="I153">
        <v>1</v>
      </c>
      <c r="J153">
        <v>25.125</v>
      </c>
      <c r="K153">
        <v>25.125</v>
      </c>
      <c r="L153">
        <v>0</v>
      </c>
      <c r="M153">
        <v>25</v>
      </c>
      <c r="N153">
        <v>1</v>
      </c>
    </row>
    <row r="154" spans="1:16" x14ac:dyDescent="0.2">
      <c r="A154" t="s">
        <v>215</v>
      </c>
      <c r="B154" t="s">
        <v>216</v>
      </c>
      <c r="C154">
        <v>0</v>
      </c>
      <c r="D154">
        <v>0</v>
      </c>
      <c r="E154">
        <v>0</v>
      </c>
      <c r="F154">
        <v>0</v>
      </c>
      <c r="H154">
        <v>0</v>
      </c>
      <c r="I154">
        <v>5</v>
      </c>
      <c r="J154">
        <v>0.625</v>
      </c>
      <c r="K154">
        <v>0.625</v>
      </c>
      <c r="L154">
        <v>0</v>
      </c>
      <c r="M154">
        <v>0</v>
      </c>
      <c r="N154">
        <v>5</v>
      </c>
    </row>
    <row r="155" spans="1:16" x14ac:dyDescent="0.2">
      <c r="A155" t="s">
        <v>215</v>
      </c>
      <c r="B155" t="s">
        <v>217</v>
      </c>
      <c r="C155">
        <v>0</v>
      </c>
      <c r="D155">
        <v>0</v>
      </c>
      <c r="E155">
        <v>0</v>
      </c>
      <c r="F155">
        <v>0</v>
      </c>
      <c r="H155">
        <v>26</v>
      </c>
      <c r="I155">
        <v>1</v>
      </c>
      <c r="J155">
        <v>26.125</v>
      </c>
      <c r="K155">
        <v>26.125</v>
      </c>
      <c r="L155">
        <v>0</v>
      </c>
      <c r="M155">
        <v>26</v>
      </c>
      <c r="N155">
        <v>1</v>
      </c>
    </row>
    <row r="156" spans="1:16" x14ac:dyDescent="0.2">
      <c r="A156" t="s">
        <v>215</v>
      </c>
      <c r="B156" t="s">
        <v>218</v>
      </c>
      <c r="C156">
        <v>0</v>
      </c>
      <c r="D156">
        <v>0</v>
      </c>
      <c r="E156">
        <v>0</v>
      </c>
      <c r="F156">
        <v>0</v>
      </c>
      <c r="H156">
        <v>7</v>
      </c>
      <c r="I156">
        <v>2</v>
      </c>
      <c r="J156">
        <v>7.25</v>
      </c>
      <c r="K156">
        <v>7.25</v>
      </c>
      <c r="L156">
        <v>0</v>
      </c>
      <c r="M156">
        <v>7</v>
      </c>
      <c r="N156">
        <v>2</v>
      </c>
    </row>
    <row r="157" spans="1:16" x14ac:dyDescent="0.2">
      <c r="A157" t="s">
        <v>215</v>
      </c>
      <c r="B157" t="s">
        <v>219</v>
      </c>
      <c r="C157">
        <v>0</v>
      </c>
      <c r="D157">
        <v>0</v>
      </c>
      <c r="E157">
        <v>0</v>
      </c>
      <c r="F157">
        <v>0</v>
      </c>
      <c r="H157">
        <v>0</v>
      </c>
      <c r="I157">
        <v>3.5</v>
      </c>
      <c r="J157">
        <v>0.4375</v>
      </c>
      <c r="K157">
        <v>0.1875</v>
      </c>
      <c r="L157">
        <v>0.25</v>
      </c>
      <c r="M157">
        <v>0</v>
      </c>
      <c r="N157">
        <v>1.5</v>
      </c>
      <c r="O157">
        <v>0</v>
      </c>
      <c r="P157">
        <v>3.5</v>
      </c>
    </row>
    <row r="158" spans="1:16" x14ac:dyDescent="0.2">
      <c r="A158" t="s">
        <v>215</v>
      </c>
      <c r="B158" t="s">
        <v>220</v>
      </c>
      <c r="C158">
        <v>0</v>
      </c>
      <c r="D158">
        <v>0</v>
      </c>
      <c r="E158">
        <v>0</v>
      </c>
      <c r="F158">
        <v>0</v>
      </c>
      <c r="H158">
        <v>18</v>
      </c>
      <c r="I158">
        <v>7</v>
      </c>
      <c r="J158">
        <v>18.875</v>
      </c>
      <c r="K158">
        <v>18.875</v>
      </c>
      <c r="L158">
        <v>0</v>
      </c>
      <c r="M158">
        <v>18</v>
      </c>
      <c r="N158">
        <v>7</v>
      </c>
    </row>
    <row r="159" spans="1:16" x14ac:dyDescent="0.2">
      <c r="A159" t="s">
        <v>221</v>
      </c>
      <c r="B159" t="s">
        <v>222</v>
      </c>
      <c r="C159">
        <v>0</v>
      </c>
      <c r="D159">
        <v>0</v>
      </c>
      <c r="E159">
        <v>0</v>
      </c>
      <c r="F159">
        <v>0</v>
      </c>
      <c r="H159">
        <v>0</v>
      </c>
      <c r="I159">
        <v>6</v>
      </c>
      <c r="J159">
        <v>0.75</v>
      </c>
      <c r="K159">
        <v>0.75</v>
      </c>
      <c r="L159">
        <v>0</v>
      </c>
      <c r="M159">
        <v>0</v>
      </c>
      <c r="N159">
        <v>6</v>
      </c>
    </row>
    <row r="160" spans="1:16" x14ac:dyDescent="0.2">
      <c r="A160" t="s">
        <v>221</v>
      </c>
      <c r="B160" t="s">
        <v>223</v>
      </c>
      <c r="C160">
        <v>0</v>
      </c>
      <c r="D160">
        <v>0</v>
      </c>
      <c r="E160">
        <v>0</v>
      </c>
      <c r="F160">
        <v>0</v>
      </c>
      <c r="G160" t="s">
        <v>95</v>
      </c>
      <c r="H160">
        <v>21</v>
      </c>
      <c r="I160">
        <v>6</v>
      </c>
      <c r="J160">
        <v>21.75</v>
      </c>
      <c r="K160">
        <v>21.75</v>
      </c>
      <c r="L160">
        <v>0</v>
      </c>
      <c r="M160">
        <v>21</v>
      </c>
      <c r="N160">
        <v>6</v>
      </c>
    </row>
    <row r="161" spans="1:16" x14ac:dyDescent="0.2">
      <c r="A161" t="s">
        <v>221</v>
      </c>
      <c r="B161" t="s">
        <v>224</v>
      </c>
      <c r="C161">
        <v>0</v>
      </c>
      <c r="D161">
        <v>0</v>
      </c>
      <c r="E161">
        <v>0</v>
      </c>
      <c r="F161">
        <v>0</v>
      </c>
      <c r="H161">
        <v>6</v>
      </c>
      <c r="I161">
        <v>2</v>
      </c>
      <c r="J161">
        <v>6.25</v>
      </c>
      <c r="K161">
        <v>6.25</v>
      </c>
      <c r="L161">
        <v>0</v>
      </c>
      <c r="M161">
        <v>6</v>
      </c>
      <c r="N161">
        <v>2</v>
      </c>
    </row>
    <row r="162" spans="1:16" x14ac:dyDescent="0.2">
      <c r="A162" t="s">
        <v>221</v>
      </c>
      <c r="B162" t="s">
        <v>225</v>
      </c>
      <c r="C162">
        <v>0</v>
      </c>
      <c r="D162">
        <v>0</v>
      </c>
      <c r="E162">
        <v>0</v>
      </c>
      <c r="F162">
        <v>0</v>
      </c>
      <c r="H162">
        <v>0</v>
      </c>
      <c r="I162">
        <v>1</v>
      </c>
      <c r="J162">
        <v>0.125</v>
      </c>
      <c r="K162">
        <v>0.375</v>
      </c>
      <c r="L162">
        <v>-0.25</v>
      </c>
      <c r="M162">
        <v>0</v>
      </c>
      <c r="N162">
        <v>3</v>
      </c>
      <c r="O162">
        <v>0</v>
      </c>
      <c r="P162">
        <v>1</v>
      </c>
    </row>
    <row r="163" spans="1:16" x14ac:dyDescent="0.2">
      <c r="A163" t="s">
        <v>221</v>
      </c>
      <c r="B163" t="s">
        <v>226</v>
      </c>
      <c r="C163">
        <v>0</v>
      </c>
      <c r="D163">
        <v>0</v>
      </c>
      <c r="E163">
        <v>0</v>
      </c>
      <c r="F163">
        <v>0</v>
      </c>
      <c r="H163">
        <v>13</v>
      </c>
      <c r="I163">
        <v>0</v>
      </c>
      <c r="J163">
        <v>13</v>
      </c>
      <c r="K163">
        <v>13</v>
      </c>
      <c r="L163">
        <v>0</v>
      </c>
      <c r="M163">
        <v>13</v>
      </c>
      <c r="N163">
        <v>0</v>
      </c>
    </row>
    <row r="164" spans="1:16" x14ac:dyDescent="0.2">
      <c r="A164" t="s">
        <v>221</v>
      </c>
      <c r="B164" t="s">
        <v>227</v>
      </c>
      <c r="C164">
        <v>0</v>
      </c>
      <c r="D164">
        <v>0</v>
      </c>
      <c r="E164">
        <v>0</v>
      </c>
      <c r="F164">
        <v>0</v>
      </c>
      <c r="H164">
        <v>2.5</v>
      </c>
      <c r="I164">
        <v>0</v>
      </c>
      <c r="J164">
        <v>2.5</v>
      </c>
      <c r="K164">
        <v>2.5</v>
      </c>
      <c r="L164">
        <v>0</v>
      </c>
      <c r="M164">
        <v>2.5</v>
      </c>
      <c r="N164">
        <v>0</v>
      </c>
    </row>
    <row r="165" spans="1:16" x14ac:dyDescent="0.2">
      <c r="A165" t="s">
        <v>228</v>
      </c>
      <c r="B165" t="s">
        <v>229</v>
      </c>
      <c r="C165">
        <v>0</v>
      </c>
      <c r="D165">
        <v>0</v>
      </c>
      <c r="E165">
        <v>0</v>
      </c>
      <c r="F165">
        <v>0</v>
      </c>
      <c r="H165">
        <v>5</v>
      </c>
      <c r="I165">
        <v>3</v>
      </c>
      <c r="J165">
        <v>5.375</v>
      </c>
      <c r="K165">
        <v>5.375</v>
      </c>
      <c r="L165">
        <v>0</v>
      </c>
      <c r="M165">
        <v>5</v>
      </c>
      <c r="N165">
        <v>3</v>
      </c>
    </row>
    <row r="166" spans="1:16" x14ac:dyDescent="0.2">
      <c r="A166" t="s">
        <v>228</v>
      </c>
      <c r="B166" t="s">
        <v>230</v>
      </c>
      <c r="C166">
        <v>0</v>
      </c>
      <c r="D166">
        <v>0</v>
      </c>
      <c r="E166">
        <v>0</v>
      </c>
      <c r="F166">
        <v>0</v>
      </c>
      <c r="G166" t="s">
        <v>102</v>
      </c>
      <c r="H166">
        <v>65</v>
      </c>
      <c r="I166">
        <v>1</v>
      </c>
      <c r="J166">
        <v>65.125</v>
      </c>
      <c r="K166">
        <v>65</v>
      </c>
      <c r="L166">
        <v>0.125</v>
      </c>
      <c r="M166">
        <v>65</v>
      </c>
      <c r="N166">
        <v>0</v>
      </c>
      <c r="O166">
        <v>0</v>
      </c>
      <c r="P166">
        <v>1</v>
      </c>
    </row>
    <row r="167" spans="1:16" x14ac:dyDescent="0.2">
      <c r="A167" t="s">
        <v>228</v>
      </c>
      <c r="B167" t="s">
        <v>231</v>
      </c>
      <c r="C167">
        <v>0</v>
      </c>
      <c r="D167">
        <v>0</v>
      </c>
      <c r="E167">
        <v>0</v>
      </c>
      <c r="F167">
        <v>0</v>
      </c>
      <c r="H167">
        <v>26.5</v>
      </c>
      <c r="I167">
        <v>0</v>
      </c>
      <c r="J167">
        <v>26.5</v>
      </c>
      <c r="K167">
        <v>26.5</v>
      </c>
      <c r="L167">
        <v>0</v>
      </c>
      <c r="M167">
        <v>26.5</v>
      </c>
      <c r="N167">
        <v>0</v>
      </c>
    </row>
    <row r="168" spans="1:16" x14ac:dyDescent="0.2">
      <c r="A168" t="s">
        <v>228</v>
      </c>
      <c r="B168" t="s">
        <v>232</v>
      </c>
      <c r="C168">
        <v>0</v>
      </c>
      <c r="D168">
        <v>0</v>
      </c>
      <c r="E168">
        <v>0</v>
      </c>
      <c r="F168">
        <v>0</v>
      </c>
      <c r="H168">
        <v>0</v>
      </c>
      <c r="I168">
        <v>2</v>
      </c>
      <c r="J168">
        <v>0.25</v>
      </c>
      <c r="K168">
        <v>0.25</v>
      </c>
      <c r="L168">
        <v>0</v>
      </c>
      <c r="M168">
        <v>0</v>
      </c>
      <c r="N168">
        <v>2</v>
      </c>
      <c r="O168">
        <v>0</v>
      </c>
      <c r="P168">
        <v>2</v>
      </c>
    </row>
    <row r="169" spans="1:16" x14ac:dyDescent="0.2">
      <c r="A169" t="s">
        <v>228</v>
      </c>
      <c r="B169" t="s">
        <v>154</v>
      </c>
      <c r="C169">
        <v>0</v>
      </c>
      <c r="D169">
        <v>0</v>
      </c>
      <c r="E169">
        <v>0</v>
      </c>
      <c r="F169">
        <v>0</v>
      </c>
      <c r="H169">
        <v>0</v>
      </c>
      <c r="I169">
        <v>0</v>
      </c>
      <c r="J169">
        <v>0</v>
      </c>
      <c r="K169">
        <v>0</v>
      </c>
      <c r="L169">
        <v>0</v>
      </c>
      <c r="M169">
        <v>0</v>
      </c>
      <c r="N169">
        <v>0</v>
      </c>
    </row>
    <row r="170" spans="1:16" x14ac:dyDescent="0.2">
      <c r="A170" t="s">
        <v>228</v>
      </c>
      <c r="B170" t="s">
        <v>233</v>
      </c>
      <c r="C170">
        <v>0</v>
      </c>
      <c r="D170">
        <v>0</v>
      </c>
      <c r="E170">
        <v>0</v>
      </c>
      <c r="F170">
        <v>0</v>
      </c>
      <c r="H170">
        <v>19</v>
      </c>
      <c r="I170">
        <v>0.5</v>
      </c>
      <c r="J170">
        <v>19.0625</v>
      </c>
      <c r="K170">
        <v>19.125</v>
      </c>
      <c r="L170">
        <v>-6.25E-2</v>
      </c>
      <c r="M170">
        <v>19</v>
      </c>
      <c r="N170">
        <v>1</v>
      </c>
      <c r="O170">
        <v>0</v>
      </c>
      <c r="P170">
        <v>0.5</v>
      </c>
    </row>
    <row r="171" spans="1:16" x14ac:dyDescent="0.2">
      <c r="A171" t="s">
        <v>228</v>
      </c>
      <c r="B171" t="s">
        <v>154</v>
      </c>
      <c r="C171">
        <v>0</v>
      </c>
      <c r="D171">
        <v>0</v>
      </c>
      <c r="E171">
        <v>0</v>
      </c>
      <c r="F171">
        <v>0</v>
      </c>
      <c r="H171">
        <v>0</v>
      </c>
      <c r="I171">
        <v>0</v>
      </c>
      <c r="J171">
        <v>0</v>
      </c>
      <c r="K171">
        <v>0</v>
      </c>
      <c r="L171">
        <v>0</v>
      </c>
      <c r="M171">
        <v>0</v>
      </c>
      <c r="N171">
        <v>0</v>
      </c>
    </row>
    <row r="172" spans="1:16" x14ac:dyDescent="0.2">
      <c r="A172" t="s">
        <v>228</v>
      </c>
      <c r="B172" t="s">
        <v>234</v>
      </c>
      <c r="C172">
        <v>0</v>
      </c>
      <c r="D172">
        <v>0</v>
      </c>
      <c r="E172">
        <v>0</v>
      </c>
      <c r="F172">
        <v>0</v>
      </c>
      <c r="H172">
        <v>17.5</v>
      </c>
      <c r="I172">
        <v>1</v>
      </c>
      <c r="J172">
        <v>17.625</v>
      </c>
      <c r="K172">
        <v>17.5</v>
      </c>
      <c r="L172">
        <v>0.125</v>
      </c>
      <c r="M172">
        <v>17.5</v>
      </c>
      <c r="N172">
        <v>0</v>
      </c>
      <c r="O172">
        <v>0</v>
      </c>
      <c r="P172">
        <v>1</v>
      </c>
    </row>
    <row r="173" spans="1:16" x14ac:dyDescent="0.2">
      <c r="A173" t="s">
        <v>228</v>
      </c>
      <c r="B173" t="s">
        <v>154</v>
      </c>
      <c r="C173">
        <v>0</v>
      </c>
      <c r="D173">
        <v>0</v>
      </c>
      <c r="E173">
        <v>0</v>
      </c>
      <c r="F173">
        <v>0</v>
      </c>
      <c r="H173">
        <v>0</v>
      </c>
      <c r="I173">
        <v>0</v>
      </c>
      <c r="J173">
        <v>0</v>
      </c>
      <c r="K173">
        <v>0</v>
      </c>
      <c r="L173">
        <v>0</v>
      </c>
      <c r="M173">
        <v>0</v>
      </c>
      <c r="N173">
        <v>0</v>
      </c>
    </row>
    <row r="174" spans="1:16" x14ac:dyDescent="0.2">
      <c r="A174" t="s">
        <v>228</v>
      </c>
      <c r="B174" t="s">
        <v>235</v>
      </c>
      <c r="C174">
        <v>0</v>
      </c>
      <c r="D174">
        <v>0</v>
      </c>
      <c r="E174">
        <v>0</v>
      </c>
      <c r="F174">
        <v>0</v>
      </c>
      <c r="H174">
        <v>0.5</v>
      </c>
      <c r="I174">
        <v>0</v>
      </c>
      <c r="J174">
        <v>0.5</v>
      </c>
      <c r="K174">
        <v>0.5</v>
      </c>
      <c r="L174">
        <v>0</v>
      </c>
      <c r="M174">
        <v>0.5</v>
      </c>
      <c r="N174">
        <v>0</v>
      </c>
    </row>
    <row r="175" spans="1:16" x14ac:dyDescent="0.2">
      <c r="A175" t="s">
        <v>228</v>
      </c>
      <c r="B175" t="s">
        <v>154</v>
      </c>
      <c r="C175">
        <v>0</v>
      </c>
      <c r="D175">
        <v>0</v>
      </c>
      <c r="E175">
        <v>0</v>
      </c>
      <c r="F175">
        <v>0</v>
      </c>
      <c r="H175">
        <v>0</v>
      </c>
      <c r="I175">
        <v>0</v>
      </c>
      <c r="J175">
        <v>0</v>
      </c>
      <c r="K175">
        <v>0</v>
      </c>
      <c r="L175">
        <v>0</v>
      </c>
      <c r="M175">
        <v>0</v>
      </c>
      <c r="N175">
        <v>0</v>
      </c>
    </row>
    <row r="176" spans="1:16" x14ac:dyDescent="0.2">
      <c r="A176" t="s">
        <v>228</v>
      </c>
      <c r="B176" t="s">
        <v>236</v>
      </c>
      <c r="C176">
        <v>0</v>
      </c>
      <c r="D176">
        <v>0</v>
      </c>
      <c r="E176">
        <v>0</v>
      </c>
      <c r="F176">
        <v>0</v>
      </c>
      <c r="H176">
        <v>1.5</v>
      </c>
      <c r="I176">
        <v>0</v>
      </c>
      <c r="J176">
        <v>1.5</v>
      </c>
      <c r="K176">
        <v>1.5</v>
      </c>
      <c r="L176">
        <v>0</v>
      </c>
      <c r="M176">
        <v>1.5</v>
      </c>
      <c r="N176">
        <v>0</v>
      </c>
    </row>
    <row r="177" spans="1:14" x14ac:dyDescent="0.2">
      <c r="A177" t="s">
        <v>228</v>
      </c>
      <c r="B177" t="s">
        <v>237</v>
      </c>
      <c r="C177">
        <v>0</v>
      </c>
      <c r="D177">
        <v>0</v>
      </c>
      <c r="E177">
        <v>0</v>
      </c>
      <c r="F177">
        <v>0</v>
      </c>
      <c r="H177">
        <v>65</v>
      </c>
      <c r="I177">
        <v>1</v>
      </c>
      <c r="J177">
        <v>65.125</v>
      </c>
      <c r="K177">
        <v>65.125</v>
      </c>
      <c r="L177">
        <v>0</v>
      </c>
      <c r="M177">
        <v>65</v>
      </c>
      <c r="N177">
        <v>1</v>
      </c>
    </row>
    <row r="178" spans="1:14" x14ac:dyDescent="0.2">
      <c r="A178" t="s">
        <v>238</v>
      </c>
      <c r="B178" t="s">
        <v>239</v>
      </c>
      <c r="C178">
        <v>0</v>
      </c>
      <c r="D178">
        <v>0</v>
      </c>
      <c r="E178">
        <v>0</v>
      </c>
      <c r="F178">
        <v>0</v>
      </c>
      <c r="H178">
        <v>0</v>
      </c>
      <c r="I178">
        <v>0</v>
      </c>
      <c r="J178">
        <v>0</v>
      </c>
      <c r="K178">
        <v>0</v>
      </c>
      <c r="L178">
        <v>0</v>
      </c>
      <c r="M178">
        <v>0</v>
      </c>
      <c r="N178">
        <v>0</v>
      </c>
    </row>
    <row r="179" spans="1:14" x14ac:dyDescent="0.2">
      <c r="A179" t="s">
        <v>240</v>
      </c>
      <c r="B179" t="s">
        <v>241</v>
      </c>
      <c r="C179">
        <v>0</v>
      </c>
      <c r="D179">
        <v>0</v>
      </c>
      <c r="E179">
        <v>0</v>
      </c>
      <c r="F179">
        <v>0</v>
      </c>
      <c r="H179">
        <v>0</v>
      </c>
      <c r="I179">
        <v>0</v>
      </c>
      <c r="J179">
        <v>0</v>
      </c>
      <c r="K179">
        <v>0</v>
      </c>
      <c r="L179">
        <v>0</v>
      </c>
      <c r="M179">
        <v>0</v>
      </c>
      <c r="N179">
        <v>0</v>
      </c>
    </row>
    <row r="180" spans="1:14" x14ac:dyDescent="0.2">
      <c r="A180" t="s">
        <v>240</v>
      </c>
      <c r="B180" t="s">
        <v>242</v>
      </c>
      <c r="C180">
        <v>0</v>
      </c>
      <c r="D180">
        <v>0</v>
      </c>
      <c r="E180">
        <v>0</v>
      </c>
      <c r="F180">
        <v>0</v>
      </c>
      <c r="H180">
        <v>0</v>
      </c>
      <c r="I180">
        <v>0</v>
      </c>
      <c r="J180">
        <v>0</v>
      </c>
      <c r="K180">
        <v>0</v>
      </c>
      <c r="L180">
        <v>0</v>
      </c>
      <c r="M180">
        <v>0</v>
      </c>
      <c r="N180">
        <v>0</v>
      </c>
    </row>
    <row r="181" spans="1:14" x14ac:dyDescent="0.2">
      <c r="A181" t="s">
        <v>240</v>
      </c>
      <c r="B181" t="s">
        <v>243</v>
      </c>
      <c r="C181">
        <v>0</v>
      </c>
      <c r="D181">
        <v>0</v>
      </c>
      <c r="E181">
        <v>0</v>
      </c>
      <c r="F181">
        <v>0</v>
      </c>
      <c r="H181">
        <v>0</v>
      </c>
      <c r="I181">
        <v>0</v>
      </c>
      <c r="J181">
        <v>0</v>
      </c>
      <c r="K181">
        <v>0</v>
      </c>
      <c r="L181">
        <v>0</v>
      </c>
      <c r="M181">
        <v>0</v>
      </c>
      <c r="N181">
        <v>0</v>
      </c>
    </row>
    <row r="182" spans="1:14" x14ac:dyDescent="0.2">
      <c r="A182" t="s">
        <v>240</v>
      </c>
      <c r="B182" t="s">
        <v>244</v>
      </c>
      <c r="C182">
        <v>0</v>
      </c>
      <c r="D182">
        <v>0</v>
      </c>
      <c r="E182">
        <v>0</v>
      </c>
      <c r="F182">
        <v>0</v>
      </c>
      <c r="H182">
        <v>0</v>
      </c>
      <c r="I182">
        <v>0</v>
      </c>
      <c r="J182">
        <v>0</v>
      </c>
      <c r="K182">
        <v>0</v>
      </c>
      <c r="L182">
        <v>0</v>
      </c>
      <c r="M182">
        <v>0</v>
      </c>
      <c r="N182">
        <v>0</v>
      </c>
    </row>
    <row r="183" spans="1:14" x14ac:dyDescent="0.2">
      <c r="A183" t="s">
        <v>240</v>
      </c>
      <c r="B183" t="s">
        <v>245</v>
      </c>
      <c r="C183">
        <v>0</v>
      </c>
      <c r="D183">
        <v>0</v>
      </c>
      <c r="E183">
        <v>0</v>
      </c>
      <c r="F183">
        <v>0</v>
      </c>
      <c r="H183">
        <v>0</v>
      </c>
      <c r="I183">
        <v>0</v>
      </c>
      <c r="J183">
        <v>0</v>
      </c>
      <c r="K183">
        <v>0</v>
      </c>
      <c r="L183">
        <v>0</v>
      </c>
      <c r="M183">
        <v>0</v>
      </c>
      <c r="N183">
        <v>0</v>
      </c>
    </row>
    <row r="184" spans="1:14" x14ac:dyDescent="0.2">
      <c r="A184" t="s">
        <v>240</v>
      </c>
      <c r="B184" t="s">
        <v>246</v>
      </c>
      <c r="C184">
        <v>0</v>
      </c>
      <c r="D184">
        <v>0</v>
      </c>
      <c r="E184">
        <v>0</v>
      </c>
      <c r="F184">
        <v>0</v>
      </c>
      <c r="H184">
        <v>0</v>
      </c>
      <c r="I184">
        <v>0</v>
      </c>
      <c r="J184">
        <v>0</v>
      </c>
      <c r="K184">
        <v>0</v>
      </c>
      <c r="L184">
        <v>0</v>
      </c>
      <c r="M184">
        <v>0</v>
      </c>
      <c r="N184">
        <v>0</v>
      </c>
    </row>
    <row r="185" spans="1:14" x14ac:dyDescent="0.2">
      <c r="A185" t="s">
        <v>240</v>
      </c>
      <c r="B185" t="s">
        <v>242</v>
      </c>
      <c r="C185">
        <v>0</v>
      </c>
      <c r="D185">
        <v>0</v>
      </c>
      <c r="E185">
        <v>0</v>
      </c>
      <c r="F185">
        <v>0</v>
      </c>
      <c r="H185">
        <v>0</v>
      </c>
      <c r="I185">
        <v>0</v>
      </c>
      <c r="J185">
        <v>0</v>
      </c>
      <c r="K185">
        <v>0</v>
      </c>
      <c r="L185">
        <v>0</v>
      </c>
      <c r="M185">
        <v>0</v>
      </c>
      <c r="N185">
        <v>0</v>
      </c>
    </row>
    <row r="186" spans="1:14" x14ac:dyDescent="0.2">
      <c r="A186" t="s">
        <v>240</v>
      </c>
      <c r="B186" t="s">
        <v>247</v>
      </c>
      <c r="C186">
        <v>0</v>
      </c>
      <c r="D186">
        <v>0</v>
      </c>
      <c r="E186">
        <v>0</v>
      </c>
      <c r="F186">
        <v>0</v>
      </c>
      <c r="H186">
        <v>0</v>
      </c>
      <c r="I186">
        <v>0</v>
      </c>
      <c r="J186">
        <v>0</v>
      </c>
      <c r="K186">
        <v>0</v>
      </c>
      <c r="L186">
        <v>0</v>
      </c>
      <c r="M186">
        <v>0</v>
      </c>
      <c r="N186">
        <v>0</v>
      </c>
    </row>
    <row r="187" spans="1:14" x14ac:dyDescent="0.2">
      <c r="A187" t="s">
        <v>240</v>
      </c>
      <c r="B187" t="s">
        <v>248</v>
      </c>
      <c r="C187">
        <v>0</v>
      </c>
      <c r="D187">
        <v>0</v>
      </c>
      <c r="E187">
        <v>0</v>
      </c>
      <c r="F187">
        <v>0</v>
      </c>
      <c r="H187">
        <v>0</v>
      </c>
      <c r="I187">
        <v>0</v>
      </c>
      <c r="J187">
        <v>0</v>
      </c>
      <c r="K187">
        <v>0</v>
      </c>
      <c r="L187">
        <v>0</v>
      </c>
      <c r="M187">
        <v>0</v>
      </c>
      <c r="N187">
        <v>0</v>
      </c>
    </row>
    <row r="188" spans="1:14" x14ac:dyDescent="0.2">
      <c r="A188" t="s">
        <v>240</v>
      </c>
      <c r="B188" t="s">
        <v>249</v>
      </c>
      <c r="C188">
        <v>0</v>
      </c>
      <c r="D188">
        <v>0</v>
      </c>
      <c r="E188">
        <v>0</v>
      </c>
      <c r="F188">
        <v>0</v>
      </c>
      <c r="H188">
        <v>0</v>
      </c>
      <c r="I188">
        <v>0</v>
      </c>
      <c r="J188">
        <v>0</v>
      </c>
      <c r="K188">
        <v>0</v>
      </c>
      <c r="L188">
        <v>0</v>
      </c>
      <c r="M188">
        <v>0</v>
      </c>
      <c r="N188">
        <v>0</v>
      </c>
    </row>
    <row r="189" spans="1:14" x14ac:dyDescent="0.2">
      <c r="A189" t="s">
        <v>240</v>
      </c>
      <c r="B189" t="s">
        <v>250</v>
      </c>
      <c r="C189">
        <v>0</v>
      </c>
      <c r="D189">
        <v>0</v>
      </c>
      <c r="E189">
        <v>0</v>
      </c>
      <c r="F189">
        <v>0</v>
      </c>
      <c r="H189">
        <v>0</v>
      </c>
      <c r="I189">
        <v>0</v>
      </c>
      <c r="J189">
        <v>0</v>
      </c>
      <c r="K189">
        <v>0</v>
      </c>
      <c r="L189">
        <v>0</v>
      </c>
      <c r="M189">
        <v>0</v>
      </c>
      <c r="N189">
        <v>0</v>
      </c>
    </row>
    <row r="190" spans="1:14" x14ac:dyDescent="0.2">
      <c r="A190" t="s">
        <v>240</v>
      </c>
      <c r="B190" t="s">
        <v>251</v>
      </c>
      <c r="C190">
        <v>0</v>
      </c>
      <c r="D190">
        <v>0</v>
      </c>
      <c r="E190">
        <v>0</v>
      </c>
      <c r="F190">
        <v>0</v>
      </c>
      <c r="H190">
        <v>0</v>
      </c>
      <c r="I190">
        <v>0</v>
      </c>
      <c r="J190">
        <v>0</v>
      </c>
      <c r="K190">
        <v>0</v>
      </c>
      <c r="L190">
        <v>0</v>
      </c>
      <c r="M190">
        <v>0</v>
      </c>
      <c r="N190">
        <v>0</v>
      </c>
    </row>
    <row r="191" spans="1:14" x14ac:dyDescent="0.2">
      <c r="A191" t="s">
        <v>240</v>
      </c>
      <c r="B191" t="s">
        <v>252</v>
      </c>
      <c r="C191">
        <v>0</v>
      </c>
      <c r="D191">
        <v>0</v>
      </c>
      <c r="E191">
        <v>0</v>
      </c>
      <c r="F191">
        <v>0</v>
      </c>
      <c r="H191">
        <v>0</v>
      </c>
      <c r="I191">
        <v>0</v>
      </c>
      <c r="J191">
        <v>0</v>
      </c>
      <c r="K191">
        <v>0</v>
      </c>
      <c r="L191">
        <v>0</v>
      </c>
      <c r="M191">
        <v>0</v>
      </c>
      <c r="N191">
        <v>0</v>
      </c>
    </row>
    <row r="192" spans="1:14" x14ac:dyDescent="0.2">
      <c r="A192" t="s">
        <v>240</v>
      </c>
      <c r="B192" t="s">
        <v>253</v>
      </c>
      <c r="C192">
        <v>0</v>
      </c>
      <c r="D192">
        <v>0</v>
      </c>
      <c r="E192">
        <v>0</v>
      </c>
      <c r="F192">
        <v>0</v>
      </c>
      <c r="H192">
        <v>0</v>
      </c>
      <c r="I192">
        <v>0</v>
      </c>
      <c r="J192">
        <v>0</v>
      </c>
      <c r="K192">
        <v>0</v>
      </c>
      <c r="L192">
        <v>0</v>
      </c>
      <c r="M192">
        <v>0</v>
      </c>
      <c r="N192">
        <v>0</v>
      </c>
    </row>
    <row r="193" spans="1:14" x14ac:dyDescent="0.2">
      <c r="A193" t="s">
        <v>240</v>
      </c>
      <c r="B193" t="s">
        <v>254</v>
      </c>
      <c r="C193">
        <v>0</v>
      </c>
      <c r="D193">
        <v>0</v>
      </c>
      <c r="E193">
        <v>0</v>
      </c>
      <c r="F193">
        <v>0</v>
      </c>
      <c r="H193">
        <v>0</v>
      </c>
      <c r="I193">
        <v>0</v>
      </c>
      <c r="J193">
        <v>0</v>
      </c>
      <c r="K193">
        <v>0</v>
      </c>
      <c r="L193">
        <v>0</v>
      </c>
      <c r="M193">
        <v>0</v>
      </c>
      <c r="N193">
        <v>0</v>
      </c>
    </row>
    <row r="194" spans="1:14" x14ac:dyDescent="0.2">
      <c r="A194" t="s">
        <v>240</v>
      </c>
      <c r="B194" t="s">
        <v>255</v>
      </c>
      <c r="C194">
        <v>0</v>
      </c>
      <c r="D194">
        <v>0</v>
      </c>
      <c r="E194">
        <v>0</v>
      </c>
      <c r="F194">
        <v>0</v>
      </c>
      <c r="H194">
        <v>0</v>
      </c>
      <c r="I194">
        <v>0</v>
      </c>
      <c r="J194">
        <v>0</v>
      </c>
      <c r="K194">
        <v>0</v>
      </c>
      <c r="L194">
        <v>0</v>
      </c>
      <c r="M194">
        <v>0</v>
      </c>
      <c r="N194">
        <v>0</v>
      </c>
    </row>
    <row r="195" spans="1:14" x14ac:dyDescent="0.2">
      <c r="A195" t="s">
        <v>240</v>
      </c>
      <c r="B195" t="s">
        <v>256</v>
      </c>
      <c r="C195">
        <v>0</v>
      </c>
      <c r="D195">
        <v>0</v>
      </c>
      <c r="E195">
        <v>0</v>
      </c>
      <c r="F195">
        <v>0</v>
      </c>
      <c r="H195">
        <v>0</v>
      </c>
      <c r="I195">
        <v>0</v>
      </c>
      <c r="J195">
        <v>0</v>
      </c>
      <c r="K195">
        <v>0</v>
      </c>
      <c r="L195">
        <v>0</v>
      </c>
      <c r="M195">
        <v>0</v>
      </c>
      <c r="N195">
        <v>0</v>
      </c>
    </row>
    <row r="196" spans="1:14" x14ac:dyDescent="0.2">
      <c r="A196" t="s">
        <v>240</v>
      </c>
      <c r="B196" t="s">
        <v>257</v>
      </c>
      <c r="C196">
        <v>0</v>
      </c>
      <c r="D196">
        <v>0</v>
      </c>
      <c r="E196">
        <v>0</v>
      </c>
      <c r="F196">
        <v>0</v>
      </c>
      <c r="H196">
        <v>0</v>
      </c>
      <c r="I196">
        <v>0</v>
      </c>
      <c r="J196">
        <v>0</v>
      </c>
      <c r="K196">
        <v>0</v>
      </c>
      <c r="L196">
        <v>0</v>
      </c>
      <c r="M196">
        <v>0</v>
      </c>
      <c r="N196">
        <v>0</v>
      </c>
    </row>
    <row r="197" spans="1:14" x14ac:dyDescent="0.2">
      <c r="A197" t="s">
        <v>240</v>
      </c>
      <c r="B197" t="s">
        <v>258</v>
      </c>
      <c r="C197">
        <v>0</v>
      </c>
      <c r="D197">
        <v>0</v>
      </c>
      <c r="E197">
        <v>0</v>
      </c>
      <c r="F197">
        <v>0</v>
      </c>
      <c r="H197">
        <v>0</v>
      </c>
      <c r="I197">
        <v>0</v>
      </c>
      <c r="J197">
        <v>0</v>
      </c>
      <c r="K197">
        <v>0</v>
      </c>
      <c r="L197">
        <v>0</v>
      </c>
      <c r="M197">
        <v>0</v>
      </c>
      <c r="N197">
        <v>0</v>
      </c>
    </row>
    <row r="198" spans="1:14" x14ac:dyDescent="0.2">
      <c r="A198" t="s">
        <v>240</v>
      </c>
      <c r="B198" t="s">
        <v>259</v>
      </c>
      <c r="C198">
        <v>0</v>
      </c>
      <c r="D198">
        <v>0</v>
      </c>
      <c r="E198">
        <v>0</v>
      </c>
      <c r="F198">
        <v>0</v>
      </c>
      <c r="H198">
        <v>0</v>
      </c>
      <c r="I198">
        <v>0</v>
      </c>
      <c r="J198">
        <v>0</v>
      </c>
      <c r="K198">
        <v>0</v>
      </c>
      <c r="L198">
        <v>0</v>
      </c>
      <c r="M198">
        <v>0</v>
      </c>
      <c r="N198">
        <v>0</v>
      </c>
    </row>
    <row r="199" spans="1:14" x14ac:dyDescent="0.2">
      <c r="A199" t="s">
        <v>240</v>
      </c>
      <c r="B199" t="s">
        <v>260</v>
      </c>
      <c r="C199">
        <v>0</v>
      </c>
      <c r="D199">
        <v>0</v>
      </c>
      <c r="E199">
        <v>0</v>
      </c>
      <c r="F199">
        <v>0</v>
      </c>
      <c r="H199">
        <v>0</v>
      </c>
      <c r="I199">
        <v>0</v>
      </c>
      <c r="J199">
        <v>0</v>
      </c>
      <c r="K199">
        <v>0</v>
      </c>
      <c r="L199">
        <v>0</v>
      </c>
      <c r="M199">
        <v>0</v>
      </c>
      <c r="N199">
        <v>0</v>
      </c>
    </row>
    <row r="200" spans="1:14" x14ac:dyDescent="0.2">
      <c r="A200" t="s">
        <v>240</v>
      </c>
      <c r="B200" t="s">
        <v>261</v>
      </c>
      <c r="C200">
        <v>0</v>
      </c>
      <c r="D200">
        <v>0</v>
      </c>
      <c r="E200">
        <v>0</v>
      </c>
      <c r="F200">
        <v>0</v>
      </c>
      <c r="H200">
        <v>0</v>
      </c>
      <c r="I200">
        <v>0</v>
      </c>
      <c r="J200">
        <v>0</v>
      </c>
      <c r="K200">
        <v>0</v>
      </c>
      <c r="L200">
        <v>0</v>
      </c>
      <c r="M200">
        <v>0</v>
      </c>
      <c r="N200">
        <v>0</v>
      </c>
    </row>
    <row r="201" spans="1:14" x14ac:dyDescent="0.2">
      <c r="A201" t="s">
        <v>240</v>
      </c>
      <c r="B201" t="s">
        <v>239</v>
      </c>
      <c r="C201">
        <v>0</v>
      </c>
      <c r="D201">
        <v>0</v>
      </c>
      <c r="E201">
        <v>0</v>
      </c>
      <c r="F201">
        <v>0</v>
      </c>
      <c r="H201">
        <v>0</v>
      </c>
      <c r="I201">
        <v>0</v>
      </c>
      <c r="J201">
        <v>0</v>
      </c>
      <c r="K201">
        <v>0</v>
      </c>
      <c r="L201">
        <v>0</v>
      </c>
      <c r="M201">
        <v>0</v>
      </c>
      <c r="N201">
        <v>0</v>
      </c>
    </row>
    <row r="202" spans="1:14" x14ac:dyDescent="0.2">
      <c r="A202" t="s">
        <v>240</v>
      </c>
      <c r="B202" t="s">
        <v>262</v>
      </c>
      <c r="C202">
        <v>0</v>
      </c>
      <c r="D202">
        <v>0</v>
      </c>
      <c r="E202">
        <v>0</v>
      </c>
      <c r="F202">
        <v>0</v>
      </c>
      <c r="H202">
        <v>0</v>
      </c>
      <c r="I202">
        <v>0</v>
      </c>
      <c r="J202">
        <v>0</v>
      </c>
      <c r="K202">
        <v>0</v>
      </c>
      <c r="L202">
        <v>0</v>
      </c>
      <c r="M202">
        <v>0</v>
      </c>
      <c r="N202">
        <v>0</v>
      </c>
    </row>
    <row r="203" spans="1:14" x14ac:dyDescent="0.2">
      <c r="A203" t="s">
        <v>240</v>
      </c>
      <c r="B203" t="s">
        <v>263</v>
      </c>
      <c r="C203">
        <v>0</v>
      </c>
      <c r="D203">
        <v>0</v>
      </c>
      <c r="E203">
        <v>0</v>
      </c>
      <c r="F203">
        <v>0</v>
      </c>
      <c r="H203">
        <v>0</v>
      </c>
      <c r="I203">
        <v>0</v>
      </c>
      <c r="J203">
        <v>0</v>
      </c>
      <c r="K203">
        <v>0</v>
      </c>
      <c r="L203">
        <v>0</v>
      </c>
      <c r="M203">
        <v>0</v>
      </c>
      <c r="N203">
        <v>0</v>
      </c>
    </row>
    <row r="204" spans="1:14" x14ac:dyDescent="0.2">
      <c r="A204" t="s">
        <v>240</v>
      </c>
      <c r="B204" t="s">
        <v>264</v>
      </c>
      <c r="C204">
        <v>0</v>
      </c>
      <c r="D204">
        <v>0</v>
      </c>
      <c r="E204">
        <v>0</v>
      </c>
      <c r="F204">
        <v>0</v>
      </c>
      <c r="H204">
        <v>0</v>
      </c>
      <c r="I204">
        <v>0</v>
      </c>
      <c r="J204">
        <v>0</v>
      </c>
      <c r="K204">
        <v>0</v>
      </c>
      <c r="L204">
        <v>0</v>
      </c>
      <c r="M204">
        <v>0</v>
      </c>
      <c r="N204">
        <v>0</v>
      </c>
    </row>
    <row r="205" spans="1:14" x14ac:dyDescent="0.2">
      <c r="A205" t="s">
        <v>240</v>
      </c>
      <c r="B205" t="s">
        <v>265</v>
      </c>
      <c r="C205">
        <v>0</v>
      </c>
      <c r="D205">
        <v>0</v>
      </c>
      <c r="E205">
        <v>0</v>
      </c>
      <c r="F205">
        <v>0</v>
      </c>
      <c r="H205">
        <v>0</v>
      </c>
      <c r="I205">
        <v>0</v>
      </c>
      <c r="J205">
        <v>0</v>
      </c>
      <c r="K205">
        <v>0</v>
      </c>
      <c r="L205">
        <v>0</v>
      </c>
      <c r="M205">
        <v>0</v>
      </c>
      <c r="N205">
        <v>0</v>
      </c>
    </row>
    <row r="206" spans="1:14" x14ac:dyDescent="0.2">
      <c r="A206" t="s">
        <v>240</v>
      </c>
      <c r="B206" t="s">
        <v>266</v>
      </c>
      <c r="C206">
        <v>0</v>
      </c>
      <c r="D206">
        <v>0</v>
      </c>
      <c r="E206">
        <v>0</v>
      </c>
      <c r="F206">
        <v>0</v>
      </c>
      <c r="H206">
        <v>0</v>
      </c>
      <c r="I206">
        <v>0</v>
      </c>
      <c r="J206">
        <v>0</v>
      </c>
      <c r="K206">
        <v>0</v>
      </c>
      <c r="L206">
        <v>0</v>
      </c>
      <c r="M206">
        <v>0</v>
      </c>
      <c r="N206">
        <v>0</v>
      </c>
    </row>
    <row r="207" spans="1:14" x14ac:dyDescent="0.2">
      <c r="A207" t="s">
        <v>240</v>
      </c>
      <c r="B207" t="s">
        <v>267</v>
      </c>
      <c r="C207">
        <v>0</v>
      </c>
      <c r="D207">
        <v>0</v>
      </c>
      <c r="E207">
        <v>0</v>
      </c>
      <c r="F207">
        <v>0</v>
      </c>
      <c r="H207">
        <v>0</v>
      </c>
      <c r="I207">
        <v>0</v>
      </c>
      <c r="J207">
        <v>0</v>
      </c>
      <c r="K207">
        <v>0</v>
      </c>
      <c r="L207">
        <v>0</v>
      </c>
      <c r="M207">
        <v>0</v>
      </c>
      <c r="N207">
        <v>0</v>
      </c>
    </row>
    <row r="208" spans="1:14" x14ac:dyDescent="0.2">
      <c r="A208" t="s">
        <v>240</v>
      </c>
      <c r="B208" t="s">
        <v>268</v>
      </c>
      <c r="C208">
        <v>0</v>
      </c>
      <c r="D208">
        <v>0</v>
      </c>
      <c r="E208">
        <v>0</v>
      </c>
      <c r="F208">
        <v>0</v>
      </c>
      <c r="H208">
        <v>0</v>
      </c>
      <c r="I208">
        <v>0</v>
      </c>
      <c r="J208">
        <v>0</v>
      </c>
      <c r="K208">
        <v>0</v>
      </c>
      <c r="L208">
        <v>0</v>
      </c>
      <c r="M208">
        <v>0</v>
      </c>
      <c r="N208">
        <v>0</v>
      </c>
    </row>
    <row r="209" spans="1:14" x14ac:dyDescent="0.2">
      <c r="A209" t="s">
        <v>240</v>
      </c>
      <c r="B209" t="s">
        <v>269</v>
      </c>
      <c r="C209">
        <v>0</v>
      </c>
      <c r="D209">
        <v>0</v>
      </c>
      <c r="E209">
        <v>0</v>
      </c>
      <c r="F209">
        <v>0</v>
      </c>
      <c r="H209">
        <v>0</v>
      </c>
      <c r="I209">
        <v>0</v>
      </c>
      <c r="J209">
        <v>0</v>
      </c>
      <c r="K209">
        <v>0</v>
      </c>
      <c r="L209">
        <v>0</v>
      </c>
      <c r="M209">
        <v>0</v>
      </c>
      <c r="N209">
        <v>0</v>
      </c>
    </row>
    <row r="210" spans="1:14" x14ac:dyDescent="0.2">
      <c r="A210" t="s">
        <v>240</v>
      </c>
      <c r="B210" t="s">
        <v>270</v>
      </c>
      <c r="C210">
        <v>0</v>
      </c>
      <c r="D210">
        <v>0</v>
      </c>
      <c r="E210">
        <v>0</v>
      </c>
      <c r="F210">
        <v>0</v>
      </c>
      <c r="H210">
        <v>0</v>
      </c>
      <c r="I210">
        <v>0</v>
      </c>
      <c r="J210">
        <v>0</v>
      </c>
      <c r="K210">
        <v>0</v>
      </c>
      <c r="L210">
        <v>0</v>
      </c>
      <c r="M210">
        <v>0</v>
      </c>
      <c r="N210">
        <v>0</v>
      </c>
    </row>
    <row r="211" spans="1:14" x14ac:dyDescent="0.2">
      <c r="A211" t="s">
        <v>240</v>
      </c>
      <c r="B211" t="s">
        <v>239</v>
      </c>
      <c r="C211">
        <v>0</v>
      </c>
      <c r="D211">
        <v>0</v>
      </c>
      <c r="E211">
        <v>0</v>
      </c>
      <c r="F211">
        <v>0</v>
      </c>
      <c r="H211">
        <v>0</v>
      </c>
      <c r="I211">
        <v>0</v>
      </c>
      <c r="J211">
        <v>0</v>
      </c>
      <c r="K211">
        <v>0</v>
      </c>
      <c r="L211">
        <v>0</v>
      </c>
      <c r="M211">
        <v>0</v>
      </c>
      <c r="N211">
        <v>0</v>
      </c>
    </row>
    <row r="212" spans="1:14" x14ac:dyDescent="0.2">
      <c r="A212" t="s">
        <v>240</v>
      </c>
      <c r="B212" t="s">
        <v>271</v>
      </c>
      <c r="C212">
        <v>0</v>
      </c>
      <c r="D212">
        <v>0</v>
      </c>
      <c r="E212">
        <v>0</v>
      </c>
      <c r="F212">
        <v>0</v>
      </c>
      <c r="H212">
        <v>0</v>
      </c>
      <c r="I212">
        <v>0</v>
      </c>
      <c r="J212">
        <v>0</v>
      </c>
      <c r="K212">
        <v>0</v>
      </c>
      <c r="L212">
        <v>0</v>
      </c>
      <c r="M212">
        <v>0</v>
      </c>
      <c r="N212">
        <v>0</v>
      </c>
    </row>
    <row r="213" spans="1:14" x14ac:dyDescent="0.2">
      <c r="A213" t="s">
        <v>240</v>
      </c>
      <c r="B213" t="s">
        <v>239</v>
      </c>
      <c r="C213">
        <v>0</v>
      </c>
      <c r="D213">
        <v>0</v>
      </c>
      <c r="E213">
        <v>0</v>
      </c>
      <c r="F213">
        <v>0</v>
      </c>
      <c r="H213">
        <v>0</v>
      </c>
      <c r="I213">
        <v>0</v>
      </c>
      <c r="J213">
        <v>0</v>
      </c>
      <c r="K213">
        <v>0</v>
      </c>
      <c r="L213">
        <v>0</v>
      </c>
      <c r="M213">
        <v>0</v>
      </c>
      <c r="N213">
        <v>0</v>
      </c>
    </row>
    <row r="214" spans="1:14" x14ac:dyDescent="0.2">
      <c r="A214" t="s">
        <v>240</v>
      </c>
      <c r="B214" t="s">
        <v>272</v>
      </c>
      <c r="C214">
        <v>0</v>
      </c>
      <c r="D214">
        <v>0</v>
      </c>
      <c r="E214">
        <v>0</v>
      </c>
      <c r="F214">
        <v>0</v>
      </c>
      <c r="H214">
        <v>0</v>
      </c>
      <c r="I214">
        <v>0</v>
      </c>
      <c r="J214">
        <v>0</v>
      </c>
      <c r="K214">
        <v>0</v>
      </c>
      <c r="L214">
        <v>0</v>
      </c>
      <c r="M214">
        <v>0</v>
      </c>
      <c r="N214">
        <v>0</v>
      </c>
    </row>
    <row r="215" spans="1:14" x14ac:dyDescent="0.2">
      <c r="A215" t="s">
        <v>240</v>
      </c>
      <c r="B215" t="s">
        <v>273</v>
      </c>
      <c r="C215">
        <v>0</v>
      </c>
      <c r="D215">
        <v>0</v>
      </c>
      <c r="E215">
        <v>0</v>
      </c>
      <c r="F215">
        <v>0</v>
      </c>
      <c r="H215">
        <v>0</v>
      </c>
      <c r="I215">
        <v>0</v>
      </c>
      <c r="J215">
        <v>0</v>
      </c>
      <c r="K215">
        <v>0</v>
      </c>
      <c r="L215">
        <v>0</v>
      </c>
      <c r="M215">
        <v>0</v>
      </c>
      <c r="N215">
        <v>0</v>
      </c>
    </row>
    <row r="216" spans="1:14" x14ac:dyDescent="0.2">
      <c r="A216" t="s">
        <v>240</v>
      </c>
      <c r="B216" t="s">
        <v>274</v>
      </c>
      <c r="C216">
        <v>0</v>
      </c>
      <c r="D216">
        <v>0</v>
      </c>
      <c r="E216">
        <v>0</v>
      </c>
      <c r="F216">
        <v>0</v>
      </c>
      <c r="H216">
        <v>0</v>
      </c>
      <c r="I216">
        <v>0</v>
      </c>
      <c r="J216">
        <v>0</v>
      </c>
      <c r="K216">
        <v>0</v>
      </c>
      <c r="L216">
        <v>0</v>
      </c>
      <c r="M216">
        <v>0</v>
      </c>
      <c r="N216">
        <v>0</v>
      </c>
    </row>
    <row r="217" spans="1:14" x14ac:dyDescent="0.2">
      <c r="A217" t="s">
        <v>240</v>
      </c>
      <c r="B217" t="s">
        <v>275</v>
      </c>
      <c r="C217">
        <v>0</v>
      </c>
      <c r="D217">
        <v>0</v>
      </c>
      <c r="E217">
        <v>0</v>
      </c>
      <c r="F217">
        <v>0</v>
      </c>
      <c r="H217">
        <v>0</v>
      </c>
      <c r="I217">
        <v>0</v>
      </c>
      <c r="J217">
        <v>0</v>
      </c>
      <c r="K217">
        <v>0</v>
      </c>
      <c r="L217">
        <v>0</v>
      </c>
      <c r="M217">
        <v>0</v>
      </c>
      <c r="N217">
        <v>0</v>
      </c>
    </row>
    <row r="218" spans="1:14" x14ac:dyDescent="0.2">
      <c r="A218" t="s">
        <v>240</v>
      </c>
      <c r="B218" t="s">
        <v>276</v>
      </c>
      <c r="C218">
        <v>0</v>
      </c>
      <c r="D218">
        <v>0</v>
      </c>
      <c r="E218">
        <v>0</v>
      </c>
      <c r="F218">
        <v>0</v>
      </c>
      <c r="H218">
        <v>0</v>
      </c>
      <c r="I218">
        <v>0</v>
      </c>
      <c r="J218">
        <v>0</v>
      </c>
      <c r="K218">
        <v>0</v>
      </c>
      <c r="L218">
        <v>0</v>
      </c>
      <c r="M218">
        <v>0</v>
      </c>
      <c r="N218">
        <v>0</v>
      </c>
    </row>
    <row r="219" spans="1:14" x14ac:dyDescent="0.2">
      <c r="A219" t="s">
        <v>240</v>
      </c>
      <c r="B219" t="s">
        <v>277</v>
      </c>
      <c r="C219">
        <v>0</v>
      </c>
      <c r="D219">
        <v>0</v>
      </c>
      <c r="E219">
        <v>0</v>
      </c>
      <c r="F219">
        <v>0</v>
      </c>
      <c r="H219">
        <v>0</v>
      </c>
      <c r="I219">
        <v>0</v>
      </c>
      <c r="J219">
        <v>0</v>
      </c>
      <c r="K219">
        <v>0</v>
      </c>
      <c r="L219">
        <v>0</v>
      </c>
      <c r="M219">
        <v>0</v>
      </c>
      <c r="N219">
        <v>0</v>
      </c>
    </row>
    <row r="220" spans="1:14" x14ac:dyDescent="0.2">
      <c r="A220" t="s">
        <v>240</v>
      </c>
      <c r="B220" t="s">
        <v>278</v>
      </c>
      <c r="C220">
        <v>0</v>
      </c>
      <c r="D220">
        <v>0</v>
      </c>
      <c r="E220">
        <v>0</v>
      </c>
      <c r="F220">
        <v>0</v>
      </c>
      <c r="H220">
        <v>0</v>
      </c>
      <c r="I220">
        <v>0</v>
      </c>
      <c r="J220">
        <v>0</v>
      </c>
      <c r="K220">
        <v>0</v>
      </c>
      <c r="L220">
        <v>0</v>
      </c>
      <c r="M220">
        <v>0</v>
      </c>
      <c r="N220">
        <v>0</v>
      </c>
    </row>
    <row r="221" spans="1:14" x14ac:dyDescent="0.2">
      <c r="A221" t="s">
        <v>240</v>
      </c>
      <c r="B221" t="s">
        <v>279</v>
      </c>
      <c r="C221">
        <v>0</v>
      </c>
      <c r="D221">
        <v>0</v>
      </c>
      <c r="E221">
        <v>0</v>
      </c>
      <c r="F221">
        <v>0</v>
      </c>
      <c r="H221">
        <v>0</v>
      </c>
      <c r="I221">
        <v>0</v>
      </c>
      <c r="J221">
        <v>0</v>
      </c>
      <c r="K221">
        <v>0</v>
      </c>
      <c r="L221">
        <v>0</v>
      </c>
      <c r="M221">
        <v>0</v>
      </c>
      <c r="N221">
        <v>0</v>
      </c>
    </row>
    <row r="222" spans="1:14" x14ac:dyDescent="0.2">
      <c r="A222" t="s">
        <v>240</v>
      </c>
      <c r="B222" t="s">
        <v>280</v>
      </c>
      <c r="C222">
        <v>0</v>
      </c>
      <c r="D222">
        <v>0</v>
      </c>
      <c r="E222">
        <v>0</v>
      </c>
      <c r="F222">
        <v>0</v>
      </c>
      <c r="H222">
        <v>0</v>
      </c>
      <c r="I222">
        <v>0</v>
      </c>
      <c r="J222">
        <v>0</v>
      </c>
      <c r="K222">
        <v>0</v>
      </c>
      <c r="L222">
        <v>0</v>
      </c>
      <c r="M222">
        <v>0</v>
      </c>
      <c r="N222">
        <v>0</v>
      </c>
    </row>
    <row r="223" spans="1:14" x14ac:dyDescent="0.2">
      <c r="A223" t="s">
        <v>240</v>
      </c>
      <c r="B223" t="s">
        <v>281</v>
      </c>
      <c r="C223">
        <v>0</v>
      </c>
      <c r="D223">
        <v>0</v>
      </c>
      <c r="E223">
        <v>0</v>
      </c>
      <c r="F223">
        <v>0</v>
      </c>
      <c r="H223">
        <v>0</v>
      </c>
      <c r="I223">
        <v>0</v>
      </c>
      <c r="J223">
        <v>0</v>
      </c>
      <c r="K223">
        <v>0</v>
      </c>
      <c r="L223">
        <v>0</v>
      </c>
      <c r="M223">
        <v>0</v>
      </c>
      <c r="N223">
        <v>0</v>
      </c>
    </row>
    <row r="224" spans="1:14" x14ac:dyDescent="0.2">
      <c r="A224" t="s">
        <v>240</v>
      </c>
      <c r="B224" t="s">
        <v>282</v>
      </c>
      <c r="C224">
        <v>0</v>
      </c>
      <c r="D224">
        <v>0</v>
      </c>
      <c r="E224">
        <v>0</v>
      </c>
      <c r="F224">
        <v>0</v>
      </c>
      <c r="H224">
        <v>0</v>
      </c>
      <c r="I224">
        <v>0</v>
      </c>
      <c r="J224">
        <v>0</v>
      </c>
      <c r="K224">
        <v>0</v>
      </c>
      <c r="L224">
        <v>0</v>
      </c>
      <c r="M224">
        <v>0</v>
      </c>
      <c r="N224">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42"/>
  <sheetViews>
    <sheetView workbookViewId="0"/>
  </sheetViews>
  <sheetFormatPr baseColWidth="10" defaultColWidth="8.83203125" defaultRowHeight="15" x14ac:dyDescent="0.2"/>
  <sheetData>
    <row r="1" spans="1:40" x14ac:dyDescent="0.2">
      <c r="A1" s="1" t="s">
        <v>0</v>
      </c>
      <c r="B1" s="1" t="s">
        <v>1</v>
      </c>
      <c r="C1" s="1" t="s">
        <v>304</v>
      </c>
      <c r="D1" s="1" t="s">
        <v>305</v>
      </c>
      <c r="E1" s="1" t="s">
        <v>306</v>
      </c>
      <c r="F1" s="1" t="s">
        <v>307</v>
      </c>
      <c r="G1" s="1" t="s">
        <v>308</v>
      </c>
      <c r="H1" s="1" t="s">
        <v>309</v>
      </c>
      <c r="I1" s="1" t="s">
        <v>310</v>
      </c>
      <c r="J1" s="1" t="s">
        <v>311</v>
      </c>
      <c r="K1" s="1" t="s">
        <v>312</v>
      </c>
      <c r="L1" s="1" t="s">
        <v>313</v>
      </c>
      <c r="M1" s="1" t="s">
        <v>314</v>
      </c>
      <c r="N1" s="1" t="s">
        <v>315</v>
      </c>
      <c r="O1" s="1" t="s">
        <v>316</v>
      </c>
      <c r="P1" s="1" t="s">
        <v>317</v>
      </c>
      <c r="Q1" s="1" t="s">
        <v>318</v>
      </c>
      <c r="R1" s="1" t="s">
        <v>319</v>
      </c>
      <c r="S1" s="1" t="s">
        <v>320</v>
      </c>
      <c r="T1" s="1" t="s">
        <v>321</v>
      </c>
      <c r="U1" s="1" t="s">
        <v>322</v>
      </c>
      <c r="V1" s="1" t="s">
        <v>323</v>
      </c>
      <c r="W1" s="1" t="s">
        <v>324</v>
      </c>
      <c r="X1" s="1" t="s">
        <v>7</v>
      </c>
      <c r="Y1" s="1" t="s">
        <v>8</v>
      </c>
      <c r="Z1" s="1" t="s">
        <v>9</v>
      </c>
      <c r="AA1" s="1" t="s">
        <v>10</v>
      </c>
      <c r="AB1" s="1" t="s">
        <v>11</v>
      </c>
      <c r="AC1" s="1" t="s">
        <v>325</v>
      </c>
      <c r="AD1" s="1" t="s">
        <v>326</v>
      </c>
      <c r="AE1" s="1" t="s">
        <v>14</v>
      </c>
      <c r="AF1" s="1" t="s">
        <v>15</v>
      </c>
      <c r="AG1" s="1" t="s">
        <v>16</v>
      </c>
      <c r="AH1" s="1" t="s">
        <v>17</v>
      </c>
      <c r="AI1" s="1" t="s">
        <v>18</v>
      </c>
      <c r="AJ1" s="1" t="s">
        <v>19</v>
      </c>
      <c r="AK1" s="1" t="s">
        <v>20</v>
      </c>
      <c r="AL1" s="1" t="s">
        <v>21</v>
      </c>
      <c r="AM1" s="1" t="s">
        <v>22</v>
      </c>
      <c r="AN1" s="1" t="s">
        <v>23</v>
      </c>
    </row>
    <row r="2" spans="1:40" x14ac:dyDescent="0.2">
      <c r="A2" t="s">
        <v>206</v>
      </c>
      <c r="B2" t="s">
        <v>284</v>
      </c>
      <c r="C2">
        <v>0</v>
      </c>
      <c r="D2">
        <v>0</v>
      </c>
      <c r="E2">
        <v>0</v>
      </c>
      <c r="F2">
        <v>0</v>
      </c>
      <c r="G2">
        <v>0</v>
      </c>
      <c r="H2">
        <v>0</v>
      </c>
      <c r="I2">
        <v>0</v>
      </c>
      <c r="J2">
        <v>0</v>
      </c>
      <c r="K2">
        <v>0</v>
      </c>
      <c r="L2">
        <v>0</v>
      </c>
      <c r="M2">
        <v>0</v>
      </c>
      <c r="N2">
        <v>0</v>
      </c>
      <c r="O2">
        <v>0</v>
      </c>
      <c r="P2">
        <v>0</v>
      </c>
      <c r="Q2">
        <v>0</v>
      </c>
      <c r="R2">
        <v>0</v>
      </c>
      <c r="S2">
        <v>0</v>
      </c>
      <c r="T2">
        <v>0</v>
      </c>
      <c r="U2">
        <v>0</v>
      </c>
      <c r="V2">
        <v>0</v>
      </c>
      <c r="W2">
        <v>0</v>
      </c>
    </row>
    <row r="3" spans="1:40" x14ac:dyDescent="0.2">
      <c r="A3" t="s">
        <v>208</v>
      </c>
      <c r="B3" t="s">
        <v>327</v>
      </c>
      <c r="C3">
        <v>0</v>
      </c>
      <c r="D3">
        <v>0</v>
      </c>
      <c r="E3">
        <v>0</v>
      </c>
      <c r="F3">
        <v>0</v>
      </c>
      <c r="G3">
        <v>0</v>
      </c>
      <c r="H3">
        <v>0</v>
      </c>
      <c r="I3">
        <v>0</v>
      </c>
      <c r="J3">
        <v>0</v>
      </c>
      <c r="K3">
        <v>0</v>
      </c>
      <c r="L3">
        <v>0</v>
      </c>
      <c r="M3">
        <v>0</v>
      </c>
      <c r="N3">
        <v>0</v>
      </c>
      <c r="O3">
        <v>0</v>
      </c>
      <c r="P3">
        <v>0</v>
      </c>
      <c r="Q3">
        <v>0</v>
      </c>
      <c r="R3">
        <v>0</v>
      </c>
      <c r="S3">
        <v>0</v>
      </c>
      <c r="T3">
        <v>0</v>
      </c>
      <c r="U3">
        <v>0</v>
      </c>
      <c r="V3">
        <v>0</v>
      </c>
      <c r="W3">
        <v>0</v>
      </c>
    </row>
    <row r="4" spans="1:40" x14ac:dyDescent="0.2">
      <c r="A4" t="s">
        <v>208</v>
      </c>
      <c r="B4" t="s">
        <v>210</v>
      </c>
      <c r="C4">
        <v>0</v>
      </c>
      <c r="D4">
        <v>0</v>
      </c>
      <c r="E4">
        <v>0</v>
      </c>
      <c r="F4">
        <v>0</v>
      </c>
      <c r="G4">
        <v>0</v>
      </c>
      <c r="H4">
        <v>0</v>
      </c>
      <c r="I4">
        <v>0</v>
      </c>
      <c r="J4">
        <v>0</v>
      </c>
      <c r="K4">
        <v>0</v>
      </c>
      <c r="L4">
        <v>0</v>
      </c>
      <c r="M4">
        <v>0</v>
      </c>
      <c r="N4">
        <v>0</v>
      </c>
      <c r="O4">
        <v>0</v>
      </c>
      <c r="P4">
        <v>0</v>
      </c>
      <c r="Q4">
        <v>0</v>
      </c>
      <c r="R4">
        <v>0</v>
      </c>
      <c r="S4">
        <v>0</v>
      </c>
      <c r="T4">
        <v>38</v>
      </c>
      <c r="U4">
        <v>5</v>
      </c>
      <c r="V4">
        <v>38.625</v>
      </c>
      <c r="W4">
        <v>0</v>
      </c>
      <c r="X4">
        <v>38</v>
      </c>
      <c r="Y4">
        <v>5</v>
      </c>
      <c r="Z4">
        <v>38.625</v>
      </c>
      <c r="AA4">
        <v>38.625</v>
      </c>
      <c r="AB4">
        <v>0</v>
      </c>
      <c r="AC4">
        <v>38</v>
      </c>
      <c r="AD4">
        <v>5</v>
      </c>
    </row>
    <row r="5" spans="1:40" x14ac:dyDescent="0.2">
      <c r="A5" t="s">
        <v>208</v>
      </c>
      <c r="B5" t="s">
        <v>211</v>
      </c>
      <c r="C5">
        <v>0</v>
      </c>
      <c r="D5">
        <v>0</v>
      </c>
      <c r="E5">
        <v>9.5</v>
      </c>
      <c r="F5">
        <v>0</v>
      </c>
      <c r="G5">
        <v>9.5</v>
      </c>
      <c r="H5">
        <v>0</v>
      </c>
      <c r="I5">
        <v>0</v>
      </c>
      <c r="J5">
        <v>0</v>
      </c>
      <c r="K5">
        <v>0</v>
      </c>
      <c r="L5">
        <v>0</v>
      </c>
      <c r="M5">
        <v>0</v>
      </c>
      <c r="N5">
        <v>0</v>
      </c>
      <c r="O5">
        <v>0</v>
      </c>
      <c r="P5">
        <v>0</v>
      </c>
      <c r="Q5">
        <v>0</v>
      </c>
      <c r="R5">
        <v>0</v>
      </c>
      <c r="S5">
        <v>0</v>
      </c>
      <c r="T5">
        <v>0</v>
      </c>
      <c r="U5">
        <v>0</v>
      </c>
      <c r="V5">
        <v>0</v>
      </c>
      <c r="W5">
        <v>0</v>
      </c>
      <c r="X5">
        <v>9.5</v>
      </c>
      <c r="Y5">
        <v>0</v>
      </c>
      <c r="Z5">
        <v>9.5</v>
      </c>
      <c r="AA5">
        <v>9.5</v>
      </c>
      <c r="AB5">
        <v>0</v>
      </c>
      <c r="AC5">
        <v>9.5</v>
      </c>
      <c r="AD5">
        <v>0</v>
      </c>
    </row>
    <row r="6" spans="1:40" x14ac:dyDescent="0.2">
      <c r="A6" t="s">
        <v>208</v>
      </c>
      <c r="B6" t="s">
        <v>328</v>
      </c>
      <c r="C6">
        <v>0</v>
      </c>
      <c r="D6">
        <v>0</v>
      </c>
      <c r="E6">
        <v>0</v>
      </c>
      <c r="F6">
        <v>0</v>
      </c>
      <c r="G6">
        <v>0</v>
      </c>
      <c r="H6">
        <v>0</v>
      </c>
      <c r="I6">
        <v>0</v>
      </c>
      <c r="J6">
        <v>0</v>
      </c>
      <c r="K6">
        <v>0</v>
      </c>
      <c r="L6">
        <v>0</v>
      </c>
      <c r="M6">
        <v>0</v>
      </c>
      <c r="N6">
        <v>0</v>
      </c>
      <c r="O6">
        <v>0</v>
      </c>
      <c r="P6">
        <v>0</v>
      </c>
      <c r="Q6">
        <v>0</v>
      </c>
      <c r="R6">
        <v>0</v>
      </c>
      <c r="S6">
        <v>0</v>
      </c>
      <c r="T6">
        <v>0</v>
      </c>
      <c r="U6">
        <v>0</v>
      </c>
      <c r="V6">
        <v>0</v>
      </c>
      <c r="W6">
        <v>0</v>
      </c>
    </row>
    <row r="7" spans="1:40" x14ac:dyDescent="0.2">
      <c r="A7" t="s">
        <v>208</v>
      </c>
      <c r="B7" t="s">
        <v>154</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40" x14ac:dyDescent="0.2">
      <c r="A8" t="s">
        <v>208</v>
      </c>
      <c r="B8" t="s">
        <v>213</v>
      </c>
      <c r="C8">
        <v>0</v>
      </c>
      <c r="D8">
        <v>0</v>
      </c>
      <c r="E8">
        <v>0</v>
      </c>
      <c r="F8">
        <v>0</v>
      </c>
      <c r="G8">
        <v>0</v>
      </c>
      <c r="H8">
        <v>0</v>
      </c>
      <c r="I8">
        <v>0</v>
      </c>
      <c r="J8">
        <v>0</v>
      </c>
      <c r="K8">
        <v>0</v>
      </c>
      <c r="L8">
        <v>0</v>
      </c>
      <c r="M8">
        <v>0</v>
      </c>
      <c r="N8">
        <v>0</v>
      </c>
      <c r="O8">
        <v>0</v>
      </c>
      <c r="P8">
        <v>0</v>
      </c>
      <c r="Q8">
        <v>0</v>
      </c>
      <c r="R8">
        <v>0</v>
      </c>
      <c r="S8">
        <v>0</v>
      </c>
      <c r="T8">
        <v>0</v>
      </c>
      <c r="U8">
        <v>0</v>
      </c>
      <c r="V8">
        <v>0</v>
      </c>
      <c r="W8">
        <v>0</v>
      </c>
      <c r="X8">
        <v>4</v>
      </c>
      <c r="Y8">
        <v>0</v>
      </c>
      <c r="Z8">
        <v>4</v>
      </c>
      <c r="AA8">
        <v>4</v>
      </c>
      <c r="AB8">
        <v>0</v>
      </c>
      <c r="AC8">
        <v>4</v>
      </c>
      <c r="AD8">
        <v>0</v>
      </c>
    </row>
    <row r="9" spans="1:40" x14ac:dyDescent="0.2">
      <c r="A9" t="s">
        <v>208</v>
      </c>
      <c r="B9" t="s">
        <v>214</v>
      </c>
      <c r="C9">
        <v>0</v>
      </c>
      <c r="D9">
        <v>0</v>
      </c>
      <c r="E9">
        <v>0</v>
      </c>
      <c r="F9">
        <v>0</v>
      </c>
      <c r="G9">
        <v>0</v>
      </c>
      <c r="H9">
        <v>0</v>
      </c>
      <c r="I9">
        <v>0</v>
      </c>
      <c r="J9">
        <v>0</v>
      </c>
      <c r="K9">
        <v>0</v>
      </c>
      <c r="L9">
        <v>0</v>
      </c>
      <c r="M9">
        <v>0</v>
      </c>
      <c r="N9">
        <v>0</v>
      </c>
      <c r="O9">
        <v>0</v>
      </c>
      <c r="P9">
        <v>0</v>
      </c>
      <c r="Q9">
        <v>25</v>
      </c>
      <c r="R9">
        <v>1</v>
      </c>
      <c r="S9">
        <v>25.125</v>
      </c>
      <c r="T9">
        <v>0</v>
      </c>
      <c r="U9">
        <v>0</v>
      </c>
      <c r="V9">
        <v>0</v>
      </c>
      <c r="W9">
        <v>0</v>
      </c>
      <c r="X9">
        <v>25</v>
      </c>
      <c r="Y9">
        <v>1</v>
      </c>
      <c r="Z9">
        <v>25.125</v>
      </c>
      <c r="AA9">
        <v>25.125</v>
      </c>
      <c r="AB9">
        <v>0</v>
      </c>
      <c r="AC9">
        <v>25</v>
      </c>
      <c r="AD9">
        <v>1</v>
      </c>
    </row>
    <row r="10" spans="1:40" x14ac:dyDescent="0.2">
      <c r="A10" t="s">
        <v>208</v>
      </c>
      <c r="B10" t="s">
        <v>284</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40" x14ac:dyDescent="0.2">
      <c r="A11" t="s">
        <v>221</v>
      </c>
      <c r="B11" t="s">
        <v>222</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6</v>
      </c>
      <c r="Z11">
        <v>0.75</v>
      </c>
      <c r="AA11">
        <v>0.75</v>
      </c>
      <c r="AB11">
        <v>0</v>
      </c>
      <c r="AC11">
        <v>0</v>
      </c>
      <c r="AD11">
        <v>6</v>
      </c>
    </row>
    <row r="12" spans="1:40" x14ac:dyDescent="0.2">
      <c r="A12" t="s">
        <v>221</v>
      </c>
      <c r="B12" t="s">
        <v>223</v>
      </c>
      <c r="C12">
        <v>0</v>
      </c>
      <c r="D12">
        <v>0</v>
      </c>
      <c r="E12">
        <v>0</v>
      </c>
      <c r="F12">
        <v>0</v>
      </c>
      <c r="G12">
        <v>0</v>
      </c>
      <c r="H12">
        <v>0</v>
      </c>
      <c r="I12">
        <v>0</v>
      </c>
      <c r="J12">
        <v>0</v>
      </c>
      <c r="K12">
        <v>0</v>
      </c>
      <c r="L12">
        <v>0</v>
      </c>
      <c r="M12">
        <v>0</v>
      </c>
      <c r="N12">
        <v>0</v>
      </c>
      <c r="O12">
        <v>0</v>
      </c>
      <c r="P12">
        <v>0</v>
      </c>
      <c r="Q12">
        <v>0</v>
      </c>
      <c r="R12">
        <v>0</v>
      </c>
      <c r="S12">
        <v>0</v>
      </c>
      <c r="T12">
        <v>21</v>
      </c>
      <c r="U12">
        <v>6</v>
      </c>
      <c r="V12">
        <v>21.75</v>
      </c>
      <c r="W12">
        <v>0</v>
      </c>
      <c r="X12">
        <v>21</v>
      </c>
      <c r="Y12">
        <v>6</v>
      </c>
      <c r="Z12">
        <v>21.75</v>
      </c>
      <c r="AA12">
        <v>21.75</v>
      </c>
      <c r="AB12">
        <v>0</v>
      </c>
      <c r="AC12">
        <v>21</v>
      </c>
      <c r="AD12">
        <v>6</v>
      </c>
    </row>
    <row r="13" spans="1:40" x14ac:dyDescent="0.2">
      <c r="A13" t="s">
        <v>221</v>
      </c>
      <c r="B13" t="s">
        <v>224</v>
      </c>
      <c r="C13">
        <v>0</v>
      </c>
      <c r="D13">
        <v>0</v>
      </c>
      <c r="E13">
        <v>6</v>
      </c>
      <c r="F13">
        <v>2</v>
      </c>
      <c r="G13">
        <v>6.25</v>
      </c>
      <c r="H13">
        <v>0</v>
      </c>
      <c r="I13">
        <v>0</v>
      </c>
      <c r="J13">
        <v>0</v>
      </c>
      <c r="K13">
        <v>0</v>
      </c>
      <c r="L13">
        <v>0</v>
      </c>
      <c r="M13">
        <v>0</v>
      </c>
      <c r="N13">
        <v>0</v>
      </c>
      <c r="O13">
        <v>0</v>
      </c>
      <c r="P13">
        <v>0</v>
      </c>
      <c r="Q13">
        <v>0</v>
      </c>
      <c r="R13">
        <v>0</v>
      </c>
      <c r="S13">
        <v>0</v>
      </c>
      <c r="T13">
        <v>0</v>
      </c>
      <c r="U13">
        <v>0</v>
      </c>
      <c r="V13">
        <v>0</v>
      </c>
      <c r="W13">
        <v>0</v>
      </c>
      <c r="X13">
        <v>6</v>
      </c>
      <c r="Y13">
        <v>2</v>
      </c>
      <c r="Z13">
        <v>6.25</v>
      </c>
      <c r="AA13">
        <v>6.25</v>
      </c>
      <c r="AB13">
        <v>0</v>
      </c>
      <c r="AC13">
        <v>6</v>
      </c>
      <c r="AD13">
        <v>2</v>
      </c>
    </row>
    <row r="14" spans="1:40" x14ac:dyDescent="0.2">
      <c r="A14" t="s">
        <v>221</v>
      </c>
      <c r="B14" t="s">
        <v>225</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1</v>
      </c>
      <c r="Z14">
        <v>0.125</v>
      </c>
      <c r="AA14">
        <v>0.375</v>
      </c>
      <c r="AB14">
        <v>-0.25</v>
      </c>
      <c r="AC14">
        <v>0</v>
      </c>
      <c r="AD14">
        <v>3</v>
      </c>
      <c r="AE14">
        <v>0</v>
      </c>
      <c r="AF14">
        <v>1</v>
      </c>
    </row>
    <row r="15" spans="1:40" x14ac:dyDescent="0.2">
      <c r="A15" t="s">
        <v>221</v>
      </c>
      <c r="B15" t="s">
        <v>226</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13</v>
      </c>
      <c r="Y15">
        <v>0</v>
      </c>
      <c r="Z15">
        <v>13</v>
      </c>
      <c r="AA15">
        <v>13</v>
      </c>
      <c r="AB15">
        <v>0</v>
      </c>
      <c r="AC15">
        <v>13</v>
      </c>
      <c r="AD15">
        <v>0</v>
      </c>
    </row>
    <row r="16" spans="1:40" x14ac:dyDescent="0.2">
      <c r="A16" t="s">
        <v>221</v>
      </c>
      <c r="B16" t="s">
        <v>227</v>
      </c>
      <c r="C16">
        <v>0</v>
      </c>
      <c r="D16">
        <v>0</v>
      </c>
      <c r="E16">
        <v>0</v>
      </c>
      <c r="F16">
        <v>0</v>
      </c>
      <c r="G16">
        <v>0</v>
      </c>
      <c r="H16">
        <v>0</v>
      </c>
      <c r="I16">
        <v>0</v>
      </c>
      <c r="J16">
        <v>0</v>
      </c>
      <c r="K16">
        <v>0</v>
      </c>
      <c r="L16">
        <v>0</v>
      </c>
      <c r="M16">
        <v>0</v>
      </c>
      <c r="N16">
        <v>0</v>
      </c>
      <c r="O16">
        <v>0</v>
      </c>
      <c r="P16">
        <v>0</v>
      </c>
      <c r="Q16">
        <v>2.5</v>
      </c>
      <c r="R16">
        <v>0</v>
      </c>
      <c r="S16">
        <v>2.5</v>
      </c>
      <c r="T16">
        <v>0</v>
      </c>
      <c r="U16">
        <v>0</v>
      </c>
      <c r="V16">
        <v>0</v>
      </c>
      <c r="W16">
        <v>0</v>
      </c>
      <c r="X16">
        <v>2.5</v>
      </c>
      <c r="Y16">
        <v>0</v>
      </c>
      <c r="Z16">
        <v>2.5</v>
      </c>
      <c r="AA16">
        <v>2.5</v>
      </c>
      <c r="AB16">
        <v>0</v>
      </c>
      <c r="AC16">
        <v>2.5</v>
      </c>
      <c r="AD16">
        <v>0</v>
      </c>
    </row>
    <row r="17" spans="1:32" x14ac:dyDescent="0.2">
      <c r="A17" t="s">
        <v>221</v>
      </c>
      <c r="B17" t="s">
        <v>284</v>
      </c>
      <c r="C17">
        <v>0</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32" x14ac:dyDescent="0.2">
      <c r="A18" t="s">
        <v>228</v>
      </c>
      <c r="B18" t="s">
        <v>229</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5</v>
      </c>
      <c r="Y18">
        <v>3</v>
      </c>
      <c r="Z18">
        <v>5.375</v>
      </c>
      <c r="AA18">
        <v>5.375</v>
      </c>
      <c r="AB18">
        <v>0</v>
      </c>
      <c r="AC18">
        <v>5</v>
      </c>
      <c r="AD18">
        <v>3</v>
      </c>
    </row>
    <row r="19" spans="1:32" x14ac:dyDescent="0.2">
      <c r="A19" t="s">
        <v>228</v>
      </c>
      <c r="B19" t="s">
        <v>230</v>
      </c>
      <c r="C19">
        <v>0</v>
      </c>
      <c r="D19">
        <v>0</v>
      </c>
      <c r="E19">
        <v>0</v>
      </c>
      <c r="F19">
        <v>0</v>
      </c>
      <c r="G19">
        <v>0</v>
      </c>
      <c r="H19">
        <v>0</v>
      </c>
      <c r="I19">
        <v>0</v>
      </c>
      <c r="J19">
        <v>0</v>
      </c>
      <c r="K19">
        <v>0</v>
      </c>
      <c r="L19">
        <v>0</v>
      </c>
      <c r="M19">
        <v>0</v>
      </c>
      <c r="N19">
        <v>0</v>
      </c>
      <c r="O19">
        <v>0</v>
      </c>
      <c r="P19">
        <v>0</v>
      </c>
      <c r="Q19">
        <v>0</v>
      </c>
      <c r="R19">
        <v>0</v>
      </c>
      <c r="S19">
        <v>0</v>
      </c>
      <c r="T19">
        <v>65</v>
      </c>
      <c r="U19">
        <v>0</v>
      </c>
      <c r="V19">
        <v>65</v>
      </c>
      <c r="W19">
        <v>0</v>
      </c>
      <c r="X19">
        <v>65</v>
      </c>
      <c r="Y19">
        <v>1</v>
      </c>
      <c r="Z19">
        <v>65.125</v>
      </c>
      <c r="AA19">
        <v>65</v>
      </c>
      <c r="AB19">
        <v>0.125</v>
      </c>
      <c r="AC19">
        <v>65</v>
      </c>
      <c r="AD19">
        <v>0</v>
      </c>
      <c r="AE19">
        <v>0</v>
      </c>
      <c r="AF19">
        <v>1</v>
      </c>
    </row>
    <row r="20" spans="1:32" x14ac:dyDescent="0.2">
      <c r="A20" t="s">
        <v>228</v>
      </c>
      <c r="B20" t="s">
        <v>329</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32" x14ac:dyDescent="0.2">
      <c r="A21" t="s">
        <v>228</v>
      </c>
      <c r="B21" t="s">
        <v>232</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2</v>
      </c>
      <c r="Z21">
        <v>0.25</v>
      </c>
      <c r="AA21">
        <v>0.25</v>
      </c>
      <c r="AB21">
        <v>0</v>
      </c>
      <c r="AC21">
        <v>0</v>
      </c>
      <c r="AD21">
        <v>2</v>
      </c>
      <c r="AE21">
        <v>0</v>
      </c>
      <c r="AF21">
        <v>2</v>
      </c>
    </row>
    <row r="22" spans="1:32" x14ac:dyDescent="0.2">
      <c r="A22" t="s">
        <v>228</v>
      </c>
      <c r="B22" t="s">
        <v>154</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row>
    <row r="23" spans="1:32" x14ac:dyDescent="0.2">
      <c r="A23" t="s">
        <v>228</v>
      </c>
      <c r="B23" t="s">
        <v>154</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row>
    <row r="24" spans="1:32" x14ac:dyDescent="0.2">
      <c r="A24" t="s">
        <v>228</v>
      </c>
      <c r="B24" t="s">
        <v>154</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row>
    <row r="25" spans="1:32" x14ac:dyDescent="0.2">
      <c r="A25" t="s">
        <v>228</v>
      </c>
      <c r="B25" t="s">
        <v>154</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row>
    <row r="26" spans="1:32" x14ac:dyDescent="0.2">
      <c r="A26" t="s">
        <v>228</v>
      </c>
      <c r="B26" t="s">
        <v>233</v>
      </c>
      <c r="C26">
        <v>0</v>
      </c>
      <c r="D26">
        <v>0</v>
      </c>
      <c r="E26">
        <v>0</v>
      </c>
      <c r="F26">
        <v>0</v>
      </c>
      <c r="G26">
        <v>0</v>
      </c>
      <c r="H26">
        <v>0</v>
      </c>
      <c r="I26">
        <v>0</v>
      </c>
      <c r="J26">
        <v>0</v>
      </c>
      <c r="K26">
        <v>0</v>
      </c>
      <c r="L26">
        <v>0</v>
      </c>
      <c r="M26">
        <v>0</v>
      </c>
      <c r="N26">
        <v>19</v>
      </c>
      <c r="O26">
        <v>1</v>
      </c>
      <c r="P26">
        <v>19.125</v>
      </c>
      <c r="Q26">
        <v>0</v>
      </c>
      <c r="R26">
        <v>0</v>
      </c>
      <c r="S26">
        <v>0</v>
      </c>
      <c r="T26">
        <v>0</v>
      </c>
      <c r="U26">
        <v>0</v>
      </c>
      <c r="V26">
        <v>0</v>
      </c>
      <c r="W26">
        <v>0</v>
      </c>
      <c r="X26">
        <v>19</v>
      </c>
      <c r="Y26">
        <v>0.5</v>
      </c>
      <c r="Z26">
        <v>19.0625</v>
      </c>
      <c r="AA26">
        <v>19.125</v>
      </c>
      <c r="AB26">
        <v>-6.25E-2</v>
      </c>
      <c r="AC26">
        <v>19</v>
      </c>
      <c r="AD26">
        <v>1</v>
      </c>
      <c r="AE26">
        <v>0</v>
      </c>
      <c r="AF26">
        <v>0.5</v>
      </c>
    </row>
    <row r="27" spans="1:32" x14ac:dyDescent="0.2">
      <c r="A27" t="s">
        <v>228</v>
      </c>
      <c r="B27" t="s">
        <v>154</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row>
    <row r="28" spans="1:32" x14ac:dyDescent="0.2">
      <c r="A28" t="s">
        <v>228</v>
      </c>
      <c r="B28" t="s">
        <v>154</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row>
    <row r="29" spans="1:32" x14ac:dyDescent="0.2">
      <c r="A29" t="s">
        <v>228</v>
      </c>
      <c r="B29" t="s">
        <v>154</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row>
    <row r="30" spans="1:32" x14ac:dyDescent="0.2">
      <c r="A30" t="s">
        <v>228</v>
      </c>
      <c r="B30" t="s">
        <v>154</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row>
    <row r="31" spans="1:32" x14ac:dyDescent="0.2">
      <c r="A31" t="s">
        <v>228</v>
      </c>
      <c r="B31" t="s">
        <v>234</v>
      </c>
      <c r="C31">
        <v>0</v>
      </c>
      <c r="D31">
        <v>0</v>
      </c>
      <c r="E31">
        <v>0</v>
      </c>
      <c r="F31">
        <v>0</v>
      </c>
      <c r="G31">
        <v>0</v>
      </c>
      <c r="H31">
        <v>0</v>
      </c>
      <c r="I31">
        <v>0</v>
      </c>
      <c r="J31">
        <v>0</v>
      </c>
      <c r="K31">
        <v>0</v>
      </c>
      <c r="L31">
        <v>0</v>
      </c>
      <c r="M31">
        <v>0</v>
      </c>
      <c r="N31">
        <v>17.5</v>
      </c>
      <c r="O31">
        <v>0</v>
      </c>
      <c r="P31">
        <v>17.5</v>
      </c>
      <c r="Q31">
        <v>0</v>
      </c>
      <c r="R31">
        <v>0</v>
      </c>
      <c r="S31">
        <v>0</v>
      </c>
      <c r="T31">
        <v>0</v>
      </c>
      <c r="U31">
        <v>0</v>
      </c>
      <c r="V31">
        <v>0</v>
      </c>
      <c r="W31">
        <v>0</v>
      </c>
      <c r="X31">
        <v>17.5</v>
      </c>
      <c r="Y31">
        <v>1</v>
      </c>
      <c r="Z31">
        <v>17.625</v>
      </c>
      <c r="AA31">
        <v>17.5</v>
      </c>
      <c r="AB31">
        <v>0.125</v>
      </c>
      <c r="AC31">
        <v>17.5</v>
      </c>
      <c r="AD31">
        <v>0</v>
      </c>
      <c r="AE31">
        <v>0</v>
      </c>
      <c r="AF31">
        <v>1</v>
      </c>
    </row>
    <row r="32" spans="1:32" x14ac:dyDescent="0.2">
      <c r="A32" t="s">
        <v>228</v>
      </c>
      <c r="B32" t="s">
        <v>154</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row>
    <row r="33" spans="1:30" x14ac:dyDescent="0.2">
      <c r="A33" t="s">
        <v>228</v>
      </c>
      <c r="B33" t="s">
        <v>154</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row>
    <row r="34" spans="1:30" x14ac:dyDescent="0.2">
      <c r="A34" t="s">
        <v>228</v>
      </c>
      <c r="B34" t="s">
        <v>154</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x14ac:dyDescent="0.2">
      <c r="A35" t="s">
        <v>228</v>
      </c>
      <c r="B35" t="s">
        <v>154</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row>
    <row r="36" spans="1:30" x14ac:dyDescent="0.2">
      <c r="A36" t="s">
        <v>228</v>
      </c>
      <c r="B36" t="s">
        <v>330</v>
      </c>
      <c r="C36">
        <v>0</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30" x14ac:dyDescent="0.2">
      <c r="A37" t="s">
        <v>228</v>
      </c>
      <c r="B37" t="s">
        <v>154</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row>
    <row r="38" spans="1:30" x14ac:dyDescent="0.2">
      <c r="A38" t="s">
        <v>228</v>
      </c>
      <c r="B38" t="s">
        <v>154</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0" x14ac:dyDescent="0.2">
      <c r="A39" t="s">
        <v>228</v>
      </c>
      <c r="B39" t="s">
        <v>154</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0" x14ac:dyDescent="0.2">
      <c r="A40" t="s">
        <v>228</v>
      </c>
      <c r="B40" t="s">
        <v>154</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row>
    <row r="41" spans="1:30" x14ac:dyDescent="0.2">
      <c r="A41" t="s">
        <v>228</v>
      </c>
      <c r="B41" t="s">
        <v>236</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1.5</v>
      </c>
      <c r="Y41">
        <v>0</v>
      </c>
      <c r="Z41">
        <v>1.5</v>
      </c>
      <c r="AA41">
        <v>1.5</v>
      </c>
      <c r="AB41">
        <v>0</v>
      </c>
      <c r="AC41">
        <v>1.5</v>
      </c>
      <c r="AD41">
        <v>0</v>
      </c>
    </row>
    <row r="42" spans="1:30" x14ac:dyDescent="0.2">
      <c r="A42" t="s">
        <v>228</v>
      </c>
      <c r="B42" t="s">
        <v>237</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65</v>
      </c>
      <c r="Y42">
        <v>1</v>
      </c>
      <c r="Z42">
        <v>65.125</v>
      </c>
      <c r="AA42">
        <v>65.125</v>
      </c>
      <c r="AB42">
        <v>0</v>
      </c>
      <c r="AC42">
        <v>65</v>
      </c>
      <c r="AD42">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N13"/>
  <sheetViews>
    <sheetView workbookViewId="0"/>
  </sheetViews>
  <sheetFormatPr baseColWidth="10" defaultColWidth="8.83203125" defaultRowHeight="15" x14ac:dyDescent="0.2"/>
  <sheetData>
    <row r="1" spans="1:40" x14ac:dyDescent="0.2">
      <c r="A1" s="1" t="s">
        <v>0</v>
      </c>
      <c r="B1" s="1" t="s">
        <v>1</v>
      </c>
      <c r="C1" s="1" t="s">
        <v>2</v>
      </c>
      <c r="D1" s="1" t="s">
        <v>3</v>
      </c>
      <c r="E1" s="1" t="s">
        <v>4</v>
      </c>
      <c r="F1" s="1" t="s">
        <v>5</v>
      </c>
      <c r="G1" s="1" t="s">
        <v>6</v>
      </c>
      <c r="H1" s="1" t="s">
        <v>7</v>
      </c>
      <c r="I1" s="1" t="s">
        <v>8</v>
      </c>
      <c r="J1" s="1" t="s">
        <v>9</v>
      </c>
      <c r="K1" s="1" t="s">
        <v>10</v>
      </c>
      <c r="L1" s="1" t="s">
        <v>11</v>
      </c>
      <c r="M1" s="1" t="s">
        <v>339</v>
      </c>
      <c r="N1" s="1" t="s">
        <v>340</v>
      </c>
      <c r="O1" s="1" t="s">
        <v>24</v>
      </c>
      <c r="P1" s="1" t="s">
        <v>25</v>
      </c>
      <c r="Q1" s="1" t="s">
        <v>12</v>
      </c>
      <c r="R1" s="1" t="s">
        <v>13</v>
      </c>
      <c r="S1" s="1" t="s">
        <v>26</v>
      </c>
      <c r="T1" s="1" t="s">
        <v>27</v>
      </c>
      <c r="U1" s="1" t="s">
        <v>14</v>
      </c>
      <c r="V1" s="1" t="s">
        <v>15</v>
      </c>
      <c r="W1" s="1" t="s">
        <v>28</v>
      </c>
      <c r="X1" s="1" t="s">
        <v>29</v>
      </c>
      <c r="Y1" s="1" t="s">
        <v>16</v>
      </c>
      <c r="Z1" s="1" t="s">
        <v>17</v>
      </c>
      <c r="AA1" s="1" t="s">
        <v>30</v>
      </c>
      <c r="AB1" s="1" t="s">
        <v>31</v>
      </c>
      <c r="AC1" s="1" t="s">
        <v>18</v>
      </c>
      <c r="AD1" s="1" t="s">
        <v>19</v>
      </c>
      <c r="AE1" s="1" t="s">
        <v>20</v>
      </c>
      <c r="AF1" s="1" t="s">
        <v>21</v>
      </c>
      <c r="AG1" s="1" t="s">
        <v>341</v>
      </c>
      <c r="AH1" s="1" t="s">
        <v>342</v>
      </c>
      <c r="AI1" s="1" t="s">
        <v>343</v>
      </c>
      <c r="AJ1" s="1" t="s">
        <v>344</v>
      </c>
      <c r="AK1" s="1" t="s">
        <v>345</v>
      </c>
      <c r="AL1" s="1" t="s">
        <v>333</v>
      </c>
      <c r="AM1" s="1" t="s">
        <v>334</v>
      </c>
      <c r="AN1" s="1" t="s">
        <v>346</v>
      </c>
    </row>
    <row r="2" spans="1:40" x14ac:dyDescent="0.2">
      <c r="A2" t="s">
        <v>91</v>
      </c>
      <c r="B2" t="s">
        <v>92</v>
      </c>
      <c r="C2">
        <v>7.22</v>
      </c>
      <c r="D2">
        <v>7</v>
      </c>
      <c r="E2">
        <v>4</v>
      </c>
      <c r="F2">
        <v>5.5</v>
      </c>
      <c r="G2" t="s">
        <v>72</v>
      </c>
      <c r="H2">
        <v>24.5</v>
      </c>
      <c r="I2">
        <v>5</v>
      </c>
      <c r="J2">
        <v>25.125</v>
      </c>
      <c r="K2">
        <v>25.125</v>
      </c>
      <c r="L2">
        <v>0</v>
      </c>
      <c r="M2">
        <v>25</v>
      </c>
      <c r="N2">
        <v>1</v>
      </c>
      <c r="O2">
        <v>5</v>
      </c>
      <c r="P2">
        <v>0</v>
      </c>
      <c r="Q2">
        <v>8</v>
      </c>
      <c r="R2">
        <v>5</v>
      </c>
      <c r="S2">
        <v>5</v>
      </c>
      <c r="T2">
        <v>4</v>
      </c>
      <c r="U2">
        <v>6.5</v>
      </c>
      <c r="V2">
        <v>0</v>
      </c>
      <c r="W2">
        <v>6</v>
      </c>
      <c r="X2">
        <v>8</v>
      </c>
      <c r="Y2">
        <v>10</v>
      </c>
      <c r="Z2">
        <v>0</v>
      </c>
      <c r="AG2">
        <v>0.25</v>
      </c>
      <c r="AH2">
        <v>0.26666666666666672</v>
      </c>
      <c r="AI2">
        <v>0.33333333333333331</v>
      </c>
      <c r="AK2">
        <v>25.125</v>
      </c>
      <c r="AL2">
        <v>0.28747927031509118</v>
      </c>
      <c r="AM2">
        <v>0.28333333333333333</v>
      </c>
      <c r="AN2" t="s">
        <v>72</v>
      </c>
    </row>
    <row r="3" spans="1:40" x14ac:dyDescent="0.2">
      <c r="A3" t="s">
        <v>91</v>
      </c>
      <c r="B3" t="s">
        <v>93</v>
      </c>
      <c r="C3">
        <v>2.64</v>
      </c>
      <c r="D3">
        <v>2</v>
      </c>
      <c r="E3">
        <v>12</v>
      </c>
      <c r="F3">
        <v>10.5</v>
      </c>
      <c r="H3">
        <v>18</v>
      </c>
      <c r="I3">
        <v>7</v>
      </c>
      <c r="J3">
        <v>18.875</v>
      </c>
      <c r="K3">
        <v>18.875</v>
      </c>
      <c r="L3">
        <v>0</v>
      </c>
      <c r="M3">
        <v>18</v>
      </c>
      <c r="N3">
        <v>7</v>
      </c>
      <c r="O3">
        <v>2</v>
      </c>
      <c r="P3">
        <v>8</v>
      </c>
      <c r="Q3">
        <v>11</v>
      </c>
      <c r="R3">
        <v>2</v>
      </c>
      <c r="S3">
        <v>3</v>
      </c>
      <c r="T3">
        <v>0</v>
      </c>
      <c r="U3">
        <v>7</v>
      </c>
      <c r="V3">
        <v>5</v>
      </c>
      <c r="AG3">
        <v>0.1333333333333333</v>
      </c>
      <c r="AH3">
        <v>0.15</v>
      </c>
      <c r="AK3">
        <v>18.875</v>
      </c>
      <c r="AL3">
        <v>0.14006622516556291</v>
      </c>
      <c r="AM3">
        <v>0.14166666666666669</v>
      </c>
    </row>
    <row r="4" spans="1:40" x14ac:dyDescent="0.2">
      <c r="A4" t="s">
        <v>91</v>
      </c>
      <c r="B4" t="s">
        <v>94</v>
      </c>
      <c r="C4">
        <v>0.5</v>
      </c>
      <c r="D4">
        <v>0</v>
      </c>
      <c r="E4">
        <v>10</v>
      </c>
      <c r="F4">
        <v>0</v>
      </c>
      <c r="G4" t="s">
        <v>95</v>
      </c>
      <c r="H4">
        <v>2.5</v>
      </c>
      <c r="I4">
        <v>0</v>
      </c>
      <c r="J4">
        <v>2.5</v>
      </c>
      <c r="K4">
        <v>2.5</v>
      </c>
      <c r="L4">
        <v>0</v>
      </c>
      <c r="M4">
        <v>2.5</v>
      </c>
      <c r="N4">
        <v>0</v>
      </c>
      <c r="O4">
        <v>4</v>
      </c>
      <c r="P4">
        <v>0</v>
      </c>
      <c r="AG4">
        <v>0.2</v>
      </c>
      <c r="AK4">
        <v>2.5</v>
      </c>
      <c r="AL4">
        <v>0.2</v>
      </c>
      <c r="AM4">
        <v>0.2</v>
      </c>
      <c r="AN4" t="s">
        <v>95</v>
      </c>
    </row>
    <row r="5" spans="1:40" x14ac:dyDescent="0.2">
      <c r="A5" t="s">
        <v>91</v>
      </c>
      <c r="B5" t="s">
        <v>96</v>
      </c>
      <c r="C5">
        <v>10.37</v>
      </c>
      <c r="D5">
        <v>10</v>
      </c>
      <c r="E5">
        <v>7</v>
      </c>
      <c r="F5">
        <v>4</v>
      </c>
      <c r="H5">
        <v>0</v>
      </c>
      <c r="I5">
        <v>0</v>
      </c>
      <c r="J5">
        <v>0</v>
      </c>
      <c r="K5">
        <v>0</v>
      </c>
      <c r="L5">
        <v>0</v>
      </c>
      <c r="M5">
        <v>0</v>
      </c>
      <c r="N5">
        <v>0</v>
      </c>
      <c r="AG5" t="s">
        <v>347</v>
      </c>
      <c r="AK5">
        <v>0</v>
      </c>
      <c r="AL5" t="s">
        <v>347</v>
      </c>
      <c r="AM5" t="s">
        <v>347</v>
      </c>
    </row>
    <row r="6" spans="1:40" x14ac:dyDescent="0.2">
      <c r="A6" t="s">
        <v>97</v>
      </c>
      <c r="B6" t="s">
        <v>98</v>
      </c>
      <c r="C6">
        <v>20.18</v>
      </c>
      <c r="D6">
        <v>20</v>
      </c>
      <c r="E6">
        <v>3</v>
      </c>
      <c r="F6">
        <v>7.5</v>
      </c>
      <c r="G6" t="s">
        <v>72</v>
      </c>
      <c r="H6">
        <v>65.5</v>
      </c>
      <c r="I6">
        <v>3</v>
      </c>
      <c r="J6">
        <v>65.875</v>
      </c>
      <c r="K6">
        <v>65.875</v>
      </c>
      <c r="L6">
        <v>0</v>
      </c>
      <c r="M6">
        <v>65</v>
      </c>
      <c r="N6">
        <v>7</v>
      </c>
      <c r="O6">
        <v>5</v>
      </c>
      <c r="P6">
        <v>0</v>
      </c>
      <c r="Q6">
        <v>9</v>
      </c>
      <c r="R6">
        <v>1</v>
      </c>
      <c r="S6">
        <v>5</v>
      </c>
      <c r="T6">
        <v>4</v>
      </c>
      <c r="U6">
        <v>15</v>
      </c>
      <c r="V6">
        <v>2</v>
      </c>
      <c r="W6">
        <v>6</v>
      </c>
      <c r="X6">
        <v>8</v>
      </c>
      <c r="Y6">
        <v>41.5</v>
      </c>
      <c r="Z6">
        <v>0</v>
      </c>
      <c r="AG6">
        <v>0.25</v>
      </c>
      <c r="AH6">
        <v>0.26666666666666672</v>
      </c>
      <c r="AI6">
        <v>0.33333333333333331</v>
      </c>
      <c r="AK6">
        <v>65.875</v>
      </c>
      <c r="AL6">
        <v>0.30635673624288418</v>
      </c>
      <c r="AM6">
        <v>0.28333333333333333</v>
      </c>
      <c r="AN6" t="s">
        <v>72</v>
      </c>
    </row>
    <row r="7" spans="1:40" x14ac:dyDescent="0.2">
      <c r="A7" t="s">
        <v>97</v>
      </c>
      <c r="B7" t="s">
        <v>99</v>
      </c>
      <c r="C7">
        <v>1.98</v>
      </c>
      <c r="D7">
        <v>1</v>
      </c>
      <c r="E7">
        <v>19</v>
      </c>
      <c r="F7">
        <v>7</v>
      </c>
      <c r="H7">
        <v>14</v>
      </c>
      <c r="I7">
        <v>7</v>
      </c>
      <c r="J7">
        <v>14.875</v>
      </c>
      <c r="K7">
        <v>14.875</v>
      </c>
      <c r="L7">
        <v>0</v>
      </c>
      <c r="M7">
        <v>14</v>
      </c>
      <c r="N7">
        <v>7</v>
      </c>
      <c r="O7">
        <v>2</v>
      </c>
      <c r="P7">
        <v>8</v>
      </c>
      <c r="AG7">
        <v>0.1333333333333333</v>
      </c>
      <c r="AK7">
        <v>14.875</v>
      </c>
      <c r="AL7">
        <v>0.1333333333333333</v>
      </c>
      <c r="AM7">
        <v>0.1333333333333333</v>
      </c>
    </row>
    <row r="8" spans="1:40" x14ac:dyDescent="0.2">
      <c r="A8" t="s">
        <v>97</v>
      </c>
      <c r="B8" t="s">
        <v>100</v>
      </c>
      <c r="C8">
        <v>7.68</v>
      </c>
      <c r="D8">
        <v>7</v>
      </c>
      <c r="E8">
        <v>13</v>
      </c>
      <c r="F8">
        <v>6</v>
      </c>
      <c r="G8" t="s">
        <v>95</v>
      </c>
      <c r="H8">
        <v>38</v>
      </c>
      <c r="I8">
        <v>3</v>
      </c>
      <c r="J8">
        <v>38.375</v>
      </c>
      <c r="K8">
        <v>38.375</v>
      </c>
      <c r="L8">
        <v>0</v>
      </c>
      <c r="M8">
        <v>38</v>
      </c>
      <c r="N8">
        <v>3</v>
      </c>
      <c r="O8">
        <v>4</v>
      </c>
      <c r="P8">
        <v>0</v>
      </c>
      <c r="AG8">
        <v>0.2</v>
      </c>
      <c r="AK8">
        <v>38.375</v>
      </c>
      <c r="AL8">
        <v>0.2</v>
      </c>
      <c r="AM8">
        <v>0.2</v>
      </c>
      <c r="AN8" t="s">
        <v>95</v>
      </c>
    </row>
    <row r="9" spans="1:40" x14ac:dyDescent="0.2">
      <c r="A9" t="s">
        <v>97</v>
      </c>
      <c r="B9" t="s">
        <v>101</v>
      </c>
      <c r="C9">
        <v>5.91</v>
      </c>
      <c r="D9">
        <v>5</v>
      </c>
      <c r="E9">
        <v>18</v>
      </c>
      <c r="F9">
        <v>1.5</v>
      </c>
      <c r="G9" t="s">
        <v>102</v>
      </c>
      <c r="H9">
        <v>62</v>
      </c>
      <c r="I9">
        <v>16</v>
      </c>
      <c r="J9">
        <v>64</v>
      </c>
      <c r="K9">
        <v>64</v>
      </c>
      <c r="L9">
        <v>0</v>
      </c>
      <c r="M9">
        <v>64</v>
      </c>
      <c r="N9">
        <v>0</v>
      </c>
      <c r="O9">
        <v>1</v>
      </c>
      <c r="P9">
        <v>8</v>
      </c>
      <c r="Q9">
        <v>44</v>
      </c>
      <c r="R9">
        <v>7</v>
      </c>
      <c r="S9">
        <v>2</v>
      </c>
      <c r="T9">
        <v>2</v>
      </c>
      <c r="U9">
        <v>7</v>
      </c>
      <c r="V9">
        <v>6</v>
      </c>
      <c r="W9">
        <v>2</v>
      </c>
      <c r="X9">
        <v>4</v>
      </c>
      <c r="Y9">
        <v>11</v>
      </c>
      <c r="Z9">
        <v>3</v>
      </c>
      <c r="AG9">
        <v>8.3333333333333343E-2</v>
      </c>
      <c r="AH9">
        <v>0.1083333333333333</v>
      </c>
      <c r="AI9">
        <v>0.1166666666666667</v>
      </c>
      <c r="AK9">
        <v>64</v>
      </c>
      <c r="AL9">
        <v>9.2285156250000014E-2</v>
      </c>
      <c r="AM9">
        <v>0.1027777777777778</v>
      </c>
      <c r="AN9" t="s">
        <v>102</v>
      </c>
    </row>
    <row r="10" spans="1:40" x14ac:dyDescent="0.2">
      <c r="A10" t="s">
        <v>97</v>
      </c>
      <c r="B10" t="s">
        <v>103</v>
      </c>
      <c r="C10">
        <v>1.62</v>
      </c>
      <c r="D10">
        <v>1</v>
      </c>
      <c r="E10">
        <v>12</v>
      </c>
      <c r="F10">
        <v>4</v>
      </c>
      <c r="G10" t="s">
        <v>104</v>
      </c>
      <c r="H10">
        <v>12</v>
      </c>
      <c r="I10">
        <v>1</v>
      </c>
      <c r="J10">
        <v>12.125</v>
      </c>
      <c r="K10">
        <v>12.125</v>
      </c>
      <c r="L10">
        <v>0</v>
      </c>
      <c r="M10">
        <v>12</v>
      </c>
      <c r="N10">
        <v>1</v>
      </c>
      <c r="O10">
        <v>2</v>
      </c>
      <c r="P10">
        <v>8</v>
      </c>
      <c r="AG10">
        <v>0.1333333333333333</v>
      </c>
      <c r="AK10">
        <v>12.125</v>
      </c>
      <c r="AL10">
        <v>0.1333333333333333</v>
      </c>
      <c r="AM10">
        <v>0.1333333333333333</v>
      </c>
      <c r="AN10" t="s">
        <v>104</v>
      </c>
    </row>
    <row r="11" spans="1:40" x14ac:dyDescent="0.2">
      <c r="A11" t="s">
        <v>97</v>
      </c>
      <c r="B11" t="s">
        <v>105</v>
      </c>
      <c r="C11">
        <v>0.2</v>
      </c>
      <c r="D11">
        <v>0</v>
      </c>
      <c r="E11">
        <v>4</v>
      </c>
      <c r="F11">
        <v>0</v>
      </c>
      <c r="G11" t="s">
        <v>106</v>
      </c>
      <c r="H11">
        <v>2</v>
      </c>
      <c r="I11">
        <v>0</v>
      </c>
      <c r="J11">
        <v>2</v>
      </c>
      <c r="K11">
        <v>2</v>
      </c>
      <c r="L11">
        <v>0</v>
      </c>
      <c r="M11">
        <v>2</v>
      </c>
      <c r="N11">
        <v>0</v>
      </c>
      <c r="AG11">
        <v>0.1</v>
      </c>
      <c r="AK11">
        <v>2</v>
      </c>
      <c r="AL11">
        <v>0.1</v>
      </c>
      <c r="AM11">
        <v>0.1</v>
      </c>
      <c r="AN11" t="s">
        <v>106</v>
      </c>
    </row>
    <row r="12" spans="1:40" x14ac:dyDescent="0.2">
      <c r="A12" t="s">
        <v>97</v>
      </c>
      <c r="B12" t="s">
        <v>107</v>
      </c>
      <c r="C12">
        <v>0.6</v>
      </c>
      <c r="D12">
        <v>0</v>
      </c>
      <c r="E12">
        <v>12</v>
      </c>
      <c r="F12">
        <v>1</v>
      </c>
      <c r="G12" t="s">
        <v>108</v>
      </c>
      <c r="H12">
        <v>7</v>
      </c>
      <c r="I12">
        <v>2</v>
      </c>
      <c r="J12">
        <v>7.25</v>
      </c>
      <c r="K12">
        <v>7.25</v>
      </c>
      <c r="L12">
        <v>0</v>
      </c>
      <c r="M12">
        <v>7</v>
      </c>
      <c r="N12">
        <v>2</v>
      </c>
      <c r="O12">
        <v>1</v>
      </c>
      <c r="P12">
        <v>8</v>
      </c>
      <c r="AG12">
        <v>8.3333333333333343E-2</v>
      </c>
      <c r="AK12">
        <v>7.25</v>
      </c>
      <c r="AL12">
        <v>8.3333333333333343E-2</v>
      </c>
      <c r="AM12">
        <v>8.3333333333333343E-2</v>
      </c>
      <c r="AN12" t="s">
        <v>108</v>
      </c>
    </row>
    <row r="13" spans="1:40" x14ac:dyDescent="0.2">
      <c r="A13" t="s">
        <v>97</v>
      </c>
      <c r="B13" t="s">
        <v>109</v>
      </c>
      <c r="C13">
        <v>38.17</v>
      </c>
      <c r="D13">
        <v>38</v>
      </c>
      <c r="E13">
        <v>3</v>
      </c>
      <c r="F13">
        <v>4</v>
      </c>
      <c r="H13">
        <v>0</v>
      </c>
      <c r="I13">
        <v>0</v>
      </c>
      <c r="J13">
        <v>0</v>
      </c>
      <c r="K13">
        <v>0</v>
      </c>
      <c r="L13">
        <v>0</v>
      </c>
      <c r="M13">
        <v>0</v>
      </c>
      <c r="N13">
        <v>0</v>
      </c>
      <c r="AG13" t="s">
        <v>347</v>
      </c>
      <c r="AK13">
        <v>0</v>
      </c>
      <c r="AL13" t="s">
        <v>347</v>
      </c>
      <c r="AM13" t="s">
        <v>347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raw data</vt:lpstr>
      <vt:lpstr>Issues of the Grange raw</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2024-04-19T11:10:12Z</dcterms:created>
  <dcterms:modified xsi:type="dcterms:W3CDTF">2025-09-23T12:46:31Z</dcterms:modified>
</cp:coreProperties>
</file>
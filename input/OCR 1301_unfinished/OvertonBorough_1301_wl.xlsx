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3F0CB099-AD4C-2C46-BD45-FC33AD9803C1}" xr6:coauthVersionLast="47" xr6:coauthVersionMax="47" xr10:uidLastSave="{00000000-0000-0000-0000-000000000000}"/>
  <bookViews>
    <workbookView xWindow="180" yWindow="500" windowWidth="22860" windowHeight="20120" activeTab="2" xr2:uid="{23B83A58-82C6-F74F-B690-D0207AADBAFA}"/>
  </bookViews>
  <sheets>
    <sheet name="Overton Borough Overview" sheetId="5" r:id="rId1"/>
    <sheet name="Overton Borough Receipts" sheetId="1" r:id="rId2"/>
    <sheet name="Overton Borough Expenses" sheetId="2" r:id="rId3"/>
    <sheet name="Issues of the Grange" sheetId="4" r:id="rId4"/>
    <sheet name="Stock" sheetId="6" r:id="rId5"/>
    <sheet name="Assump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5" l="1"/>
  <c r="G11" i="5"/>
  <c r="F68" i="1"/>
  <c r="F67" i="1"/>
  <c r="C88" i="2"/>
  <c r="D88" i="2"/>
  <c r="B88" i="2"/>
  <c r="B120" i="2" s="1"/>
  <c r="D55" i="1"/>
  <c r="C55" i="1"/>
  <c r="F55" i="1" s="1"/>
  <c r="B55" i="1"/>
  <c r="F54" i="1"/>
  <c r="F53" i="1"/>
  <c r="C65" i="1"/>
  <c r="D65" i="1"/>
  <c r="B65" i="1"/>
  <c r="F65" i="1" s="1"/>
  <c r="F59" i="1"/>
  <c r="F60" i="1"/>
  <c r="F61" i="1"/>
  <c r="F62" i="1"/>
  <c r="F63" i="1"/>
  <c r="F64" i="1"/>
  <c r="G55" i="1" l="1"/>
  <c r="F26" i="1"/>
  <c r="B28" i="1"/>
  <c r="D21" i="1"/>
  <c r="D16" i="1"/>
  <c r="D11" i="1"/>
  <c r="G139" i="5"/>
  <c r="C146" i="5"/>
  <c r="B146" i="5"/>
  <c r="C145" i="5"/>
  <c r="B145" i="5"/>
  <c r="C144" i="5"/>
  <c r="B144" i="5"/>
  <c r="F139" i="5"/>
  <c r="C138" i="5"/>
  <c r="B138" i="5"/>
  <c r="C137" i="5"/>
  <c r="B137" i="5"/>
  <c r="C132" i="5"/>
  <c r="B132" i="5"/>
  <c r="C131" i="5"/>
  <c r="B131" i="5"/>
  <c r="C130" i="5"/>
  <c r="B130" i="5"/>
  <c r="C129" i="5"/>
  <c r="B129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0" i="5"/>
  <c r="B100" i="5"/>
  <c r="C99" i="5"/>
  <c r="B99" i="5"/>
  <c r="C98" i="5"/>
  <c r="B98" i="5"/>
  <c r="C97" i="5"/>
  <c r="B97" i="5"/>
  <c r="C96" i="5"/>
  <c r="B96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28" i="1"/>
  <c r="D28" i="1"/>
  <c r="F27" i="1"/>
  <c r="F70" i="1"/>
  <c r="G16" i="5" s="1"/>
  <c r="F68" i="5"/>
  <c r="F69" i="5"/>
  <c r="F71" i="5"/>
  <c r="G74" i="5"/>
  <c r="G78" i="5"/>
  <c r="F81" i="5"/>
  <c r="F83" i="5"/>
  <c r="F85" i="5"/>
  <c r="G86" i="5"/>
  <c r="F89" i="5"/>
  <c r="G90" i="5"/>
  <c r="F96" i="5"/>
  <c r="G98" i="5"/>
  <c r="G107" i="5"/>
  <c r="G111" i="5"/>
  <c r="F112" i="5"/>
  <c r="G114" i="5"/>
  <c r="F115" i="5"/>
  <c r="F118" i="5"/>
  <c r="F120" i="5"/>
  <c r="F123" i="5"/>
  <c r="F132" i="5"/>
  <c r="F137" i="5"/>
  <c r="E6" i="7"/>
  <c r="E5" i="7"/>
  <c r="E4" i="7"/>
  <c r="D6" i="7"/>
  <c r="D4" i="7"/>
  <c r="C7" i="7"/>
  <c r="F4" i="7" s="1"/>
  <c r="B43" i="2"/>
  <c r="F67" i="5"/>
  <c r="F72" i="5"/>
  <c r="F76" i="5"/>
  <c r="F77" i="5"/>
  <c r="F79" i="5"/>
  <c r="F88" i="5"/>
  <c r="F91" i="5"/>
  <c r="F97" i="5"/>
  <c r="F100" i="5"/>
  <c r="F110" i="5"/>
  <c r="F113" i="5"/>
  <c r="G117" i="5"/>
  <c r="F119" i="5"/>
  <c r="F124" i="5"/>
  <c r="F130" i="5"/>
  <c r="F131" i="5"/>
  <c r="G138" i="5"/>
  <c r="G145" i="5"/>
  <c r="F66" i="5"/>
  <c r="C72" i="2"/>
  <c r="D72" i="2"/>
  <c r="B72" i="2"/>
  <c r="C54" i="2"/>
  <c r="D54" i="2"/>
  <c r="B54" i="2"/>
  <c r="B18" i="2"/>
  <c r="C18" i="2"/>
  <c r="D18" i="2"/>
  <c r="C42" i="2"/>
  <c r="D42" i="2"/>
  <c r="C43" i="2"/>
  <c r="D43" i="2"/>
  <c r="B46" i="5"/>
  <c r="F119" i="2"/>
  <c r="F118" i="2"/>
  <c r="F117" i="2"/>
  <c r="F115" i="2"/>
  <c r="G31" i="5" s="1"/>
  <c r="F112" i="2"/>
  <c r="F111" i="2"/>
  <c r="F110" i="2"/>
  <c r="F109" i="2"/>
  <c r="C113" i="2"/>
  <c r="D113" i="2"/>
  <c r="B113" i="2"/>
  <c r="F105" i="2"/>
  <c r="F104" i="2"/>
  <c r="F103" i="2"/>
  <c r="F102" i="2"/>
  <c r="F101" i="2"/>
  <c r="F100" i="2"/>
  <c r="C106" i="2"/>
  <c r="D106" i="2"/>
  <c r="B106" i="2"/>
  <c r="F96" i="2"/>
  <c r="F95" i="2"/>
  <c r="F94" i="2"/>
  <c r="F93" i="2"/>
  <c r="F92" i="2"/>
  <c r="F91" i="2"/>
  <c r="C97" i="2"/>
  <c r="D97" i="2"/>
  <c r="B97" i="2"/>
  <c r="F86" i="2"/>
  <c r="F85" i="2"/>
  <c r="F84" i="2"/>
  <c r="F83" i="2"/>
  <c r="F82" i="2"/>
  <c r="F81" i="2"/>
  <c r="F80" i="2"/>
  <c r="F79" i="2"/>
  <c r="F78" i="2"/>
  <c r="F77" i="2"/>
  <c r="F76" i="2"/>
  <c r="F75" i="2"/>
  <c r="C87" i="2"/>
  <c r="D87" i="2"/>
  <c r="B87" i="2"/>
  <c r="F70" i="2"/>
  <c r="F69" i="2"/>
  <c r="F68" i="2"/>
  <c r="F67" i="2"/>
  <c r="F66" i="2"/>
  <c r="F65" i="2"/>
  <c r="F64" i="2"/>
  <c r="F60" i="2"/>
  <c r="C71" i="2"/>
  <c r="D71" i="2"/>
  <c r="B71" i="2"/>
  <c r="C61" i="2"/>
  <c r="D61" i="2"/>
  <c r="B61" i="2"/>
  <c r="F59" i="2"/>
  <c r="F58" i="2"/>
  <c r="F57" i="2"/>
  <c r="C53" i="2"/>
  <c r="D53" i="2"/>
  <c r="B53" i="2"/>
  <c r="F52" i="2"/>
  <c r="F47" i="2"/>
  <c r="F48" i="2"/>
  <c r="F49" i="2"/>
  <c r="F50" i="2"/>
  <c r="F51" i="2"/>
  <c r="F4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26" i="2"/>
  <c r="B42" i="2"/>
  <c r="F22" i="2"/>
  <c r="C23" i="2"/>
  <c r="D23" i="2"/>
  <c r="B23" i="2"/>
  <c r="F21" i="2"/>
  <c r="C17" i="2"/>
  <c r="D17" i="2"/>
  <c r="B17" i="2"/>
  <c r="F15" i="2"/>
  <c r="F14" i="2"/>
  <c r="F13" i="2"/>
  <c r="F12" i="2"/>
  <c r="F11" i="2"/>
  <c r="F10" i="2"/>
  <c r="F9" i="2"/>
  <c r="F8" i="2"/>
  <c r="F7" i="2"/>
  <c r="F6" i="2"/>
  <c r="F5" i="2"/>
  <c r="F4" i="2"/>
  <c r="F16" i="2"/>
  <c r="F69" i="1"/>
  <c r="G15" i="5" s="1"/>
  <c r="G13" i="5"/>
  <c r="F48" i="1"/>
  <c r="F47" i="1"/>
  <c r="C49" i="1"/>
  <c r="D49" i="1"/>
  <c r="B49" i="1"/>
  <c r="F43" i="1"/>
  <c r="F42" i="1"/>
  <c r="C44" i="1"/>
  <c r="D44" i="1"/>
  <c r="B44" i="1"/>
  <c r="F37" i="1"/>
  <c r="F116" i="5"/>
  <c r="F121" i="5"/>
  <c r="F38" i="1"/>
  <c r="F36" i="1"/>
  <c r="C39" i="1"/>
  <c r="D39" i="1"/>
  <c r="B39" i="1"/>
  <c r="F32" i="1"/>
  <c r="F31" i="1"/>
  <c r="C33" i="1"/>
  <c r="D33" i="1"/>
  <c r="B33" i="1"/>
  <c r="F23" i="1"/>
  <c r="F20" i="1"/>
  <c r="F19" i="1"/>
  <c r="C21" i="1"/>
  <c r="B21" i="1"/>
  <c r="F15" i="1"/>
  <c r="F14" i="1"/>
  <c r="C16" i="1"/>
  <c r="B16" i="1"/>
  <c r="C120" i="2" l="1"/>
  <c r="E7" i="7"/>
  <c r="D68" i="5"/>
  <c r="D72" i="5"/>
  <c r="D76" i="5"/>
  <c r="D80" i="5"/>
  <c r="D84" i="5"/>
  <c r="D88" i="5"/>
  <c r="D96" i="5"/>
  <c r="F5" i="7"/>
  <c r="D120" i="2"/>
  <c r="F120" i="2" s="1"/>
  <c r="G32" i="5" s="1"/>
  <c r="F6" i="7"/>
  <c r="B50" i="5"/>
  <c r="D7" i="7"/>
  <c r="D66" i="5"/>
  <c r="D70" i="5"/>
  <c r="D74" i="5"/>
  <c r="D78" i="5"/>
  <c r="D82" i="5"/>
  <c r="D86" i="5"/>
  <c r="D90" i="5"/>
  <c r="D98" i="5"/>
  <c r="G50" i="5"/>
  <c r="F18" i="2"/>
  <c r="G52" i="5"/>
  <c r="D100" i="5"/>
  <c r="D106" i="5"/>
  <c r="D108" i="5"/>
  <c r="D110" i="5"/>
  <c r="D112" i="5"/>
  <c r="D114" i="5"/>
  <c r="B139" i="5"/>
  <c r="F28" i="1"/>
  <c r="G28" i="1" s="1"/>
  <c r="D144" i="5"/>
  <c r="D146" i="5"/>
  <c r="D116" i="5"/>
  <c r="D118" i="5"/>
  <c r="D120" i="5"/>
  <c r="D122" i="5"/>
  <c r="D124" i="5"/>
  <c r="D130" i="5"/>
  <c r="D132" i="5"/>
  <c r="D138" i="5"/>
  <c r="D145" i="5"/>
  <c r="D67" i="5"/>
  <c r="D69" i="5"/>
  <c r="D71" i="5"/>
  <c r="D73" i="5"/>
  <c r="D75" i="5"/>
  <c r="D77" i="5"/>
  <c r="D79" i="5"/>
  <c r="D81" i="5"/>
  <c r="D83" i="5"/>
  <c r="D85" i="5"/>
  <c r="D87" i="5"/>
  <c r="D89" i="5"/>
  <c r="D91" i="5"/>
  <c r="D97" i="5"/>
  <c r="D99" i="5"/>
  <c r="D105" i="5"/>
  <c r="D107" i="5"/>
  <c r="D109" i="5"/>
  <c r="D111" i="5"/>
  <c r="D113" i="5"/>
  <c r="D115" i="5"/>
  <c r="D117" i="5"/>
  <c r="D119" i="5"/>
  <c r="D121" i="5"/>
  <c r="D123" i="5"/>
  <c r="D129" i="5"/>
  <c r="D131" i="5"/>
  <c r="C139" i="5"/>
  <c r="F70" i="5"/>
  <c r="D137" i="5"/>
  <c r="F16" i="1"/>
  <c r="F21" i="1"/>
  <c r="F33" i="1"/>
  <c r="F44" i="1"/>
  <c r="F88" i="2"/>
  <c r="F39" i="1"/>
  <c r="F49" i="1"/>
  <c r="F54" i="2"/>
  <c r="G96" i="5"/>
  <c r="F122" i="5"/>
  <c r="G73" i="5"/>
  <c r="F97" i="2"/>
  <c r="F72" i="2"/>
  <c r="F108" i="5"/>
  <c r="G116" i="5"/>
  <c r="G121" i="5"/>
  <c r="H41" i="5"/>
  <c r="F75" i="5"/>
  <c r="G75" i="5"/>
  <c r="F84" i="5"/>
  <c r="G84" i="5"/>
  <c r="F106" i="5"/>
  <c r="G106" i="5"/>
  <c r="G129" i="5"/>
  <c r="F129" i="5"/>
  <c r="F87" i="5"/>
  <c r="G87" i="5"/>
  <c r="F146" i="5"/>
  <c r="G146" i="5"/>
  <c r="F80" i="5"/>
  <c r="G80" i="5"/>
  <c r="G82" i="5"/>
  <c r="F82" i="5"/>
  <c r="F105" i="5"/>
  <c r="G105" i="5"/>
  <c r="F109" i="5"/>
  <c r="G109" i="5"/>
  <c r="G137" i="5"/>
  <c r="G132" i="5"/>
  <c r="G124" i="5"/>
  <c r="G120" i="5"/>
  <c r="G113" i="5"/>
  <c r="G110" i="5"/>
  <c r="G97" i="5"/>
  <c r="G89" i="5"/>
  <c r="G85" i="5"/>
  <c r="G81" i="5"/>
  <c r="G77" i="5"/>
  <c r="F145" i="5"/>
  <c r="F138" i="5"/>
  <c r="F117" i="5"/>
  <c r="F114" i="5"/>
  <c r="F111" i="5"/>
  <c r="F107" i="5"/>
  <c r="F98" i="5"/>
  <c r="F90" i="5"/>
  <c r="F86" i="5"/>
  <c r="F78" i="5"/>
  <c r="F74" i="5"/>
  <c r="G131" i="5"/>
  <c r="G123" i="5"/>
  <c r="G119" i="5"/>
  <c r="G112" i="5"/>
  <c r="G88" i="5"/>
  <c r="G76" i="5"/>
  <c r="G72" i="5"/>
  <c r="G68" i="5"/>
  <c r="G130" i="5"/>
  <c r="G118" i="5"/>
  <c r="G115" i="5"/>
  <c r="G100" i="5"/>
  <c r="G91" i="5"/>
  <c r="G83" i="5"/>
  <c r="G79" i="5"/>
  <c r="G71" i="5"/>
  <c r="G67" i="5"/>
  <c r="G66" i="5"/>
  <c r="F99" i="5"/>
  <c r="G99" i="5"/>
  <c r="F17" i="2"/>
  <c r="F43" i="2"/>
  <c r="F23" i="2"/>
  <c r="F53" i="2"/>
  <c r="F87" i="2"/>
  <c r="G26" i="5" s="1"/>
  <c r="F106" i="2"/>
  <c r="G28" i="5" s="1"/>
  <c r="F71" i="2"/>
  <c r="G25" i="5" s="1"/>
  <c r="F113" i="2"/>
  <c r="G29" i="5" s="1"/>
  <c r="F42" i="2"/>
  <c r="G22" i="5" s="1"/>
  <c r="F61" i="2"/>
  <c r="G24" i="5" s="1"/>
  <c r="D116" i="2"/>
  <c r="C116" i="2"/>
  <c r="B47" i="5"/>
  <c r="B49" i="5"/>
  <c r="B48" i="5"/>
  <c r="B116" i="2"/>
  <c r="G23" i="2" l="1"/>
  <c r="G21" i="5"/>
  <c r="G97" i="2"/>
  <c r="G27" i="5"/>
  <c r="G33" i="1"/>
  <c r="G9" i="5"/>
  <c r="G17" i="2"/>
  <c r="G20" i="5"/>
  <c r="G16" i="1"/>
  <c r="G7" i="5"/>
  <c r="G49" i="1"/>
  <c r="G12" i="5"/>
  <c r="G39" i="1"/>
  <c r="G10" i="5"/>
  <c r="G53" i="2"/>
  <c r="G23" i="5"/>
  <c r="G44" i="1"/>
  <c r="G21" i="1"/>
  <c r="G8" i="5"/>
  <c r="D139" i="5"/>
  <c r="G102" i="5"/>
  <c r="G126" i="5"/>
  <c r="G101" i="5"/>
  <c r="G69" i="5"/>
  <c r="G70" i="5"/>
  <c r="F73" i="5"/>
  <c r="G93" i="5" s="1"/>
  <c r="G108" i="5"/>
  <c r="G122" i="5"/>
  <c r="G47" i="5"/>
  <c r="G46" i="5"/>
  <c r="G48" i="5"/>
  <c r="G49" i="5"/>
  <c r="G71" i="2"/>
  <c r="G61" i="2"/>
  <c r="G106" i="2"/>
  <c r="G113" i="2"/>
  <c r="F116" i="2"/>
  <c r="G116" i="2" s="1"/>
  <c r="G42" i="2"/>
  <c r="G87" i="2"/>
  <c r="G30" i="5" l="1"/>
  <c r="H31" i="5" s="1"/>
  <c r="B45" i="5"/>
  <c r="G92" i="5"/>
  <c r="G125" i="5"/>
  <c r="F144" i="5"/>
  <c r="G148" i="5" s="1"/>
  <c r="G152" i="5" s="1"/>
  <c r="G144" i="5"/>
  <c r="G147" i="5" s="1"/>
  <c r="G45" i="5" l="1"/>
  <c r="G51" i="5" s="1"/>
  <c r="G151" i="5" s="1"/>
  <c r="F10" i="1"/>
  <c r="C11" i="1"/>
  <c r="B11" i="1"/>
  <c r="F9" i="1"/>
  <c r="F6" i="1"/>
  <c r="F5" i="1"/>
  <c r="G5" i="5" s="1"/>
  <c r="G156" i="5" l="1"/>
  <c r="G154" i="5"/>
  <c r="G157" i="5" s="1"/>
  <c r="F11" i="1"/>
  <c r="G11" i="1" l="1"/>
  <c r="G6" i="5"/>
  <c r="G14" i="5" s="1"/>
  <c r="H15" i="5" s="1"/>
  <c r="G69" i="1"/>
</calcChain>
</file>

<file path=xl/sharedStrings.xml><?xml version="1.0" encoding="utf-8"?>
<sst xmlns="http://schemas.openxmlformats.org/spreadsheetml/2006/main" count="308" uniqueCount="212">
  <si>
    <t>£</t>
  </si>
  <si>
    <t xml:space="preserve">s </t>
  </si>
  <si>
    <t>d</t>
  </si>
  <si>
    <t>Total in £</t>
  </si>
  <si>
    <t>Notes</t>
  </si>
  <si>
    <t>Error</t>
  </si>
  <si>
    <t>Arrears</t>
  </si>
  <si>
    <t>of which delivered to treasurer of Wolvesey</t>
  </si>
  <si>
    <t>Total recorded in accounts</t>
  </si>
  <si>
    <t>Total</t>
  </si>
  <si>
    <t>Quittances</t>
  </si>
  <si>
    <t>Defaults of rent</t>
  </si>
  <si>
    <t>Total of rents remaining</t>
  </si>
  <si>
    <t>Wax</t>
  </si>
  <si>
    <t>Annual recognizances</t>
  </si>
  <si>
    <t>Sale of corn</t>
  </si>
  <si>
    <t>Entry and marriage fines</t>
  </si>
  <si>
    <t>Pleas and perquisites</t>
  </si>
  <si>
    <t>Total of all receipts (sum of above excl. arrears)</t>
  </si>
  <si>
    <t>Total of all receipts (sum of above incl. arrears)</t>
  </si>
  <si>
    <t>not included in receipts</t>
  </si>
  <si>
    <t>Cost of Ploughs</t>
  </si>
  <si>
    <t>Purchase of Corn</t>
  </si>
  <si>
    <t>Cost of Carts and Wagons</t>
  </si>
  <si>
    <t>Cost of Dairy</t>
  </si>
  <si>
    <t>Purchase of Stock</t>
  </si>
  <si>
    <t>Sheepcote</t>
  </si>
  <si>
    <t>Cost of Buildings</t>
  </si>
  <si>
    <t>Threshing</t>
  </si>
  <si>
    <t>Expenses of the Harvest</t>
  </si>
  <si>
    <t>Steward's Expenses</t>
  </si>
  <si>
    <t>Total of all Expenses</t>
  </si>
  <si>
    <t>And thus he owes</t>
  </si>
  <si>
    <t>Delivered to Sir Geoffrey, treasurer of Wolvesey</t>
  </si>
  <si>
    <t>and thus he owes clear</t>
  </si>
  <si>
    <t>Total of all Expenses (calculated)</t>
  </si>
  <si>
    <t>qrs</t>
  </si>
  <si>
    <t>bus</t>
  </si>
  <si>
    <t>Wheat</t>
  </si>
  <si>
    <t>CASH ACCOUNT</t>
  </si>
  <si>
    <t>RECEIPTS</t>
  </si>
  <si>
    <t>Sum of the above (incl. arrears)</t>
  </si>
  <si>
    <t>EXPENSES</t>
  </si>
  <si>
    <t>Sum of the above</t>
  </si>
  <si>
    <t>Total of all expenses</t>
  </si>
  <si>
    <t>Capital Expenses</t>
  </si>
  <si>
    <t>Owed by the reeve</t>
  </si>
  <si>
    <t>From accounts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</si>
  <si>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</si>
  <si>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</si>
  <si>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</si>
  <si>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</si>
  <si>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</si>
  <si>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production (sum of the above)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</si>
  <si>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</si>
  <si>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</si>
  <si>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</si>
  <si>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</si>
  <si>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</si>
  <si>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</si>
  <si>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</si>
  <si>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STOCK ACCOUNT</t>
  </si>
  <si>
    <t>Livestock</t>
  </si>
  <si>
    <t>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</si>
  <si>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</si>
  <si>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</si>
  <si>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</si>
  <si>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</si>
  <si>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</si>
  <si>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</si>
  <si>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</si>
  <si>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</si>
  <si>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</si>
  <si>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</si>
  <si>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</si>
  <si>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</si>
  <si>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</si>
  <si>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</si>
  <si>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</si>
  <si>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</si>
  <si>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</si>
  <si>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</si>
  <si>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</si>
  <si>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</si>
  <si>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</si>
  <si>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</si>
  <si>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</si>
  <si>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</si>
  <si>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</si>
  <si>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Wool</t>
  </si>
  <si>
    <t>Coarse wool</t>
  </si>
  <si>
    <t>Lamb's wool</t>
  </si>
  <si>
    <t>Wool locks</t>
  </si>
  <si>
    <t>Hides</t>
  </si>
  <si>
    <t>Ox hides</t>
  </si>
  <si>
    <t>Bareskins (total)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</si>
  <si>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</si>
  <si>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</si>
  <si>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</si>
  <si>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</si>
  <si>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</si>
  <si>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</si>
  <si>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</si>
  <si>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</si>
  <si>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</si>
  <si>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</si>
  <si>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</si>
  <si>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</si>
  <si>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</si>
  <si>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</si>
  <si>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</si>
  <si>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</si>
  <si>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</si>
  <si>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</si>
  <si>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</si>
  <si>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Inherited stock</t>
  </si>
  <si>
    <t>End-period  stock</t>
  </si>
  <si>
    <t>Sales in (£)</t>
  </si>
  <si>
    <t>Wool sold at shearing</t>
  </si>
  <si>
    <t>Fleeces</t>
  </si>
  <si>
    <t>Woolskins (total)</t>
  </si>
  <si>
    <t>Lambskins</t>
  </si>
  <si>
    <t>Value of production (£) at sales prices</t>
  </si>
  <si>
    <t>Weights</t>
  </si>
  <si>
    <t>Rents of assize</t>
  </si>
  <si>
    <t>n/a</t>
  </si>
  <si>
    <t>Total capital expenses</t>
  </si>
  <si>
    <t>Cash deliveries</t>
  </si>
  <si>
    <t>ASSUMPTIONS</t>
  </si>
  <si>
    <t>Value (in lbs)</t>
  </si>
  <si>
    <t>Lbs</t>
  </si>
  <si>
    <t>Cloves</t>
  </si>
  <si>
    <t>Wey</t>
  </si>
  <si>
    <t>Value (in cloves)</t>
  </si>
  <si>
    <t>Stone</t>
  </si>
  <si>
    <t>Value (in weys)</t>
  </si>
  <si>
    <t>Value (in stone)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</si>
  <si>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</si>
  <si>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</si>
  <si>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</si>
  <si>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</si>
  <si>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</si>
  <si>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</si>
  <si>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</si>
  <si>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</si>
  <si>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</si>
  <si>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</si>
  <si>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Wether bareskins</t>
  </si>
  <si>
    <t>Ram bareskins</t>
  </si>
  <si>
    <t>Ewe bareskins</t>
  </si>
  <si>
    <t>Hogg bareskins</t>
  </si>
  <si>
    <t>Total recorded in the accounts excl. arrears</t>
  </si>
  <si>
    <t>Total recorded in the accounts incl. arrears</t>
  </si>
  <si>
    <t>Total of all receipts in account incl. arrears</t>
  </si>
  <si>
    <t>Total of all receipts in account excl.  arrears</t>
  </si>
  <si>
    <t>Net value of production (sum of the above)</t>
  </si>
  <si>
    <t>Net Production</t>
  </si>
  <si>
    <t>Arrears total</t>
  </si>
  <si>
    <t>Rents of assize total</t>
  </si>
  <si>
    <t>Quittances total</t>
  </si>
  <si>
    <t>Defaults of rent total</t>
  </si>
  <si>
    <t>Issues of the Manor total</t>
  </si>
  <si>
    <t>Sale of corn total</t>
  </si>
  <si>
    <t>Entry and marriage fines total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</si>
  <si>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</si>
  <si>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</si>
  <si>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</si>
  <si>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</si>
  <si>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</si>
  <si>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</si>
  <si>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</si>
  <si>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</si>
  <si>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Expenses of the harvest total</t>
  </si>
  <si>
    <t>Wax total</t>
  </si>
  <si>
    <t>Annual recognizances total</t>
  </si>
  <si>
    <t>Issues of the manor total</t>
  </si>
  <si>
    <t>Steward's expenses total</t>
  </si>
  <si>
    <t>Pleas &amp; perquisites total</t>
  </si>
  <si>
    <t>Net wheat</t>
  </si>
  <si>
    <t>Net curall</t>
  </si>
  <si>
    <t>Net barley</t>
  </si>
  <si>
    <t>Net oats</t>
  </si>
  <si>
    <t>Net peas</t>
  </si>
  <si>
    <t>Net vetches</t>
  </si>
  <si>
    <t>Note: Columns indexed are hardcoded, do not alter number of columns in issues of grange</t>
  </si>
  <si>
    <t>OVERTON BOROUGH RECEIPTS</t>
  </si>
  <si>
    <t>OVERTON BOROUGH</t>
  </si>
  <si>
    <t>OVERTON BOROUGH EXPENSES</t>
  </si>
  <si>
    <t>renst of assize for the year all paid at Michaelmas</t>
  </si>
  <si>
    <t>one reeve for the year</t>
  </si>
  <si>
    <t>default of the house of Gilbert le Pynk</t>
  </si>
  <si>
    <t>from Richard Hayward</t>
  </si>
  <si>
    <t>Selds and stalls (no issue of the manor)</t>
  </si>
  <si>
    <t xml:space="preserve">16 selds hired in the borough </t>
  </si>
  <si>
    <t>32 stalls</t>
  </si>
  <si>
    <t>nothing</t>
  </si>
  <si>
    <t>from William Sueyn</t>
  </si>
  <si>
    <t>from John Wylly</t>
  </si>
  <si>
    <t>from John Capellanus</t>
  </si>
  <si>
    <t>from John Blakeman</t>
  </si>
  <si>
    <t>from those who brewed ale breaking the assize</t>
  </si>
  <si>
    <t>Farm of Freefolk</t>
  </si>
  <si>
    <t>for the farm of Freefolk at Michaelmas</t>
  </si>
  <si>
    <t>in roofing, pointing and mending selds in places</t>
  </si>
  <si>
    <t>collecting sands for the same and mending of the walls</t>
  </si>
  <si>
    <t>in making 1 tumbrel anew and mending the pillory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</si>
  <si>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</si>
  <si>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</si>
  <si>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</si>
  <si>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</si>
  <si>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 xml:space="preserve">no grange </t>
  </si>
  <si>
    <t>no stock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</si>
</sst>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7" fillId="0" borderId="0" xfId="0" applyFont="1"/>
    <xf numFmtId="2" fontId="0" fillId="0" borderId="0" xfId="0" applyNumberFormat="1"/>
    <xf numFmtId="0" fontId="9" fillId="0" borderId="0" xfId="0" applyFont="1"/>
    <xf numFmtId="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4" fillId="4" borderId="0" xfId="0" applyFont="1" applyFill="1"/>
    <xf numFmtId="0" fontId="5" fillId="4" borderId="0" xfId="0" applyFont="1" applyFill="1"/>
    <xf numFmtId="4" fontId="5" fillId="0" borderId="0" xfId="0" applyNumberFormat="1" applyFont="1"/>
    <xf numFmtId="0" fontId="12" fillId="4" borderId="0" xfId="0" applyFont="1" applyFill="1"/>
    <xf numFmtId="0" fontId="12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4" borderId="0" xfId="0" applyNumberFormat="1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1" xfId="0" applyFont="1" applyBorder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9" fillId="0" borderId="0" xfId="0" applyNumberFormat="1" applyFont="1" applyAlignment="1">
      <alignment horizontal="right"/>
    </xf>
    <xf numFmtId="2" fontId="12" fillId="4" borderId="0" xfId="0" applyNumberFormat="1" applyFont="1" applyFill="1"/>
    <xf numFmtId="2" fontId="4" fillId="0" borderId="0" xfId="0" applyNumberFormat="1" applyFont="1" applyAlignment="1">
      <alignment horizontal="right"/>
    </xf>
    <xf numFmtId="0" fontId="4" fillId="3" borderId="0" xfId="0" applyFont="1" applyFill="1" applyAlignment="1">
      <alignment horizontal="right" wrapText="1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2" fontId="4" fillId="3" borderId="0" xfId="0" applyNumberFormat="1" applyFont="1" applyFill="1" applyAlignment="1">
      <alignment wrapText="1"/>
    </xf>
    <xf numFmtId="0" fontId="4" fillId="3" borderId="0" xfId="0" applyFont="1" applyFill="1"/>
    <xf numFmtId="0" fontId="5" fillId="2" borderId="0" xfId="0" applyFont="1" applyFill="1"/>
    <xf numFmtId="2" fontId="5" fillId="2" borderId="0" xfId="0" applyNumberFormat="1" applyFont="1" applyFill="1"/>
    <xf numFmtId="2" fontId="0" fillId="2" borderId="0" xfId="0" applyNumberFormat="1" applyFill="1"/>
    <xf numFmtId="0" fontId="12" fillId="5" borderId="0" xfId="0" applyFont="1" applyFill="1"/>
    <xf numFmtId="0" fontId="5" fillId="5" borderId="0" xfId="0" applyFont="1" applyFill="1"/>
    <xf numFmtId="2" fontId="5" fillId="5" borderId="0" xfId="0" applyNumberFormat="1" applyFont="1" applyFill="1"/>
    <xf numFmtId="2" fontId="5" fillId="6" borderId="0" xfId="0" applyNumberFormat="1" applyFont="1" applyFill="1"/>
    <xf numFmtId="4" fontId="4" fillId="3" borderId="0" xfId="0" applyNumberFormat="1" applyFont="1" applyFill="1" applyAlignment="1">
      <alignment horizontal="right"/>
    </xf>
    <xf numFmtId="2" fontId="4" fillId="3" borderId="0" xfId="0" applyNumberFormat="1" applyFont="1" applyFill="1" applyAlignment="1">
      <alignment horizontal="right"/>
    </xf>
    <xf numFmtId="4" fontId="5" fillId="3" borderId="0" xfId="0" applyNumberFormat="1" applyFont="1" applyFill="1"/>
    <xf numFmtId="0" fontId="12" fillId="5" borderId="2" xfId="0" applyFont="1" applyFill="1" applyBorder="1"/>
    <xf numFmtId="0" fontId="12" fillId="4" borderId="3" xfId="0" applyFont="1" applyFill="1" applyBorder="1"/>
    <xf numFmtId="0" fontId="5" fillId="4" borderId="4" xfId="0" applyFont="1" applyFill="1" applyBorder="1"/>
    <xf numFmtId="2" fontId="0" fillId="4" borderId="5" xfId="0" applyNumberFormat="1" applyFill="1" applyBorder="1"/>
    <xf numFmtId="2" fontId="0" fillId="5" borderId="6" xfId="0" applyNumberFormat="1" applyFill="1" applyBorder="1"/>
    <xf numFmtId="0" fontId="5" fillId="0" borderId="2" xfId="0" applyFont="1" applyBorder="1"/>
    <xf numFmtId="2" fontId="0" fillId="0" borderId="6" xfId="0" applyNumberFormat="1" applyBorder="1"/>
    <xf numFmtId="10" fontId="12" fillId="4" borderId="2" xfId="0" applyNumberFormat="1" applyFont="1" applyFill="1" applyBorder="1"/>
    <xf numFmtId="10" fontId="0" fillId="4" borderId="6" xfId="0" applyNumberFormat="1" applyFill="1" applyBorder="1"/>
    <xf numFmtId="10" fontId="0" fillId="5" borderId="6" xfId="0" applyNumberFormat="1" applyFill="1" applyBorder="1"/>
    <xf numFmtId="10" fontId="12" fillId="5" borderId="7" xfId="0" applyNumberFormat="1" applyFont="1" applyFill="1" applyBorder="1"/>
    <xf numFmtId="0" fontId="5" fillId="5" borderId="8" xfId="0" applyFont="1" applyFill="1" applyBorder="1"/>
    <xf numFmtId="2" fontId="0" fillId="5" borderId="9" xfId="0" applyNumberFormat="1" applyFill="1" applyBorder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wrapText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59"/>
  <sheetViews>
    <sheetView topLeftCell="A129" zoomScale="86" zoomScaleNormal="86" workbookViewId="0">
      <selection activeCell="B149" sqref="B149"/>
    </sheetView>
  </sheetViews>
  <sheetFormatPr baseColWidth="10" defaultRowHeight="16" x14ac:dyDescent="0.2"/>
  <cols>
    <col min="1" max="1" width="78.33203125" bestFit="1" customWidth="1"/>
    <col min="7" max="7" width="17.1640625" style="16" customWidth="1"/>
  </cols>
  <sheetData>
    <row r="1" spans="1:9" ht="19" x14ac:dyDescent="0.25">
      <c r="A1" s="17" t="s">
        <v>186</v>
      </c>
      <c r="B1" s="18" t="s">
        <v>0</v>
      </c>
      <c r="C1" s="19" t="s">
        <v>1</v>
      </c>
      <c r="D1" s="19" t="s">
        <v>2</v>
      </c>
      <c r="E1" s="20"/>
      <c r="F1" s="20"/>
      <c r="G1" s="40" t="s">
        <v>3</v>
      </c>
      <c r="H1" s="21" t="s">
        <v>5</v>
      </c>
    </row>
    <row r="2" spans="1:9" x14ac:dyDescent="0.2">
      <c r="A2" s="10"/>
      <c r="B2" s="10"/>
      <c r="C2" s="10"/>
      <c r="D2" s="10"/>
      <c r="E2" s="10"/>
      <c r="F2" s="10"/>
      <c r="G2" s="28"/>
      <c r="H2" s="2"/>
    </row>
    <row r="3" spans="1:9" x14ac:dyDescent="0.2">
      <c r="A3" s="9" t="s">
        <v>39</v>
      </c>
      <c r="B3" s="10"/>
      <c r="C3" s="10"/>
      <c r="D3" s="10"/>
      <c r="E3" s="10"/>
      <c r="F3" s="10"/>
      <c r="G3" s="28"/>
      <c r="H3" s="2"/>
    </row>
    <row r="4" spans="1:9" x14ac:dyDescent="0.2">
      <c r="A4" s="22" t="s">
        <v>40</v>
      </c>
      <c r="B4" s="23"/>
      <c r="C4" s="23"/>
      <c r="D4" s="23"/>
      <c r="E4" s="23"/>
      <c r="F4" s="23"/>
      <c r="G4" s="54"/>
      <c r="H4" s="2"/>
    </row>
    <row r="5" spans="1:9" x14ac:dyDescent="0.2">
      <c r="A5" s="10" t="s">
        <v>157</v>
      </c>
      <c r="C5" s="10"/>
      <c r="D5" s="10"/>
      <c r="E5" s="10"/>
      <c r="F5" s="10"/>
      <c r="G5" s="45">
        <f>IF(INDEX('Overton Borough Receipts'!$A$4:$F$70,MATCH('Overton Borough Overview'!$A5,'Overton Borough Receipts'!$A$4:$A$70,0),6)=0,"",INDEX('Overton Borough Receipts'!$A$4:$F$70,MATCH('Overton Borough Overview'!$A5,'Overton Borough Receipts'!$A$4:$A$70,0),6))</f>
        <v>2.0604166666666663</v>
      </c>
      <c r="H5" s="2"/>
    </row>
    <row r="6" spans="1:9" x14ac:dyDescent="0.2">
      <c r="A6" s="10" t="s">
        <v>158</v>
      </c>
      <c r="B6" s="10"/>
      <c r="C6" s="10"/>
      <c r="D6" s="10"/>
      <c r="E6" s="10"/>
      <c r="F6" s="10"/>
      <c r="G6" s="45">
        <f>IF(INDEX('Overton Borough Receipts'!$A$4:$F$70,MATCH('Overton Borough Overview'!$A6,'Overton Borough Receipts'!$A$4:$A$70,0),6)=0,"",INDEX('Overton Borough Receipts'!$A$4:$F$70,MATCH('Overton Borough Overview'!$A6,'Overton Borough Receipts'!$A$4:$A$70,0),6))</f>
        <v>8.2145833333333318</v>
      </c>
      <c r="H6" s="2"/>
    </row>
    <row r="7" spans="1:9" x14ac:dyDescent="0.2">
      <c r="A7" s="10" t="s">
        <v>159</v>
      </c>
      <c r="B7" s="10"/>
      <c r="C7" s="10"/>
      <c r="D7" s="10"/>
      <c r="E7" s="10"/>
      <c r="F7" s="10"/>
      <c r="G7" s="45">
        <f>IF(INDEX('Overton Borough Receipts'!$A$4:$F$70,MATCH('Overton Borough Overview'!$A7,'Overton Borough Receipts'!$A$4:$A$70,0),6)=0,"",INDEX('Overton Borough Receipts'!$A$4:$F$70,MATCH('Overton Borough Overview'!$A7,'Overton Borough Receipts'!$A$4:$A$70,0),6))</f>
        <v>0.1</v>
      </c>
      <c r="H7" s="2"/>
    </row>
    <row r="8" spans="1:9" x14ac:dyDescent="0.2">
      <c r="A8" s="10" t="s">
        <v>160</v>
      </c>
      <c r="B8" s="10"/>
      <c r="C8" s="10"/>
      <c r="D8" s="10"/>
      <c r="E8" s="10"/>
      <c r="F8" s="10"/>
      <c r="G8" s="45">
        <f>IF(INDEX('Overton Borough Receipts'!$A$4:$F$70,MATCH('Overton Borough Overview'!$A8,'Overton Borough Receipts'!$A$4:$A$70,0),6)=0,"",INDEX('Overton Borough Receipts'!$A$4:$F$70,MATCH('Overton Borough Overview'!$A8,'Overton Borough Receipts'!$A$4:$A$70,0),6))</f>
        <v>2.5000000000000001E-2</v>
      </c>
      <c r="H8" s="2"/>
    </row>
    <row r="9" spans="1:9" x14ac:dyDescent="0.2">
      <c r="A9" s="10" t="s">
        <v>174</v>
      </c>
      <c r="B9" s="10"/>
      <c r="C9" s="10"/>
      <c r="D9" s="10"/>
      <c r="E9" s="10"/>
      <c r="F9" s="10"/>
      <c r="G9" s="45">
        <f>IF(INDEX('Overton Borough Receipts'!$A$4:$F$70,MATCH('Overton Borough Overview'!$A9,'Overton Borough Receipts'!$A$4:$A$70,0),6)=0,"",INDEX('Overton Borough Receipts'!$A$4:$F$70,MATCH('Overton Borough Overview'!$A9,'Overton Borough Receipts'!$A$4:$A$70,0),6))</f>
        <v>2.5000000000000001E-2</v>
      </c>
      <c r="H9" s="2"/>
    </row>
    <row r="10" spans="1:9" x14ac:dyDescent="0.2">
      <c r="A10" s="10" t="s">
        <v>161</v>
      </c>
      <c r="B10" s="10"/>
      <c r="C10" s="10"/>
      <c r="D10" s="10"/>
      <c r="E10" s="10"/>
      <c r="F10" s="10"/>
      <c r="G10" s="45">
        <f>IF(INDEX('Overton Borough Receipts'!$A$4:$F$70,MATCH('Overton Borough Overview'!$A10,'Overton Borough Receipts'!$A$4:$A$70,0),6)=0,"",INDEX('Overton Borough Receipts'!$A$4:$F$70,MATCH('Overton Borough Overview'!$A10,'Overton Borough Receipts'!$A$4:$A$70,0),6))</f>
        <v>0.8</v>
      </c>
      <c r="H10" s="2"/>
    </row>
    <row r="11" spans="1:9" x14ac:dyDescent="0.2">
      <c r="A11" s="10" t="s">
        <v>162</v>
      </c>
      <c r="B11" s="10"/>
      <c r="C11" s="10"/>
      <c r="D11" s="10"/>
      <c r="E11" s="10"/>
      <c r="F11" s="10"/>
      <c r="G11" s="57">
        <f>'Overton Borough Receipts'!F44</f>
        <v>0</v>
      </c>
      <c r="H11" s="2"/>
    </row>
    <row r="12" spans="1:9" x14ac:dyDescent="0.2">
      <c r="A12" s="10" t="s">
        <v>163</v>
      </c>
      <c r="B12" s="10"/>
      <c r="C12" s="10"/>
      <c r="D12" s="10"/>
      <c r="E12" s="10"/>
      <c r="F12" s="10"/>
      <c r="G12" s="45" t="str">
        <f>IF(INDEX('Overton Borough Receipts'!$A$4:$F$70,MATCH('Overton Borough Overview'!$A12,'Overton Borough Receipts'!$A$4:$A$70,0),6)=0,"",INDEX('Overton Borough Receipts'!$A$4:$F$70,MATCH('Overton Borough Overview'!$A12,'Overton Borough Receipts'!$A$4:$A$70,0),6))</f>
        <v/>
      </c>
      <c r="H12" s="2"/>
    </row>
    <row r="13" spans="1:9" x14ac:dyDescent="0.2">
      <c r="A13" s="10" t="s">
        <v>177</v>
      </c>
      <c r="B13" s="10"/>
      <c r="C13" s="10"/>
      <c r="D13" s="10"/>
      <c r="E13" s="10"/>
      <c r="F13" s="10"/>
      <c r="G13" s="45">
        <f>IF(INDEX('Overton Borough Receipts'!$A$4:$F$70,MATCH('Overton Borough Overview'!$A13,'Overton Borough Receipts'!$A$4:$A$70,0),6)=0,"",INDEX('Overton Borough Receipts'!$A$4:$F$70,MATCH('Overton Borough Overview'!$A13,'Overton Borough Receipts'!$A$4:$A$70,0),6))</f>
        <v>3.2624999999999997</v>
      </c>
      <c r="H13" s="2"/>
    </row>
    <row r="14" spans="1:9" x14ac:dyDescent="0.2">
      <c r="A14" s="25" t="s">
        <v>41</v>
      </c>
      <c r="B14" s="25"/>
      <c r="C14" s="25"/>
      <c r="D14" s="25"/>
      <c r="E14" s="25"/>
      <c r="F14" s="25"/>
      <c r="G14" s="41">
        <f>SUM(G5:G13)-SUM(G7:G8)</f>
        <v>14.362499999999999</v>
      </c>
      <c r="H14" s="2"/>
    </row>
    <row r="15" spans="1:9" x14ac:dyDescent="0.2">
      <c r="A15" s="25" t="s">
        <v>151</v>
      </c>
      <c r="B15" s="25"/>
      <c r="C15" s="25"/>
      <c r="D15" s="25"/>
      <c r="E15" s="25"/>
      <c r="F15" s="25"/>
      <c r="G15" s="41">
        <f>'Overton Borough Receipts'!F69</f>
        <v>12.675000000000001</v>
      </c>
      <c r="H15" s="27">
        <f>G14-G15</f>
        <v>1.6874999999999982</v>
      </c>
      <c r="I15" s="15"/>
    </row>
    <row r="16" spans="1:9" x14ac:dyDescent="0.2">
      <c r="A16" s="25" t="s">
        <v>152</v>
      </c>
      <c r="B16" s="25"/>
      <c r="C16" s="25"/>
      <c r="D16" s="25"/>
      <c r="E16" s="25"/>
      <c r="F16" s="25"/>
      <c r="G16" s="41">
        <f>'Overton Borough Receipts'!F70</f>
        <v>0</v>
      </c>
      <c r="H16" s="27"/>
    </row>
    <row r="17" spans="1:8" x14ac:dyDescent="0.2">
      <c r="A17" s="10"/>
      <c r="B17" s="10"/>
      <c r="C17" s="10"/>
      <c r="D17" s="10"/>
      <c r="E17" s="10"/>
      <c r="F17" s="10"/>
      <c r="G17" s="28"/>
      <c r="H17" s="2"/>
    </row>
    <row r="18" spans="1:8" x14ac:dyDescent="0.2">
      <c r="A18" s="10"/>
      <c r="B18" s="10"/>
      <c r="C18" s="10"/>
      <c r="D18" s="10"/>
      <c r="E18" s="10"/>
      <c r="F18" s="10"/>
      <c r="G18" s="28"/>
      <c r="H18" s="2"/>
    </row>
    <row r="19" spans="1:8" x14ac:dyDescent="0.2">
      <c r="A19" s="22" t="s">
        <v>42</v>
      </c>
      <c r="B19" s="23"/>
      <c r="C19" s="23"/>
      <c r="D19" s="23"/>
      <c r="E19" s="23"/>
      <c r="F19" s="23"/>
      <c r="G19" s="54"/>
      <c r="H19" s="2"/>
    </row>
    <row r="20" spans="1:8" x14ac:dyDescent="0.2">
      <c r="A20" s="10" t="s">
        <v>164</v>
      </c>
      <c r="C20" s="10"/>
      <c r="D20" s="10"/>
      <c r="E20" s="10"/>
      <c r="F20" s="10"/>
      <c r="G20" s="45" t="str">
        <f>IF(INDEX('Overton Borough Expenses'!$A$2:$F$120,MATCH('Overton Borough Overview'!$A20,'Overton Borough Expenses'!$A$2:$A$120,0),6)=0,"",INDEX('Overton Borough Expenses'!$A$2:$F$120,MATCH('Overton Borough Overview'!$A20,'Overton Borough Expenses'!$A$2:$A$120,0),6))</f>
        <v/>
      </c>
      <c r="H20" s="2"/>
    </row>
    <row r="21" spans="1:8" x14ac:dyDescent="0.2">
      <c r="A21" s="10" t="s">
        <v>165</v>
      </c>
      <c r="B21" s="10"/>
      <c r="C21" s="10"/>
      <c r="D21" s="10"/>
      <c r="E21" s="10"/>
      <c r="F21" s="10"/>
      <c r="G21" s="45" t="str">
        <f>IF(INDEX('Overton Borough Expenses'!$A$2:$F$120,MATCH('Overton Borough Overview'!$A21,'Overton Borough Expenses'!$A$2:$A$120,0),6)=0,"",INDEX('Overton Borough Expenses'!$A$2:$F$120,MATCH('Overton Borough Overview'!$A21,'Overton Borough Expenses'!$A$2:$A$120,0),6))</f>
        <v/>
      </c>
      <c r="H21" s="2"/>
    </row>
    <row r="22" spans="1:8" x14ac:dyDescent="0.2">
      <c r="A22" s="10" t="s">
        <v>166</v>
      </c>
      <c r="B22" s="10"/>
      <c r="C22" s="10"/>
      <c r="D22" s="10"/>
      <c r="E22" s="10"/>
      <c r="F22" s="10"/>
      <c r="G22" s="45" t="str">
        <f>IF(INDEX('Overton Borough Expenses'!$A$2:$F$120,MATCH('Overton Borough Overview'!$A22,'Overton Borough Expenses'!$A$2:$A$120,0),6)=0,"",INDEX('Overton Borough Expenses'!$A$2:$F$120,MATCH('Overton Borough Overview'!$A22,'Overton Borough Expenses'!$A$2:$A$120,0),6))</f>
        <v/>
      </c>
      <c r="H22" s="2"/>
    </row>
    <row r="23" spans="1:8" x14ac:dyDescent="0.2">
      <c r="A23" s="10" t="s">
        <v>167</v>
      </c>
      <c r="B23" s="10"/>
      <c r="C23" s="10"/>
      <c r="D23" s="10"/>
      <c r="E23" s="10"/>
      <c r="F23" s="10"/>
      <c r="G23" s="45" t="str">
        <f>IF(INDEX('Overton Borough Expenses'!$A$2:$F$120,MATCH('Overton Borough Overview'!$A23,'Overton Borough Expenses'!$A$2:$A$120,0),6)=0,"",INDEX('Overton Borough Expenses'!$A$2:$F$120,MATCH('Overton Borough Overview'!$A23,'Overton Borough Expenses'!$A$2:$A$120,0),6))</f>
        <v/>
      </c>
      <c r="H23" s="2"/>
    </row>
    <row r="24" spans="1:8" x14ac:dyDescent="0.2">
      <c r="A24" s="10" t="s">
        <v>168</v>
      </c>
      <c r="B24" s="10"/>
      <c r="C24" s="10"/>
      <c r="D24" s="10"/>
      <c r="E24" s="10"/>
      <c r="F24" s="10"/>
      <c r="G24" s="45" t="str">
        <f>IF(INDEX('Overton Borough Expenses'!$A$2:$F$120,MATCH('Overton Borough Overview'!$A24,'Overton Borough Expenses'!$A$2:$A$120,0),6)=0,"",INDEX('Overton Borough Expenses'!$A$2:$F$120,MATCH('Overton Borough Overview'!$A24,'Overton Borough Expenses'!$A$2:$A$120,0),6))</f>
        <v/>
      </c>
      <c r="H24" s="2"/>
    </row>
    <row r="25" spans="1:8" x14ac:dyDescent="0.2">
      <c r="A25" s="10" t="s">
        <v>169</v>
      </c>
      <c r="B25" s="10"/>
      <c r="C25" s="10"/>
      <c r="D25" s="10"/>
      <c r="E25" s="10"/>
      <c r="F25" s="10"/>
      <c r="G25" s="45" t="str">
        <f>IF(INDEX('Overton Borough Expenses'!$A$2:$F$120,MATCH('Overton Borough Overview'!$A25,'Overton Borough Expenses'!$A$2:$A$120,0),6)=0,"",INDEX('Overton Borough Expenses'!$A$2:$F$120,MATCH('Overton Borough Overview'!$A25,'Overton Borough Expenses'!$A$2:$A$120,0),6))</f>
        <v/>
      </c>
      <c r="H25" s="2"/>
    </row>
    <row r="26" spans="1:8" x14ac:dyDescent="0.2">
      <c r="A26" s="10" t="s">
        <v>170</v>
      </c>
      <c r="B26" s="10"/>
      <c r="C26" s="10"/>
      <c r="D26" s="10"/>
      <c r="E26" s="10"/>
      <c r="F26" s="10"/>
      <c r="G26" s="45">
        <f>IF(INDEX('Overton Borough Expenses'!$A$2:$F$120,MATCH('Overton Borough Overview'!$A26,'Overton Borough Expenses'!$A$2:$A$120,0),6)=0,"",INDEX('Overton Borough Expenses'!$A$2:$F$120,MATCH('Overton Borough Overview'!$A26,'Overton Borough Expenses'!$A$2:$A$120,0),6))</f>
        <v>0.25833333333333336</v>
      </c>
      <c r="H26" s="2"/>
    </row>
    <row r="27" spans="1:8" x14ac:dyDescent="0.2">
      <c r="A27" s="10" t="s">
        <v>171</v>
      </c>
      <c r="B27" s="10"/>
      <c r="C27" s="10"/>
      <c r="D27" s="10"/>
      <c r="E27" s="10"/>
      <c r="F27" s="10"/>
      <c r="G27" s="45" t="str">
        <f>IF(INDEX('Overton Borough Expenses'!$A$2:$F$120,MATCH('Overton Borough Overview'!$A27,'Overton Borough Expenses'!$A$2:$A$120,0),6)=0,"",INDEX('Overton Borough Expenses'!$A$2:$F$120,MATCH('Overton Borough Overview'!$A27,'Overton Borough Expenses'!$A$2:$A$120,0),6))</f>
        <v/>
      </c>
      <c r="H27" s="2"/>
    </row>
    <row r="28" spans="1:8" x14ac:dyDescent="0.2">
      <c r="A28" s="10" t="s">
        <v>172</v>
      </c>
      <c r="B28" s="10"/>
      <c r="C28" s="10"/>
      <c r="D28" s="10"/>
      <c r="E28" s="10"/>
      <c r="F28" s="10"/>
      <c r="G28" s="45" t="str">
        <f>IF(INDEX('Overton Borough Expenses'!$A$2:$F$120,MATCH('Overton Borough Overview'!$A28,'Overton Borough Expenses'!$A$2:$A$120,0),6)=0,"",INDEX('Overton Borough Expenses'!$A$2:$F$120,MATCH('Overton Borough Overview'!$A28,'Overton Borough Expenses'!$A$2:$A$120,0),6))</f>
        <v/>
      </c>
      <c r="H28" s="2"/>
    </row>
    <row r="29" spans="1:8" x14ac:dyDescent="0.2">
      <c r="A29" s="10" t="s">
        <v>176</v>
      </c>
      <c r="B29" s="10"/>
      <c r="C29" s="10"/>
      <c r="D29" s="10"/>
      <c r="E29" s="10"/>
      <c r="F29" s="10"/>
      <c r="G29" s="45" t="str">
        <f>IF(INDEX('Overton Borough Expenses'!$A$2:$F$120,MATCH('Overton Borough Overview'!$A29,'Overton Borough Expenses'!$A$2:$A$120,0),6)=0,"",INDEX('Overton Borough Expenses'!$A$2:$F$120,MATCH('Overton Borough Overview'!$A29,'Overton Borough Expenses'!$A$2:$A$120,0),6))</f>
        <v/>
      </c>
      <c r="H29" s="2"/>
    </row>
    <row r="30" spans="1:8" x14ac:dyDescent="0.2">
      <c r="A30" s="25" t="s">
        <v>43</v>
      </c>
      <c r="B30" s="23"/>
      <c r="C30" s="23"/>
      <c r="D30" s="23"/>
      <c r="E30" s="23"/>
      <c r="F30" s="23"/>
      <c r="G30" s="29">
        <f>SUM(G20:G29)</f>
        <v>0.25833333333333336</v>
      </c>
      <c r="H30" s="2"/>
    </row>
    <row r="31" spans="1:8" x14ac:dyDescent="0.2">
      <c r="A31" s="25" t="s">
        <v>44</v>
      </c>
      <c r="B31" s="23"/>
      <c r="C31" s="23"/>
      <c r="D31" s="23"/>
      <c r="E31" s="23"/>
      <c r="F31" s="23"/>
      <c r="G31" s="29">
        <f>'Overton Borough Expenses'!F115</f>
        <v>0</v>
      </c>
      <c r="H31" s="27">
        <f>G30-G31</f>
        <v>0.25833333333333336</v>
      </c>
    </row>
    <row r="32" spans="1:8" x14ac:dyDescent="0.2">
      <c r="A32" s="25" t="s">
        <v>45</v>
      </c>
      <c r="B32" s="23"/>
      <c r="C32" s="23"/>
      <c r="D32" s="23"/>
      <c r="E32" s="23"/>
      <c r="F32" s="23"/>
      <c r="G32" s="29">
        <f>'Overton Borough Expenses'!F120</f>
        <v>0.10416666666666667</v>
      </c>
      <c r="H32" s="2"/>
    </row>
    <row r="33" spans="1:9" x14ac:dyDescent="0.2">
      <c r="A33" s="10"/>
      <c r="B33" s="10"/>
      <c r="C33" s="10"/>
      <c r="D33" s="10"/>
      <c r="E33" s="10"/>
      <c r="F33" s="10"/>
      <c r="G33" s="28"/>
      <c r="H33" s="2"/>
    </row>
    <row r="34" spans="1:9" x14ac:dyDescent="0.2">
      <c r="A34" s="48" t="s">
        <v>46</v>
      </c>
      <c r="B34" s="48"/>
      <c r="C34" s="48"/>
      <c r="D34" s="48"/>
      <c r="E34" s="48"/>
      <c r="F34" s="48"/>
      <c r="G34" s="49"/>
      <c r="H34" s="2"/>
    </row>
    <row r="35" spans="1:9" x14ac:dyDescent="0.2">
      <c r="A35" s="48" t="s">
        <v>47</v>
      </c>
      <c r="B35" s="48"/>
      <c r="C35" s="48"/>
      <c r="D35" s="48"/>
      <c r="E35" s="48"/>
      <c r="F35" s="48"/>
      <c r="G35" s="49"/>
      <c r="H35" s="27"/>
    </row>
    <row r="36" spans="1:9" x14ac:dyDescent="0.2">
      <c r="A36" s="10"/>
      <c r="B36" s="10"/>
      <c r="C36" s="10"/>
      <c r="D36" s="10"/>
      <c r="E36" s="10"/>
      <c r="F36" s="10"/>
      <c r="G36" s="28"/>
      <c r="H36" s="2"/>
    </row>
    <row r="37" spans="1:9" x14ac:dyDescent="0.2">
      <c r="A37" s="48" t="s">
        <v>127</v>
      </c>
      <c r="B37" s="48"/>
      <c r="C37" s="48"/>
      <c r="D37" s="48"/>
      <c r="E37" s="48"/>
      <c r="F37" s="48"/>
      <c r="G37" s="50"/>
      <c r="H37" s="2"/>
    </row>
    <row r="38" spans="1:9" x14ac:dyDescent="0.2">
      <c r="A38" s="51" t="s">
        <v>48</v>
      </c>
      <c r="B38" s="52" t="s">
        <v>125</v>
      </c>
      <c r="C38" s="52"/>
      <c r="D38" s="52"/>
      <c r="E38" s="52"/>
      <c r="F38" s="52"/>
      <c r="G38" s="53"/>
      <c r="H38" s="2"/>
    </row>
    <row r="39" spans="1:9" x14ac:dyDescent="0.2">
      <c r="A39" s="10"/>
      <c r="B39" s="10"/>
      <c r="C39" s="10"/>
      <c r="D39" s="10"/>
      <c r="E39" s="10"/>
      <c r="F39" s="10"/>
      <c r="G39" s="28"/>
      <c r="H39" s="2"/>
    </row>
    <row r="40" spans="1:9" x14ac:dyDescent="0.2">
      <c r="A40" s="48" t="s">
        <v>49</v>
      </c>
      <c r="B40" s="48"/>
      <c r="C40" s="48"/>
      <c r="D40" s="48"/>
      <c r="E40" s="48"/>
      <c r="F40" s="48"/>
      <c r="G40" s="50"/>
      <c r="H40" s="2"/>
    </row>
    <row r="41" spans="1:9" x14ac:dyDescent="0.2">
      <c r="A41" s="48" t="s">
        <v>50</v>
      </c>
      <c r="B41" s="48"/>
      <c r="C41" s="48"/>
      <c r="D41" s="48"/>
      <c r="E41" s="48"/>
      <c r="F41" s="48"/>
      <c r="G41" s="50"/>
      <c r="H41" s="27">
        <f>G40-G41</f>
        <v>0</v>
      </c>
    </row>
    <row r="42" spans="1:9" x14ac:dyDescent="0.2">
      <c r="A42" s="10"/>
      <c r="B42" s="10"/>
      <c r="C42" s="10"/>
      <c r="D42" s="10"/>
      <c r="E42" s="10"/>
      <c r="F42" s="10"/>
      <c r="G42" s="28"/>
      <c r="H42" s="2"/>
    </row>
    <row r="43" spans="1:9" x14ac:dyDescent="0.2">
      <c r="A43" s="22" t="s">
        <v>51</v>
      </c>
      <c r="B43" s="80" t="s">
        <v>156</v>
      </c>
      <c r="C43" s="80"/>
      <c r="D43" s="23"/>
      <c r="E43" s="23"/>
      <c r="F43" s="23"/>
      <c r="G43" s="29"/>
      <c r="H43" s="2"/>
    </row>
    <row r="44" spans="1:9" x14ac:dyDescent="0.2">
      <c r="A44" s="9" t="s">
        <v>52</v>
      </c>
      <c r="B44" s="55" t="s">
        <v>36</v>
      </c>
      <c r="C44" s="13"/>
      <c r="D44" s="10"/>
      <c r="E44" s="10"/>
      <c r="F44" s="10"/>
      <c r="G44" s="56" t="s">
        <v>0</v>
      </c>
      <c r="H44" s="2"/>
      <c r="I44" t="s">
        <v>184</v>
      </c>
    </row>
    <row r="45" spans="1:9" x14ac:dyDescent="0.2">
      <c r="A45" t="s">
        <v>178</v>
      </c>
      <c r="B45" s="45" t="e">
        <f>IF(INDEX('Issues of the Grange'!$A$2:$P$24,MATCH('Overton Borough Overview'!$A45,'Issues of the Grange'!$A$2:$A$24,0),10)=0,"",INDEX('Issues of the Grange'!$A$2:$P$24,MATCH('Overton Borough Overview'!$A45,'Issues of the Grange'!$A$2:$A$24,0),10))</f>
        <v>#N/A</v>
      </c>
      <c r="C45" s="10"/>
      <c r="D45" s="10"/>
      <c r="E45" s="10"/>
      <c r="F45" s="10"/>
      <c r="G45" s="45" t="e">
        <f>IF(INDEX('Issues of the Grange'!$A$2:$P$24,MATCH('Overton Borough Overview'!$A45,'Issues of the Grange'!$A$2:$A$24,0),13)=0,"",INDEX('Issues of the Grange'!$A$2:$P$24,MATCH('Overton Borough Overview'!$A45,'Issues of the Grange'!$A$2:$A$24,0),13))</f>
        <v>#N/A</v>
      </c>
      <c r="H45" s="2"/>
    </row>
    <row r="46" spans="1:9" x14ac:dyDescent="0.2">
      <c r="A46" t="s">
        <v>179</v>
      </c>
      <c r="B46" s="45" t="e">
        <f>IF(INDEX('Issues of the Grange'!$A$2:$P$24,MATCH('Overton Borough Overview'!$A46,'Issues of the Grange'!$A$2:$A$24,0),10)=0,"",INDEX('Issues of the Grange'!$A$2:$P$24,MATCH('Overton Borough Overview'!$A46,'Issues of the Grange'!$A$2:$A$24,0),10))</f>
        <v>#N/A</v>
      </c>
      <c r="C46" s="10"/>
      <c r="D46" s="10"/>
      <c r="E46" s="10"/>
      <c r="F46" s="10"/>
      <c r="G46" s="45" t="e">
        <f>IF(INDEX('Issues of the Grange'!$A$2:$P$24,MATCH('Overton Borough Overview'!$A46,'Issues of the Grange'!$A$2:$A$24,0),13)=0,"",INDEX('Issues of the Grange'!$A$2:$P$24,MATCH('Overton Borough Overview'!$A46,'Issues of the Grange'!$A$2:$A$24,0),13))</f>
        <v>#N/A</v>
      </c>
      <c r="H46" s="2"/>
    </row>
    <row r="47" spans="1:9" x14ac:dyDescent="0.2">
      <c r="A47" t="s">
        <v>180</v>
      </c>
      <c r="B47" s="45" t="e">
        <f>IF(INDEX('Issues of the Grange'!$A$2:$P$24,MATCH('Overton Borough Overview'!$A47,'Issues of the Grange'!$A$2:$A$24,0),10)=0,"",INDEX('Issues of the Grange'!$A$2:$P$24,MATCH('Overton Borough Overview'!$A47,'Issues of the Grange'!$A$2:$A$24,0),10))</f>
        <v>#N/A</v>
      </c>
      <c r="C47" s="10"/>
      <c r="D47" s="10"/>
      <c r="E47" s="10"/>
      <c r="F47" s="10"/>
      <c r="G47" s="45" t="e">
        <f>IF(INDEX('Issues of the Grange'!$A$2:$P$24,MATCH('Overton Borough Overview'!$A47,'Issues of the Grange'!$A$2:$A$24,0),13)=0,"",INDEX('Issues of the Grange'!$A$2:$P$24,MATCH('Overton Borough Overview'!$A47,'Issues of the Grange'!$A$2:$A$24,0),13))</f>
        <v>#N/A</v>
      </c>
      <c r="H47" s="2"/>
    </row>
    <row r="48" spans="1:9" x14ac:dyDescent="0.2">
      <c r="A48" t="s">
        <v>181</v>
      </c>
      <c r="B48" s="45" t="e">
        <f>IF(INDEX('Issues of the Grange'!$A$2:$P$24,MATCH('Overton Borough Overview'!$A48,'Issues of the Grange'!$A$2:$A$24,0),10)=0,"",INDEX('Issues of the Grange'!$A$2:$P$24,MATCH('Overton Borough Overview'!$A48,'Issues of the Grange'!$A$2:$A$24,0),10))</f>
        <v>#N/A</v>
      </c>
      <c r="C48" s="10"/>
      <c r="D48" s="10"/>
      <c r="E48" s="10"/>
      <c r="F48" s="10"/>
      <c r="G48" s="45" t="e">
        <f>IF(INDEX('Issues of the Grange'!$A$2:$P$24,MATCH('Overton Borough Overview'!$A48,'Issues of the Grange'!$A$2:$A$24,0),13)=0,"",INDEX('Issues of the Grange'!$A$2:$P$24,MATCH('Overton Borough Overview'!$A48,'Issues of the Grange'!$A$2:$A$24,0),13))</f>
        <v>#N/A</v>
      </c>
      <c r="H48" s="2"/>
    </row>
    <row r="49" spans="1:8" x14ac:dyDescent="0.2">
      <c r="A49" t="s">
        <v>182</v>
      </c>
      <c r="B49" s="45" t="e">
        <f>IF(INDEX('Issues of the Grange'!$A$2:$P$24,MATCH('Overton Borough Overview'!$A49,'Issues of the Grange'!$A$2:$A$24,0),10)=0,"",INDEX('Issues of the Grange'!$A$2:$P$24,MATCH('Overton Borough Overview'!$A49,'Issues of the Grange'!$A$2:$A$24,0),10))</f>
        <v>#N/A</v>
      </c>
      <c r="C49" s="10"/>
      <c r="D49" s="10"/>
      <c r="E49" s="10"/>
      <c r="F49" s="10"/>
      <c r="G49" s="45" t="e">
        <f>IF(INDEX('Issues of the Grange'!$A$2:$P$24,MATCH('Overton Borough Overview'!$A49,'Issues of the Grange'!$A$2:$A$24,0),13)=0,"",INDEX('Issues of the Grange'!$A$2:$P$24,MATCH('Overton Borough Overview'!$A49,'Issues of the Grange'!$A$2:$A$24,0),13))</f>
        <v>#N/A</v>
      </c>
      <c r="H49" s="2"/>
    </row>
    <row r="50" spans="1:8" x14ac:dyDescent="0.2">
      <c r="A50" t="s">
        <v>183</v>
      </c>
      <c r="B50" s="45" t="e">
        <f>IF(INDEX('Issues of the Grange'!$A$2:$P$24,MATCH('Overton Borough Overview'!$A50,'Issues of the Grange'!$A$2:$A$24,0),10)=0,"",INDEX('Issues of the Grange'!$A$2:$P$24,MATCH('Overton Borough Overview'!$A50,'Issues of the Grange'!$A$2:$A$24,0),10))</f>
        <v>#N/A</v>
      </c>
      <c r="C50" s="10"/>
      <c r="D50" s="10"/>
      <c r="E50" s="10"/>
      <c r="F50" s="10"/>
      <c r="G50" s="45" t="e">
        <f>IF(INDEX('Issues of the Grange'!$A$2:$P$24,MATCH('Overton Borough Overview'!$A50,'Issues of the Grange'!$A$2:$A$24,0),13)=0,"",INDEX('Issues of the Grange'!$A$2:$P$24,MATCH('Overton Borough Overview'!$A50,'Issues of the Grange'!$A$2:$A$24,0),13))</f>
        <v>#N/A</v>
      </c>
      <c r="H50" s="2"/>
    </row>
    <row r="51" spans="1:8" x14ac:dyDescent="0.2">
      <c r="A51" s="25" t="s">
        <v>155</v>
      </c>
      <c r="B51" s="23"/>
      <c r="C51" s="23"/>
      <c r="D51" s="23"/>
      <c r="E51" s="23"/>
      <c r="F51" s="23"/>
      <c r="G51" s="54" t="e">
        <f>SUM(G45:G50)</f>
        <v>#N/A</v>
      </c>
      <c r="H51" s="2"/>
    </row>
    <row r="52" spans="1:8" x14ac:dyDescent="0.2">
      <c r="A52" s="25" t="s">
        <v>54</v>
      </c>
      <c r="B52" s="23"/>
      <c r="C52" s="23"/>
      <c r="D52" s="23"/>
      <c r="E52" s="23"/>
      <c r="F52" s="23"/>
      <c r="G52" s="29">
        <f>'Issues of the Grange'!N24</f>
        <v>0</v>
      </c>
      <c r="H52" s="2"/>
    </row>
    <row r="53" spans="1:8" x14ac:dyDescent="0.2">
      <c r="A53" s="10"/>
      <c r="B53" s="10"/>
      <c r="C53" s="10"/>
      <c r="D53" s="10"/>
      <c r="E53" s="10"/>
      <c r="F53" s="10"/>
      <c r="G53" s="28"/>
      <c r="H53" s="2"/>
    </row>
    <row r="54" spans="1:8" x14ac:dyDescent="0.2">
      <c r="A54" s="22" t="s">
        <v>55</v>
      </c>
      <c r="B54" s="23" t="s">
        <v>125</v>
      </c>
      <c r="C54" s="23"/>
      <c r="D54" s="23"/>
      <c r="E54" s="23"/>
      <c r="F54" s="23"/>
      <c r="G54" s="29"/>
      <c r="H54" s="2"/>
    </row>
    <row r="55" spans="1:8" x14ac:dyDescent="0.2">
      <c r="A55" s="9" t="s">
        <v>56</v>
      </c>
      <c r="B55" s="12" t="s">
        <v>36</v>
      </c>
      <c r="C55" s="13" t="s">
        <v>37</v>
      </c>
      <c r="D55" s="10"/>
      <c r="E55" s="10"/>
      <c r="F55" s="10"/>
      <c r="G55" s="42" t="s">
        <v>0</v>
      </c>
      <c r="H55" s="2"/>
    </row>
    <row r="56" spans="1:8" x14ac:dyDescent="0.2">
      <c r="A56" s="10" t="s">
        <v>38</v>
      </c>
      <c r="B56" s="48"/>
      <c r="C56" s="48"/>
      <c r="D56" s="10"/>
      <c r="E56" s="10"/>
      <c r="F56" s="10"/>
      <c r="G56" s="49"/>
      <c r="H56" s="2"/>
    </row>
    <row r="57" spans="1:8" x14ac:dyDescent="0.2">
      <c r="A57" s="10" t="s">
        <v>57</v>
      </c>
      <c r="B57" s="48"/>
      <c r="C57" s="48"/>
      <c r="D57" s="10"/>
      <c r="E57" s="10"/>
      <c r="F57" s="10"/>
      <c r="G57" s="49"/>
      <c r="H57" s="2"/>
    </row>
    <row r="58" spans="1:8" x14ac:dyDescent="0.2">
      <c r="A58" s="10" t="s">
        <v>58</v>
      </c>
      <c r="B58" s="48"/>
      <c r="C58" s="48"/>
      <c r="D58" s="10"/>
      <c r="E58" s="10"/>
      <c r="F58" s="10"/>
      <c r="G58" s="49"/>
      <c r="H58" s="2"/>
    </row>
    <row r="59" spans="1:8" x14ac:dyDescent="0.2">
      <c r="A59" s="10" t="s">
        <v>59</v>
      </c>
      <c r="B59" s="48"/>
      <c r="C59" s="48"/>
      <c r="D59" s="10"/>
      <c r="E59" s="10"/>
      <c r="F59" s="10"/>
      <c r="G59" s="49"/>
      <c r="H59" s="2"/>
    </row>
    <row r="60" spans="1:8" x14ac:dyDescent="0.2">
      <c r="A60" s="10" t="s">
        <v>60</v>
      </c>
      <c r="B60" s="48"/>
      <c r="C60" s="48"/>
      <c r="D60" s="10"/>
      <c r="E60" s="10"/>
      <c r="F60" s="10"/>
      <c r="G60" s="49"/>
      <c r="H60" s="2"/>
    </row>
    <row r="61" spans="1:8" x14ac:dyDescent="0.2">
      <c r="A61" s="25" t="s">
        <v>53</v>
      </c>
      <c r="B61" s="23"/>
      <c r="C61" s="23"/>
      <c r="D61" s="23"/>
      <c r="E61" s="23"/>
      <c r="F61" s="23"/>
      <c r="G61" s="53"/>
      <c r="H61" s="2"/>
    </row>
    <row r="62" spans="1:8" x14ac:dyDescent="0.2">
      <c r="A62" s="25" t="s">
        <v>54</v>
      </c>
      <c r="B62" s="23"/>
      <c r="C62" s="23"/>
      <c r="D62" s="23"/>
      <c r="E62" s="23"/>
      <c r="F62" s="23"/>
      <c r="G62" s="53">
        <v>0</v>
      </c>
      <c r="H62" s="2"/>
    </row>
    <row r="63" spans="1:8" x14ac:dyDescent="0.2">
      <c r="A63" s="10"/>
      <c r="B63" s="10"/>
      <c r="C63" s="10"/>
      <c r="D63" s="10"/>
      <c r="E63" s="10"/>
      <c r="F63" s="10"/>
      <c r="G63" s="28"/>
      <c r="H63" s="2"/>
    </row>
    <row r="64" spans="1:8" x14ac:dyDescent="0.2">
      <c r="A64" s="22" t="s">
        <v>61</v>
      </c>
      <c r="B64" s="23"/>
      <c r="C64" s="23"/>
      <c r="D64" s="23"/>
      <c r="E64" s="23"/>
      <c r="F64" s="23"/>
      <c r="G64" s="29"/>
      <c r="H64" s="2"/>
    </row>
    <row r="65" spans="1:8" ht="51" x14ac:dyDescent="0.2">
      <c r="A65" s="47" t="s">
        <v>62</v>
      </c>
      <c r="B65" s="43" t="s">
        <v>115</v>
      </c>
      <c r="C65" s="43" t="s">
        <v>116</v>
      </c>
      <c r="D65" s="44" t="s">
        <v>63</v>
      </c>
      <c r="E65" s="45"/>
      <c r="F65" s="46" t="s">
        <v>117</v>
      </c>
      <c r="G65" s="46" t="s">
        <v>122</v>
      </c>
      <c r="H65" s="2"/>
    </row>
    <row r="66" spans="1:8" ht="17" x14ac:dyDescent="0.2">
      <c r="A66" s="30" t="s">
        <v>64</v>
      </c>
      <c r="B66" s="45">
        <f>IFERROR(INDEX(Stock!$A$3:$T$90,MATCH('Overton Borough Overview'!$A66,Stock!$A$3:$A$90,0),MATCH('Overton Borough Overview'!B$65,Stock!$A$3:$T$3,0)),0)</f>
        <v>0</v>
      </c>
      <c r="C66" s="45">
        <f>IFERROR(INDEX(Stock!$A$3:$T$90,MATCH('Overton Borough Overview'!$A66,Stock!$A$3:$A$90,0),MATCH('Overton Borough Overview'!C$65,Stock!$A$3:$T$3,0)),0)</f>
        <v>0</v>
      </c>
      <c r="D66" s="45">
        <f>C66-B66</f>
        <v>0</v>
      </c>
      <c r="E66" s="28"/>
      <c r="F66" s="45">
        <f>IFERROR(INDEX(Stock!$A$3:$T$90,MATCH('Overton Borough Overview'!$A66,Stock!$A$3:$A$90,0),MATCH('Overton Borough Overview'!F$65,Stock!$A$3:$T$3,0)),0)</f>
        <v>0</v>
      </c>
      <c r="G66" s="45">
        <f>IFERROR(INDEX(Stock!$A$3:$T$90,MATCH('Overton Borough Overview'!$A66,Stock!$A$3:$A$90,0),MATCH('Overton Borough Overview'!G$65,Stock!$A$3:$T$3,0)),0)</f>
        <v>0</v>
      </c>
      <c r="H66" s="2"/>
    </row>
    <row r="67" spans="1:8" ht="17" x14ac:dyDescent="0.2">
      <c r="A67" s="30" t="s">
        <v>65</v>
      </c>
      <c r="B67" s="45">
        <f>IFERROR(INDEX(Stock!$A$3:$T$90,MATCH('Overton Borough Overview'!$A67,Stock!$A$3:$A$90,0),MATCH('Overton Borough Overview'!B$65,Stock!$A$3:$T$3,0)),0)</f>
        <v>0</v>
      </c>
      <c r="C67" s="45">
        <f>IFERROR(INDEX(Stock!$A$3:$T$90,MATCH('Overton Borough Overview'!$A67,Stock!$A$3:$A$90,0),MATCH('Overton Borough Overview'!C$65,Stock!$A$3:$T$3,0)),0)</f>
        <v>0</v>
      </c>
      <c r="D67" s="45">
        <f t="shared" ref="D67:D91" si="0">C67-B67</f>
        <v>0</v>
      </c>
      <c r="E67" s="28"/>
      <c r="F67" s="45">
        <f>IFERROR(INDEX(Stock!$A$3:$T$90,MATCH('Overton Borough Overview'!$A67,Stock!$A$3:$A$90,0),MATCH('Overton Borough Overview'!F$65,Stock!$A$3:$T$3,0)),0)</f>
        <v>0</v>
      </c>
      <c r="G67" s="45">
        <f>IFERROR(INDEX(Stock!$A$3:$T$90,MATCH('Overton Borough Overview'!$A67,Stock!$A$3:$A$90,0),MATCH('Overton Borough Overview'!G$65,Stock!$A$3:$T$3,0)),0)</f>
        <v>0</v>
      </c>
      <c r="H67" s="2"/>
    </row>
    <row r="68" spans="1:8" x14ac:dyDescent="0.2">
      <c r="A68" s="10" t="s">
        <v>66</v>
      </c>
      <c r="B68" s="45">
        <f>IFERROR(INDEX(Stock!$A$3:$T$90,MATCH('Overton Borough Overview'!$A68,Stock!$A$3:$A$90,0),MATCH('Overton Borough Overview'!B$65,Stock!$A$3:$T$3,0)),0)</f>
        <v>0</v>
      </c>
      <c r="C68" s="45">
        <f>IFERROR(INDEX(Stock!$A$3:$T$90,MATCH('Overton Borough Overview'!$A68,Stock!$A$3:$A$90,0),MATCH('Overton Borough Overview'!C$65,Stock!$A$3:$T$3,0)),0)</f>
        <v>0</v>
      </c>
      <c r="D68" s="45">
        <f t="shared" si="0"/>
        <v>0</v>
      </c>
      <c r="E68" s="28"/>
      <c r="F68" s="45">
        <f>IFERROR(INDEX(Stock!$A$3:$T$90,MATCH('Overton Borough Overview'!$A68,Stock!$A$3:$A$90,0),MATCH('Overton Borough Overview'!F$65,Stock!$A$3:$T$3,0)),0)</f>
        <v>0</v>
      </c>
      <c r="G68" s="45">
        <f>IFERROR(INDEX(Stock!$A$3:$T$90,MATCH('Overton Borough Overview'!$A68,Stock!$A$3:$A$90,0),MATCH('Overton Borough Overview'!G$65,Stock!$A$3:$T$3,0)),0)</f>
        <v>0</v>
      </c>
      <c r="H68" s="2"/>
    </row>
    <row r="69" spans="1:8" x14ac:dyDescent="0.2">
      <c r="A69" s="10" t="s">
        <v>67</v>
      </c>
      <c r="B69" s="45">
        <f>IFERROR(INDEX(Stock!$A$3:$T$90,MATCH('Overton Borough Overview'!$A69,Stock!$A$3:$A$90,0),MATCH('Overton Borough Overview'!B$65,Stock!$A$3:$T$3,0)),0)</f>
        <v>0</v>
      </c>
      <c r="C69" s="45">
        <f>IFERROR(INDEX(Stock!$A$3:$T$90,MATCH('Overton Borough Overview'!$A69,Stock!$A$3:$A$90,0),MATCH('Overton Borough Overview'!C$65,Stock!$A$3:$T$3,0)),0)</f>
        <v>0</v>
      </c>
      <c r="D69" s="45">
        <f t="shared" si="0"/>
        <v>0</v>
      </c>
      <c r="E69" s="28"/>
      <c r="F69" s="45">
        <f>IFERROR(INDEX(Stock!$A$3:$T$90,MATCH('Overton Borough Overview'!$A69,Stock!$A$3:$A$90,0),MATCH('Overton Borough Overview'!F$65,Stock!$A$3:$T$3,0)),0)</f>
        <v>0</v>
      </c>
      <c r="G69" s="45">
        <f>IFERROR(INDEX(Stock!$A$3:$T$90,MATCH('Overton Borough Overview'!$A69,Stock!$A$3:$A$90,0),MATCH('Overton Borough Overview'!G$65,Stock!$A$3:$T$3,0)),0)</f>
        <v>0</v>
      </c>
      <c r="H69" s="2"/>
    </row>
    <row r="70" spans="1:8" x14ac:dyDescent="0.2">
      <c r="A70" s="10" t="s">
        <v>67</v>
      </c>
      <c r="B70" s="45">
        <f>IFERROR(INDEX(Stock!$A$3:$T$90,MATCH('Overton Borough Overview'!$A70,Stock!$A$3:$A$90,0),MATCH('Overton Borough Overview'!B$65,Stock!$A$3:$T$3,0)),0)</f>
        <v>0</v>
      </c>
      <c r="C70" s="45">
        <f>IFERROR(INDEX(Stock!$A$3:$T$90,MATCH('Overton Borough Overview'!$A70,Stock!$A$3:$A$90,0),MATCH('Overton Borough Overview'!C$65,Stock!$A$3:$T$3,0)),0)</f>
        <v>0</v>
      </c>
      <c r="D70" s="45">
        <f t="shared" si="0"/>
        <v>0</v>
      </c>
      <c r="E70" s="28"/>
      <c r="F70" s="45">
        <f>IFERROR(INDEX(Stock!$A$3:$T$90,MATCH('Overton Borough Overview'!$A70,Stock!$A$3:$A$90,0),MATCH('Overton Borough Overview'!F$65,Stock!$A$3:$T$3,0)),0)</f>
        <v>0</v>
      </c>
      <c r="G70" s="45">
        <f>IFERROR(INDEX(Stock!$A$3:$T$90,MATCH('Overton Borough Overview'!$A70,Stock!$A$3:$A$90,0),MATCH('Overton Borough Overview'!G$65,Stock!$A$3:$T$3,0)),0)</f>
        <v>0</v>
      </c>
      <c r="H70" s="2"/>
    </row>
    <row r="71" spans="1:8" x14ac:dyDescent="0.2">
      <c r="A71" s="10" t="s">
        <v>68</v>
      </c>
      <c r="B71" s="45">
        <f>IFERROR(INDEX(Stock!$A$3:$T$90,MATCH('Overton Borough Overview'!$A71,Stock!$A$3:$A$90,0),MATCH('Overton Borough Overview'!B$65,Stock!$A$3:$T$3,0)),0)</f>
        <v>0</v>
      </c>
      <c r="C71" s="45">
        <f>IFERROR(INDEX(Stock!$A$3:$T$90,MATCH('Overton Borough Overview'!$A71,Stock!$A$3:$A$90,0),MATCH('Overton Borough Overview'!C$65,Stock!$A$3:$T$3,0)),0)</f>
        <v>0</v>
      </c>
      <c r="D71" s="45">
        <f t="shared" si="0"/>
        <v>0</v>
      </c>
      <c r="E71" s="28"/>
      <c r="F71" s="45">
        <f>IFERROR(INDEX(Stock!$A$3:$T$90,MATCH('Overton Borough Overview'!$A71,Stock!$A$3:$A$90,0),MATCH('Overton Borough Overview'!F$65,Stock!$A$3:$T$3,0)),0)</f>
        <v>0</v>
      </c>
      <c r="G71" s="45">
        <f>IFERROR(INDEX(Stock!$A$3:$T$90,MATCH('Overton Borough Overview'!$A71,Stock!$A$3:$A$90,0),MATCH('Overton Borough Overview'!G$65,Stock!$A$3:$T$3,0)),0)</f>
        <v>0</v>
      </c>
      <c r="H71" s="2"/>
    </row>
    <row r="72" spans="1:8" x14ac:dyDescent="0.2">
      <c r="A72" s="10" t="s">
        <v>69</v>
      </c>
      <c r="B72" s="45">
        <f>IFERROR(INDEX(Stock!$A$3:$T$90,MATCH('Overton Borough Overview'!$A72,Stock!$A$3:$A$90,0),MATCH('Overton Borough Overview'!B$65,Stock!$A$3:$T$3,0)),0)</f>
        <v>0</v>
      </c>
      <c r="C72" s="45">
        <f>IFERROR(INDEX(Stock!$A$3:$T$90,MATCH('Overton Borough Overview'!$A72,Stock!$A$3:$A$90,0),MATCH('Overton Borough Overview'!C$65,Stock!$A$3:$T$3,0)),0)</f>
        <v>0</v>
      </c>
      <c r="D72" s="45">
        <f t="shared" si="0"/>
        <v>0</v>
      </c>
      <c r="E72" s="28"/>
      <c r="F72" s="45">
        <f>IFERROR(INDEX(Stock!$A$3:$T$90,MATCH('Overton Borough Overview'!$A72,Stock!$A$3:$A$90,0),MATCH('Overton Borough Overview'!F$65,Stock!$A$3:$T$3,0)),0)</f>
        <v>0</v>
      </c>
      <c r="G72" s="45">
        <f>IFERROR(INDEX(Stock!$A$3:$T$90,MATCH('Overton Borough Overview'!$A72,Stock!$A$3:$A$90,0),MATCH('Overton Borough Overview'!G$65,Stock!$A$3:$T$3,0)),0)</f>
        <v>0</v>
      </c>
      <c r="H72" s="2"/>
    </row>
    <row r="73" spans="1:8" x14ac:dyDescent="0.2">
      <c r="A73" s="10" t="s">
        <v>70</v>
      </c>
      <c r="B73" s="45">
        <f>IFERROR(INDEX(Stock!$A$3:$T$90,MATCH('Overton Borough Overview'!$A73,Stock!$A$3:$A$90,0),MATCH('Overton Borough Overview'!B$65,Stock!$A$3:$T$3,0)),0)</f>
        <v>0</v>
      </c>
      <c r="C73" s="45">
        <f>IFERROR(INDEX(Stock!$A$3:$T$90,MATCH('Overton Borough Overview'!$A73,Stock!$A$3:$A$90,0),MATCH('Overton Borough Overview'!C$65,Stock!$A$3:$T$3,0)),0)</f>
        <v>0</v>
      </c>
      <c r="D73" s="45">
        <f t="shared" si="0"/>
        <v>0</v>
      </c>
      <c r="E73" s="28"/>
      <c r="F73" s="45">
        <f>IFERROR(INDEX(Stock!$A$3:$T$90,MATCH('Overton Borough Overview'!$A73,Stock!$A$3:$A$90,0),MATCH('Overton Borough Overview'!F$65,Stock!$A$3:$T$3,0)),0)</f>
        <v>0</v>
      </c>
      <c r="G73" s="45">
        <f>IFERROR(INDEX(Stock!$A$3:$T$90,MATCH('Overton Borough Overview'!$A73,Stock!$A$3:$A$90,0),MATCH('Overton Borough Overview'!G$65,Stock!$A$3:$T$3,0)),0)</f>
        <v>0</v>
      </c>
      <c r="H73" s="2"/>
    </row>
    <row r="74" spans="1:8" x14ac:dyDescent="0.2">
      <c r="A74" s="10" t="s">
        <v>71</v>
      </c>
      <c r="B74" s="45">
        <f>IFERROR(INDEX(Stock!$A$3:$T$90,MATCH('Overton Borough Overview'!$A74,Stock!$A$3:$A$90,0),MATCH('Overton Borough Overview'!B$65,Stock!$A$3:$T$3,0)),0)</f>
        <v>0</v>
      </c>
      <c r="C74" s="45">
        <f>IFERROR(INDEX(Stock!$A$3:$T$90,MATCH('Overton Borough Overview'!$A74,Stock!$A$3:$A$90,0),MATCH('Overton Borough Overview'!C$65,Stock!$A$3:$T$3,0)),0)</f>
        <v>0</v>
      </c>
      <c r="D74" s="45">
        <f t="shared" si="0"/>
        <v>0</v>
      </c>
      <c r="E74" s="28"/>
      <c r="F74" s="45">
        <f>IFERROR(INDEX(Stock!$A$3:$T$90,MATCH('Overton Borough Overview'!$A74,Stock!$A$3:$A$90,0),MATCH('Overton Borough Overview'!F$65,Stock!$A$3:$T$3,0)),0)</f>
        <v>0</v>
      </c>
      <c r="G74" s="45">
        <f>IFERROR(INDEX(Stock!$A$3:$T$90,MATCH('Overton Borough Overview'!$A74,Stock!$A$3:$A$90,0),MATCH('Overton Borough Overview'!G$65,Stock!$A$3:$T$3,0)),0)</f>
        <v>0</v>
      </c>
      <c r="H74" s="2"/>
    </row>
    <row r="75" spans="1:8" x14ac:dyDescent="0.2">
      <c r="A75" s="10" t="s">
        <v>72</v>
      </c>
      <c r="B75" s="45">
        <f>IFERROR(INDEX(Stock!$A$3:$T$90,MATCH('Overton Borough Overview'!$A75,Stock!$A$3:$A$90,0),MATCH('Overton Borough Overview'!B$65,Stock!$A$3:$T$3,0)),0)</f>
        <v>0</v>
      </c>
      <c r="C75" s="45">
        <f>IFERROR(INDEX(Stock!$A$3:$T$90,MATCH('Overton Borough Overview'!$A75,Stock!$A$3:$A$90,0),MATCH('Overton Borough Overview'!C$65,Stock!$A$3:$T$3,0)),0)</f>
        <v>0</v>
      </c>
      <c r="D75" s="45">
        <f t="shared" si="0"/>
        <v>0</v>
      </c>
      <c r="E75" s="28"/>
      <c r="F75" s="45">
        <f>IFERROR(INDEX(Stock!$A$3:$T$90,MATCH('Overton Borough Overview'!$A75,Stock!$A$3:$A$90,0),MATCH('Overton Borough Overview'!F$65,Stock!$A$3:$T$3,0)),0)</f>
        <v>0</v>
      </c>
      <c r="G75" s="45">
        <f>IFERROR(INDEX(Stock!$A$3:$T$90,MATCH('Overton Borough Overview'!$A75,Stock!$A$3:$A$90,0),MATCH('Overton Borough Overview'!G$65,Stock!$A$3:$T$3,0)),0)</f>
        <v>0</v>
      </c>
      <c r="H75" s="2"/>
    </row>
    <row r="76" spans="1:8" x14ac:dyDescent="0.2">
      <c r="A76" s="10" t="s">
        <v>73</v>
      </c>
      <c r="B76" s="45">
        <f>IFERROR(INDEX(Stock!$A$3:$T$90,MATCH('Overton Borough Overview'!$A76,Stock!$A$3:$A$90,0),MATCH('Overton Borough Overview'!B$65,Stock!$A$3:$T$3,0)),0)</f>
        <v>0</v>
      </c>
      <c r="C76" s="45">
        <f>IFERROR(INDEX(Stock!$A$3:$T$90,MATCH('Overton Borough Overview'!$A76,Stock!$A$3:$A$90,0),MATCH('Overton Borough Overview'!C$65,Stock!$A$3:$T$3,0)),0)</f>
        <v>0</v>
      </c>
      <c r="D76" s="45">
        <f t="shared" si="0"/>
        <v>0</v>
      </c>
      <c r="E76" s="28"/>
      <c r="F76" s="45">
        <f>IFERROR(INDEX(Stock!$A$3:$T$90,MATCH('Overton Borough Overview'!$A76,Stock!$A$3:$A$90,0),MATCH('Overton Borough Overview'!F$65,Stock!$A$3:$T$3,0)),0)</f>
        <v>0</v>
      </c>
      <c r="G76" s="45">
        <f>IFERROR(INDEX(Stock!$A$3:$T$90,MATCH('Overton Borough Overview'!$A76,Stock!$A$3:$A$90,0),MATCH('Overton Borough Overview'!G$65,Stock!$A$3:$T$3,0)),0)</f>
        <v>0</v>
      </c>
      <c r="H76" s="2"/>
    </row>
    <row r="77" spans="1:8" x14ac:dyDescent="0.2">
      <c r="A77" s="10" t="s">
        <v>74</v>
      </c>
      <c r="B77" s="45">
        <f>IFERROR(INDEX(Stock!$A$3:$T$90,MATCH('Overton Borough Overview'!$A77,Stock!$A$3:$A$90,0),MATCH('Overton Borough Overview'!B$65,Stock!$A$3:$T$3,0)),0)</f>
        <v>0</v>
      </c>
      <c r="C77" s="45">
        <f>IFERROR(INDEX(Stock!$A$3:$T$90,MATCH('Overton Borough Overview'!$A77,Stock!$A$3:$A$90,0),MATCH('Overton Borough Overview'!C$65,Stock!$A$3:$T$3,0)),0)</f>
        <v>0</v>
      </c>
      <c r="D77" s="45">
        <f t="shared" si="0"/>
        <v>0</v>
      </c>
      <c r="E77" s="28"/>
      <c r="F77" s="45">
        <f>IFERROR(INDEX(Stock!$A$3:$T$90,MATCH('Overton Borough Overview'!$A77,Stock!$A$3:$A$90,0),MATCH('Overton Borough Overview'!F$65,Stock!$A$3:$T$3,0)),0)</f>
        <v>0</v>
      </c>
      <c r="G77" s="45">
        <f>IFERROR(INDEX(Stock!$A$3:$T$90,MATCH('Overton Borough Overview'!$A77,Stock!$A$3:$A$90,0),MATCH('Overton Borough Overview'!G$65,Stock!$A$3:$T$3,0)),0)</f>
        <v>0</v>
      </c>
      <c r="H77" s="2"/>
    </row>
    <row r="78" spans="1:8" x14ac:dyDescent="0.2">
      <c r="A78" s="10" t="s">
        <v>75</v>
      </c>
      <c r="B78" s="45">
        <f>IFERROR(INDEX(Stock!$A$3:$T$90,MATCH('Overton Borough Overview'!$A78,Stock!$A$3:$A$90,0),MATCH('Overton Borough Overview'!B$65,Stock!$A$3:$T$3,0)),0)</f>
        <v>0</v>
      </c>
      <c r="C78" s="45">
        <f>IFERROR(INDEX(Stock!$A$3:$T$90,MATCH('Overton Borough Overview'!$A78,Stock!$A$3:$A$90,0),MATCH('Overton Borough Overview'!C$65,Stock!$A$3:$T$3,0)),0)</f>
        <v>0</v>
      </c>
      <c r="D78" s="45">
        <f t="shared" si="0"/>
        <v>0</v>
      </c>
      <c r="E78" s="28"/>
      <c r="F78" s="45">
        <f>IFERROR(INDEX(Stock!$A$3:$T$90,MATCH('Overton Borough Overview'!$A78,Stock!$A$3:$A$90,0),MATCH('Overton Borough Overview'!F$65,Stock!$A$3:$T$3,0)),0)</f>
        <v>0</v>
      </c>
      <c r="G78" s="45">
        <f>IFERROR(INDEX(Stock!$A$3:$T$90,MATCH('Overton Borough Overview'!$A78,Stock!$A$3:$A$90,0),MATCH('Overton Borough Overview'!G$65,Stock!$A$3:$T$3,0)),0)</f>
        <v>0</v>
      </c>
      <c r="H78" s="2"/>
    </row>
    <row r="79" spans="1:8" x14ac:dyDescent="0.2">
      <c r="A79" s="10" t="s">
        <v>76</v>
      </c>
      <c r="B79" s="45">
        <f>IFERROR(INDEX(Stock!$A$3:$T$90,MATCH('Overton Borough Overview'!$A79,Stock!$A$3:$A$90,0),MATCH('Overton Borough Overview'!B$65,Stock!$A$3:$T$3,0)),0)</f>
        <v>0</v>
      </c>
      <c r="C79" s="45">
        <f>IFERROR(INDEX(Stock!$A$3:$T$90,MATCH('Overton Borough Overview'!$A79,Stock!$A$3:$A$90,0),MATCH('Overton Borough Overview'!C$65,Stock!$A$3:$T$3,0)),0)</f>
        <v>0</v>
      </c>
      <c r="D79" s="45">
        <f t="shared" si="0"/>
        <v>0</v>
      </c>
      <c r="E79" s="28"/>
      <c r="F79" s="45">
        <f>IFERROR(INDEX(Stock!$A$3:$T$90,MATCH('Overton Borough Overview'!$A79,Stock!$A$3:$A$90,0),MATCH('Overton Borough Overview'!F$65,Stock!$A$3:$T$3,0)),0)</f>
        <v>0</v>
      </c>
      <c r="G79" s="45">
        <f>IFERROR(INDEX(Stock!$A$3:$T$90,MATCH('Overton Borough Overview'!$A79,Stock!$A$3:$A$90,0),MATCH('Overton Borough Overview'!G$65,Stock!$A$3:$T$3,0)),0)</f>
        <v>0</v>
      </c>
      <c r="H79" s="2"/>
    </row>
    <row r="80" spans="1:8" x14ac:dyDescent="0.2">
      <c r="A80" s="10" t="s">
        <v>77</v>
      </c>
      <c r="B80" s="45">
        <f>IFERROR(INDEX(Stock!$A$3:$T$90,MATCH('Overton Borough Overview'!$A80,Stock!$A$3:$A$90,0),MATCH('Overton Borough Overview'!B$65,Stock!$A$3:$T$3,0)),0)</f>
        <v>0</v>
      </c>
      <c r="C80" s="45">
        <f>IFERROR(INDEX(Stock!$A$3:$T$90,MATCH('Overton Borough Overview'!$A80,Stock!$A$3:$A$90,0),MATCH('Overton Borough Overview'!C$65,Stock!$A$3:$T$3,0)),0)</f>
        <v>0</v>
      </c>
      <c r="D80" s="45">
        <f t="shared" si="0"/>
        <v>0</v>
      </c>
      <c r="E80" s="28"/>
      <c r="F80" s="45">
        <f>IFERROR(INDEX(Stock!$A$3:$T$90,MATCH('Overton Borough Overview'!$A80,Stock!$A$3:$A$90,0),MATCH('Overton Borough Overview'!F$65,Stock!$A$3:$T$3,0)),0)</f>
        <v>0</v>
      </c>
      <c r="G80" s="45">
        <f>IFERROR(INDEX(Stock!$A$3:$T$90,MATCH('Overton Borough Overview'!$A80,Stock!$A$3:$A$90,0),MATCH('Overton Borough Overview'!G$65,Stock!$A$3:$T$3,0)),0)</f>
        <v>0</v>
      </c>
      <c r="H80" s="2"/>
    </row>
    <row r="81" spans="1:8" x14ac:dyDescent="0.2">
      <c r="A81" s="10" t="s">
        <v>78</v>
      </c>
      <c r="B81" s="45">
        <f>IFERROR(INDEX(Stock!$A$3:$T$90,MATCH('Overton Borough Overview'!$A81,Stock!$A$3:$A$90,0),MATCH('Overton Borough Overview'!B$65,Stock!$A$3:$T$3,0)),0)</f>
        <v>0</v>
      </c>
      <c r="C81" s="45">
        <f>IFERROR(INDEX(Stock!$A$3:$T$90,MATCH('Overton Borough Overview'!$A81,Stock!$A$3:$A$90,0),MATCH('Overton Borough Overview'!C$65,Stock!$A$3:$T$3,0)),0)</f>
        <v>0</v>
      </c>
      <c r="D81" s="45">
        <f t="shared" si="0"/>
        <v>0</v>
      </c>
      <c r="E81" s="28"/>
      <c r="F81" s="45">
        <f>IFERROR(INDEX(Stock!$A$3:$T$90,MATCH('Overton Borough Overview'!$A81,Stock!$A$3:$A$90,0),MATCH('Overton Borough Overview'!F$65,Stock!$A$3:$T$3,0)),0)</f>
        <v>0</v>
      </c>
      <c r="G81" s="45">
        <f>IFERROR(INDEX(Stock!$A$3:$T$90,MATCH('Overton Borough Overview'!$A81,Stock!$A$3:$A$90,0),MATCH('Overton Borough Overview'!G$65,Stock!$A$3:$T$3,0)),0)</f>
        <v>0</v>
      </c>
      <c r="H81" s="2"/>
    </row>
    <row r="82" spans="1:8" x14ac:dyDescent="0.2">
      <c r="A82" s="10" t="s">
        <v>79</v>
      </c>
      <c r="B82" s="45">
        <f>IFERROR(INDEX(Stock!$A$3:$T$90,MATCH('Overton Borough Overview'!$A82,Stock!$A$3:$A$90,0),MATCH('Overton Borough Overview'!B$65,Stock!$A$3:$T$3,0)),0)</f>
        <v>0</v>
      </c>
      <c r="C82" s="45">
        <f>IFERROR(INDEX(Stock!$A$3:$T$90,MATCH('Overton Borough Overview'!$A82,Stock!$A$3:$A$90,0),MATCH('Overton Borough Overview'!C$65,Stock!$A$3:$T$3,0)),0)</f>
        <v>0</v>
      </c>
      <c r="D82" s="45">
        <f t="shared" si="0"/>
        <v>0</v>
      </c>
      <c r="E82" s="28"/>
      <c r="F82" s="45">
        <f>IFERROR(INDEX(Stock!$A$3:$T$90,MATCH('Overton Borough Overview'!$A82,Stock!$A$3:$A$90,0),MATCH('Overton Borough Overview'!F$65,Stock!$A$3:$T$3,0)),0)</f>
        <v>0</v>
      </c>
      <c r="G82" s="45">
        <f>IFERROR(INDEX(Stock!$A$3:$T$90,MATCH('Overton Borough Overview'!$A82,Stock!$A$3:$A$90,0),MATCH('Overton Borough Overview'!G$65,Stock!$A$3:$T$3,0)),0)</f>
        <v>0</v>
      </c>
      <c r="H82" s="2"/>
    </row>
    <row r="83" spans="1:8" x14ac:dyDescent="0.2">
      <c r="A83" s="10" t="s">
        <v>80</v>
      </c>
      <c r="B83" s="45">
        <f>IFERROR(INDEX(Stock!$A$3:$T$90,MATCH('Overton Borough Overview'!$A83,Stock!$A$3:$A$90,0),MATCH('Overton Borough Overview'!B$65,Stock!$A$3:$T$3,0)),0)</f>
        <v>0</v>
      </c>
      <c r="C83" s="45">
        <f>IFERROR(INDEX(Stock!$A$3:$T$90,MATCH('Overton Borough Overview'!$A83,Stock!$A$3:$A$90,0),MATCH('Overton Borough Overview'!C$65,Stock!$A$3:$T$3,0)),0)</f>
        <v>0</v>
      </c>
      <c r="D83" s="45">
        <f t="shared" si="0"/>
        <v>0</v>
      </c>
      <c r="E83" s="28"/>
      <c r="F83" s="45">
        <f>IFERROR(INDEX(Stock!$A$3:$T$90,MATCH('Overton Borough Overview'!$A83,Stock!$A$3:$A$90,0),MATCH('Overton Borough Overview'!F$65,Stock!$A$3:$T$3,0)),0)</f>
        <v>0</v>
      </c>
      <c r="G83" s="45">
        <f>IFERROR(INDEX(Stock!$A$3:$T$90,MATCH('Overton Borough Overview'!$A83,Stock!$A$3:$A$90,0),MATCH('Overton Borough Overview'!G$65,Stock!$A$3:$T$3,0)),0)</f>
        <v>0</v>
      </c>
      <c r="H83" s="2"/>
    </row>
    <row r="84" spans="1:8" x14ac:dyDescent="0.2">
      <c r="A84" s="10" t="s">
        <v>81</v>
      </c>
      <c r="B84" s="45">
        <f>IFERROR(INDEX(Stock!$A$3:$T$90,MATCH('Overton Borough Overview'!$A84,Stock!$A$3:$A$90,0),MATCH('Overton Borough Overview'!B$65,Stock!$A$3:$T$3,0)),0)</f>
        <v>0</v>
      </c>
      <c r="C84" s="45">
        <f>IFERROR(INDEX(Stock!$A$3:$T$90,MATCH('Overton Borough Overview'!$A84,Stock!$A$3:$A$90,0),MATCH('Overton Borough Overview'!C$65,Stock!$A$3:$T$3,0)),0)</f>
        <v>0</v>
      </c>
      <c r="D84" s="45">
        <f t="shared" si="0"/>
        <v>0</v>
      </c>
      <c r="E84" s="28"/>
      <c r="F84" s="45">
        <f>IFERROR(INDEX(Stock!$A$3:$T$90,MATCH('Overton Borough Overview'!$A84,Stock!$A$3:$A$90,0),MATCH('Overton Borough Overview'!F$65,Stock!$A$3:$T$3,0)),0)</f>
        <v>0</v>
      </c>
      <c r="G84" s="45">
        <f>IFERROR(INDEX(Stock!$A$3:$T$90,MATCH('Overton Borough Overview'!$A84,Stock!$A$3:$A$90,0),MATCH('Overton Borough Overview'!G$65,Stock!$A$3:$T$3,0)),0)</f>
        <v>0</v>
      </c>
      <c r="H84" s="2"/>
    </row>
    <row r="85" spans="1:8" x14ac:dyDescent="0.2">
      <c r="A85" s="10" t="s">
        <v>82</v>
      </c>
      <c r="B85" s="45">
        <f>IFERROR(INDEX(Stock!$A$3:$T$90,MATCH('Overton Borough Overview'!$A85,Stock!$A$3:$A$90,0),MATCH('Overton Borough Overview'!B$65,Stock!$A$3:$T$3,0)),0)</f>
        <v>0</v>
      </c>
      <c r="C85" s="45">
        <f>IFERROR(INDEX(Stock!$A$3:$T$90,MATCH('Overton Borough Overview'!$A85,Stock!$A$3:$A$90,0),MATCH('Overton Borough Overview'!C$65,Stock!$A$3:$T$3,0)),0)</f>
        <v>0</v>
      </c>
      <c r="D85" s="45">
        <f t="shared" si="0"/>
        <v>0</v>
      </c>
      <c r="E85" s="28"/>
      <c r="F85" s="45">
        <f>IFERROR(INDEX(Stock!$A$3:$T$90,MATCH('Overton Borough Overview'!$A85,Stock!$A$3:$A$90,0),MATCH('Overton Borough Overview'!F$65,Stock!$A$3:$T$3,0)),0)</f>
        <v>0</v>
      </c>
      <c r="G85" s="45">
        <f>IFERROR(INDEX(Stock!$A$3:$T$90,MATCH('Overton Borough Overview'!$A85,Stock!$A$3:$A$90,0),MATCH('Overton Borough Overview'!G$65,Stock!$A$3:$T$3,0)),0)</f>
        <v>0</v>
      </c>
      <c r="H85" s="2"/>
    </row>
    <row r="86" spans="1:8" x14ac:dyDescent="0.2">
      <c r="A86" s="10" t="s">
        <v>83</v>
      </c>
      <c r="B86" s="45">
        <f>IFERROR(INDEX(Stock!$A$3:$T$90,MATCH('Overton Borough Overview'!$A86,Stock!$A$3:$A$90,0),MATCH('Overton Borough Overview'!B$65,Stock!$A$3:$T$3,0)),0)</f>
        <v>0</v>
      </c>
      <c r="C86" s="45">
        <f>IFERROR(INDEX(Stock!$A$3:$T$90,MATCH('Overton Borough Overview'!$A86,Stock!$A$3:$A$90,0),MATCH('Overton Borough Overview'!C$65,Stock!$A$3:$T$3,0)),0)</f>
        <v>0</v>
      </c>
      <c r="D86" s="45">
        <f t="shared" si="0"/>
        <v>0</v>
      </c>
      <c r="E86" s="28"/>
      <c r="F86" s="45">
        <f>IFERROR(INDEX(Stock!$A$3:$T$90,MATCH('Overton Borough Overview'!$A86,Stock!$A$3:$A$90,0),MATCH('Overton Borough Overview'!F$65,Stock!$A$3:$T$3,0)),0)</f>
        <v>0</v>
      </c>
      <c r="G86" s="45">
        <f>IFERROR(INDEX(Stock!$A$3:$T$90,MATCH('Overton Borough Overview'!$A86,Stock!$A$3:$A$90,0),MATCH('Overton Borough Overview'!G$65,Stock!$A$3:$T$3,0)),0)</f>
        <v>0</v>
      </c>
      <c r="H86" s="2"/>
    </row>
    <row r="87" spans="1:8" x14ac:dyDescent="0.2">
      <c r="A87" s="10" t="s">
        <v>84</v>
      </c>
      <c r="B87" s="45">
        <f>IFERROR(INDEX(Stock!$A$3:$T$90,MATCH('Overton Borough Overview'!$A87,Stock!$A$3:$A$90,0),MATCH('Overton Borough Overview'!B$65,Stock!$A$3:$T$3,0)),0)</f>
        <v>0</v>
      </c>
      <c r="C87" s="45">
        <f>IFERROR(INDEX(Stock!$A$3:$T$90,MATCH('Overton Borough Overview'!$A87,Stock!$A$3:$A$90,0),MATCH('Overton Borough Overview'!C$65,Stock!$A$3:$T$3,0)),0)</f>
        <v>0</v>
      </c>
      <c r="D87" s="45">
        <f t="shared" si="0"/>
        <v>0</v>
      </c>
      <c r="E87" s="28"/>
      <c r="F87" s="45">
        <f>IFERROR(INDEX(Stock!$A$3:$T$90,MATCH('Overton Borough Overview'!$A87,Stock!$A$3:$A$90,0),MATCH('Overton Borough Overview'!F$65,Stock!$A$3:$T$3,0)),0)</f>
        <v>0</v>
      </c>
      <c r="G87" s="45">
        <f>IFERROR(INDEX(Stock!$A$3:$T$90,MATCH('Overton Borough Overview'!$A87,Stock!$A$3:$A$90,0),MATCH('Overton Borough Overview'!G$65,Stock!$A$3:$T$3,0)),0)</f>
        <v>0</v>
      </c>
      <c r="H87" s="2"/>
    </row>
    <row r="88" spans="1:8" x14ac:dyDescent="0.2">
      <c r="A88" s="10" t="s">
        <v>85</v>
      </c>
      <c r="B88" s="45">
        <f>IFERROR(INDEX(Stock!$A$3:$T$90,MATCH('Overton Borough Overview'!$A88,Stock!$A$3:$A$90,0),MATCH('Overton Borough Overview'!B$65,Stock!$A$3:$T$3,0)),0)</f>
        <v>0</v>
      </c>
      <c r="C88" s="45">
        <f>IFERROR(INDEX(Stock!$A$3:$T$90,MATCH('Overton Borough Overview'!$A88,Stock!$A$3:$A$90,0),MATCH('Overton Borough Overview'!C$65,Stock!$A$3:$T$3,0)),0)</f>
        <v>0</v>
      </c>
      <c r="D88" s="45">
        <f t="shared" si="0"/>
        <v>0</v>
      </c>
      <c r="E88" s="28"/>
      <c r="F88" s="45">
        <f>IFERROR(INDEX(Stock!$A$3:$T$90,MATCH('Overton Borough Overview'!$A88,Stock!$A$3:$A$90,0),MATCH('Overton Borough Overview'!F$65,Stock!$A$3:$T$3,0)),0)</f>
        <v>0</v>
      </c>
      <c r="G88" s="45">
        <f>IFERROR(INDEX(Stock!$A$3:$T$90,MATCH('Overton Borough Overview'!$A88,Stock!$A$3:$A$90,0),MATCH('Overton Borough Overview'!G$65,Stock!$A$3:$T$3,0)),0)</f>
        <v>0</v>
      </c>
      <c r="H88" s="2"/>
    </row>
    <row r="89" spans="1:8" x14ac:dyDescent="0.2">
      <c r="A89" s="10" t="s">
        <v>86</v>
      </c>
      <c r="B89" s="45">
        <f>IFERROR(INDEX(Stock!$A$3:$T$90,MATCH('Overton Borough Overview'!$A89,Stock!$A$3:$A$90,0),MATCH('Overton Borough Overview'!B$65,Stock!$A$3:$T$3,0)),0)</f>
        <v>0</v>
      </c>
      <c r="C89" s="45">
        <f>IFERROR(INDEX(Stock!$A$3:$T$90,MATCH('Overton Borough Overview'!$A89,Stock!$A$3:$A$90,0),MATCH('Overton Borough Overview'!C$65,Stock!$A$3:$T$3,0)),0)</f>
        <v>0</v>
      </c>
      <c r="D89" s="45">
        <f t="shared" si="0"/>
        <v>0</v>
      </c>
      <c r="E89" s="28"/>
      <c r="F89" s="45">
        <f>IFERROR(INDEX(Stock!$A$3:$T$90,MATCH('Overton Borough Overview'!$A89,Stock!$A$3:$A$90,0),MATCH('Overton Borough Overview'!F$65,Stock!$A$3:$T$3,0)),0)</f>
        <v>0</v>
      </c>
      <c r="G89" s="45">
        <f>IFERROR(INDEX(Stock!$A$3:$T$90,MATCH('Overton Borough Overview'!$A89,Stock!$A$3:$A$90,0),MATCH('Overton Borough Overview'!G$65,Stock!$A$3:$T$3,0)),0)</f>
        <v>0</v>
      </c>
      <c r="H89" s="2"/>
    </row>
    <row r="90" spans="1:8" x14ac:dyDescent="0.2">
      <c r="A90" s="10" t="s">
        <v>87</v>
      </c>
      <c r="B90" s="45">
        <f>IFERROR(INDEX(Stock!$A$3:$T$90,MATCH('Overton Borough Overview'!$A90,Stock!$A$3:$A$90,0),MATCH('Overton Borough Overview'!B$65,Stock!$A$3:$T$3,0)),0)</f>
        <v>0</v>
      </c>
      <c r="C90" s="45">
        <f>IFERROR(INDEX(Stock!$A$3:$T$90,MATCH('Overton Borough Overview'!$A90,Stock!$A$3:$A$90,0),MATCH('Overton Borough Overview'!C$65,Stock!$A$3:$T$3,0)),0)</f>
        <v>0</v>
      </c>
      <c r="D90" s="45">
        <f t="shared" si="0"/>
        <v>0</v>
      </c>
      <c r="E90" s="28"/>
      <c r="F90" s="45">
        <f>IFERROR(INDEX(Stock!$A$3:$T$90,MATCH('Overton Borough Overview'!$A90,Stock!$A$3:$A$90,0),MATCH('Overton Borough Overview'!F$65,Stock!$A$3:$T$3,0)),0)</f>
        <v>0</v>
      </c>
      <c r="G90" s="45">
        <f>IFERROR(INDEX(Stock!$A$3:$T$90,MATCH('Overton Borough Overview'!$A90,Stock!$A$3:$A$90,0),MATCH('Overton Borough Overview'!G$65,Stock!$A$3:$T$3,0)),0)</f>
        <v>0</v>
      </c>
      <c r="H90" s="2"/>
    </row>
    <row r="91" spans="1:8" x14ac:dyDescent="0.2">
      <c r="A91" s="10" t="s">
        <v>88</v>
      </c>
      <c r="B91" s="45">
        <f>IFERROR(INDEX(Stock!$A$3:$T$90,MATCH('Overton Borough Overview'!$A91,Stock!$A$3:$A$90,0),MATCH('Overton Borough Overview'!B$65,Stock!$A$3:$T$3,0)),0)</f>
        <v>0</v>
      </c>
      <c r="C91" s="45">
        <f>IFERROR(INDEX(Stock!$A$3:$T$90,MATCH('Overton Borough Overview'!$A91,Stock!$A$3:$A$90,0),MATCH('Overton Borough Overview'!C$65,Stock!$A$3:$T$3,0)),0)</f>
        <v>0</v>
      </c>
      <c r="D91" s="45">
        <f t="shared" si="0"/>
        <v>0</v>
      </c>
      <c r="E91" s="28"/>
      <c r="F91" s="45">
        <f>IFERROR(INDEX(Stock!$A$3:$T$90,MATCH('Overton Borough Overview'!$A91,Stock!$A$3:$A$90,0),MATCH('Overton Borough Overview'!F$65,Stock!$A$3:$T$3,0)),0)</f>
        <v>0</v>
      </c>
      <c r="G91" s="45">
        <f>IFERROR(INDEX(Stock!$A$3:$T$90,MATCH('Overton Borough Overview'!$A91,Stock!$A$3:$A$90,0),MATCH('Overton Borough Overview'!G$65,Stock!$A$3:$T$3,0)),0)</f>
        <v>0</v>
      </c>
      <c r="H91" s="2"/>
    </row>
    <row r="92" spans="1:8" x14ac:dyDescent="0.2">
      <c r="A92" s="25" t="s">
        <v>9</v>
      </c>
      <c r="B92" s="23"/>
      <c r="C92" s="23"/>
      <c r="D92" s="23"/>
      <c r="E92" s="23"/>
      <c r="F92" s="23"/>
      <c r="G92" s="29">
        <f>SUM(G66:G91)</f>
        <v>0</v>
      </c>
      <c r="H92" s="2"/>
    </row>
    <row r="93" spans="1:8" x14ac:dyDescent="0.2">
      <c r="A93" s="25" t="s">
        <v>54</v>
      </c>
      <c r="B93" s="23"/>
      <c r="C93" s="23"/>
      <c r="D93" s="23"/>
      <c r="E93" s="23"/>
      <c r="F93" s="23"/>
      <c r="G93" s="29">
        <f>SUM(F66:F91)</f>
        <v>0</v>
      </c>
      <c r="H93" s="2"/>
    </row>
    <row r="94" spans="1:8" x14ac:dyDescent="0.2">
      <c r="A94" s="10"/>
      <c r="B94" s="10"/>
      <c r="C94" s="10"/>
      <c r="D94" s="10"/>
      <c r="E94" s="10"/>
      <c r="F94" s="10"/>
      <c r="G94" s="28"/>
      <c r="H94" s="2"/>
    </row>
    <row r="95" spans="1:8" ht="51" x14ac:dyDescent="0.2">
      <c r="A95" s="22" t="s">
        <v>89</v>
      </c>
      <c r="B95" s="43" t="s">
        <v>115</v>
      </c>
      <c r="C95" s="43" t="s">
        <v>116</v>
      </c>
      <c r="D95" s="44" t="s">
        <v>63</v>
      </c>
      <c r="E95" s="45"/>
      <c r="F95" s="46" t="s">
        <v>117</v>
      </c>
      <c r="G95" s="46" t="s">
        <v>122</v>
      </c>
      <c r="H95" s="2"/>
    </row>
    <row r="96" spans="1:8" ht="17" x14ac:dyDescent="0.2">
      <c r="A96" s="30" t="s">
        <v>119</v>
      </c>
      <c r="B96" s="45">
        <f>IFERROR(INDEX(Stock!$A$3:$T$90,MATCH('Overton Borough Overview'!$A96,Stock!$A$3:$A$90,0),MATCH('Overton Borough Overview'!B$65,Stock!$A$3:$T$3,0)),0)</f>
        <v>0</v>
      </c>
      <c r="C96" s="45">
        <f>IFERROR(INDEX(Stock!$A$3:$T$90,MATCH('Overton Borough Overview'!$A96,Stock!$A$3:$A$90,0),MATCH('Overton Borough Overview'!C$65,Stock!$A$3:$T$3,0)),0)</f>
        <v>0</v>
      </c>
      <c r="D96" s="45">
        <f t="shared" ref="D96:D100" si="1">C96-B96</f>
        <v>0</v>
      </c>
      <c r="F96" s="45">
        <f>IFERROR(INDEX(Stock!$A$3:$T$90,MATCH('Overton Borough Overview'!$A96,Stock!$A$3:$A$90,0),MATCH('Overton Borough Overview'!F$65,Stock!$A$3:$T$3,0)),0)</f>
        <v>0</v>
      </c>
      <c r="G96" s="45">
        <f>IFERROR(INDEX(Stock!$A$3:$T$90,MATCH('Overton Borough Overview'!$A96,Stock!$A$3:$A$90,0),MATCH('Overton Borough Overview'!G$65,Stock!$A$3:$T$3,0)),0)</f>
        <v>0</v>
      </c>
      <c r="H96" s="2"/>
    </row>
    <row r="97" spans="1:8" x14ac:dyDescent="0.2">
      <c r="A97" s="10" t="s">
        <v>90</v>
      </c>
      <c r="B97" s="45">
        <f>IFERROR(INDEX(Stock!$A$3:$T$90,MATCH('Overton Borough Overview'!$A97,Stock!$A$3:$A$90,0),MATCH('Overton Borough Overview'!B$65,Stock!$A$3:$T$3,0)),0)</f>
        <v>0</v>
      </c>
      <c r="C97" s="45">
        <f>IFERROR(INDEX(Stock!$A$3:$T$90,MATCH('Overton Borough Overview'!$A97,Stock!$A$3:$A$90,0),MATCH('Overton Borough Overview'!C$65,Stock!$A$3:$T$3,0)),0)</f>
        <v>0</v>
      </c>
      <c r="D97" s="45">
        <f t="shared" si="1"/>
        <v>0</v>
      </c>
      <c r="F97" s="45">
        <f>IFERROR(INDEX(Stock!$A$3:$T$90,MATCH('Overton Borough Overview'!$A97,Stock!$A$3:$A$90,0),MATCH('Overton Borough Overview'!F$65,Stock!$A$3:$T$3,0)),0)</f>
        <v>0</v>
      </c>
      <c r="G97" s="45">
        <f>IFERROR(INDEX(Stock!$A$3:$T$90,MATCH('Overton Borough Overview'!$A97,Stock!$A$3:$A$90,0),MATCH('Overton Borough Overview'!G$65,Stock!$A$3:$T$3,0)),0)</f>
        <v>0</v>
      </c>
      <c r="H97" s="2"/>
    </row>
    <row r="98" spans="1:8" x14ac:dyDescent="0.2">
      <c r="A98" s="10" t="s">
        <v>91</v>
      </c>
      <c r="B98" s="45">
        <f>IFERROR(INDEX(Stock!$A$3:$T$90,MATCH('Overton Borough Overview'!$A98,Stock!$A$3:$A$90,0),MATCH('Overton Borough Overview'!B$65,Stock!$A$3:$T$3,0)),0)</f>
        <v>0</v>
      </c>
      <c r="C98" s="45">
        <f>IFERROR(INDEX(Stock!$A$3:$T$90,MATCH('Overton Borough Overview'!$A98,Stock!$A$3:$A$90,0),MATCH('Overton Borough Overview'!C$65,Stock!$A$3:$T$3,0)),0)</f>
        <v>0</v>
      </c>
      <c r="D98" s="45">
        <f t="shared" si="1"/>
        <v>0</v>
      </c>
      <c r="F98" s="45">
        <f>IFERROR(INDEX(Stock!$A$3:$T$90,MATCH('Overton Borough Overview'!$A98,Stock!$A$3:$A$90,0),MATCH('Overton Borough Overview'!F$65,Stock!$A$3:$T$3,0)),0)</f>
        <v>0</v>
      </c>
      <c r="G98" s="45">
        <f>IFERROR(INDEX(Stock!$A$3:$T$90,MATCH('Overton Borough Overview'!$A98,Stock!$A$3:$A$90,0),MATCH('Overton Borough Overview'!G$65,Stock!$A$3:$T$3,0)),0)</f>
        <v>0</v>
      </c>
      <c r="H98" s="2"/>
    </row>
    <row r="99" spans="1:8" x14ac:dyDescent="0.2">
      <c r="A99" s="10" t="s">
        <v>92</v>
      </c>
      <c r="B99" s="45">
        <f>IFERROR(INDEX(Stock!$A$3:$T$90,MATCH('Overton Borough Overview'!$A99,Stock!$A$3:$A$90,0),MATCH('Overton Borough Overview'!B$65,Stock!$A$3:$T$3,0)),0)</f>
        <v>0</v>
      </c>
      <c r="C99" s="45">
        <f>IFERROR(INDEX(Stock!$A$3:$T$90,MATCH('Overton Borough Overview'!$A99,Stock!$A$3:$A$90,0),MATCH('Overton Borough Overview'!C$65,Stock!$A$3:$T$3,0)),0)</f>
        <v>0</v>
      </c>
      <c r="D99" s="45">
        <f t="shared" si="1"/>
        <v>0</v>
      </c>
      <c r="F99" s="45">
        <f>IFERROR(INDEX(Stock!$A$3:$T$90,MATCH('Overton Borough Overview'!$A99,Stock!$A$3:$A$90,0),MATCH('Overton Borough Overview'!F$65,Stock!$A$3:$T$3,0)),0)</f>
        <v>0</v>
      </c>
      <c r="G99" s="45">
        <f>IFERROR(INDEX(Stock!$A$3:$T$90,MATCH('Overton Borough Overview'!$A99,Stock!$A$3:$A$90,0),MATCH('Overton Borough Overview'!G$65,Stock!$A$3:$T$3,0)),0)</f>
        <v>0</v>
      </c>
      <c r="H99" s="2"/>
    </row>
    <row r="100" spans="1:8" x14ac:dyDescent="0.2">
      <c r="A100" s="10" t="s">
        <v>118</v>
      </c>
      <c r="B100" s="45">
        <f>IFERROR(INDEX(Stock!$A$3:$T$90,MATCH('Overton Borough Overview'!$A100,Stock!$A$3:$A$90,0),MATCH('Overton Borough Overview'!B$65,Stock!$A$3:$T$3,0)),0)</f>
        <v>0</v>
      </c>
      <c r="C100" s="45">
        <f>IFERROR(INDEX(Stock!$A$3:$T$90,MATCH('Overton Borough Overview'!$A100,Stock!$A$3:$A$90,0),MATCH('Overton Borough Overview'!C$65,Stock!$A$3:$T$3,0)),0)</f>
        <v>0</v>
      </c>
      <c r="D100" s="45">
        <f t="shared" si="1"/>
        <v>0</v>
      </c>
      <c r="F100" s="45">
        <f>IFERROR(INDEX(Stock!$A$3:$T$90,MATCH('Overton Borough Overview'!$A100,Stock!$A$3:$A$90,0),MATCH('Overton Borough Overview'!F$65,Stock!$A$3:$T$3,0)),0)</f>
        <v>0</v>
      </c>
      <c r="G100" s="45">
        <f>IFERROR(INDEX(Stock!$A$3:$T$90,MATCH('Overton Borough Overview'!$A100,Stock!$A$3:$A$90,0),MATCH('Overton Borough Overview'!G$65,Stock!$A$3:$T$3,0)),0)</f>
        <v>0</v>
      </c>
      <c r="H100" s="2"/>
    </row>
    <row r="101" spans="1:8" x14ac:dyDescent="0.2">
      <c r="A101" s="25" t="s">
        <v>53</v>
      </c>
      <c r="B101" s="23"/>
      <c r="C101" s="23"/>
      <c r="D101" s="23"/>
      <c r="E101" s="23"/>
      <c r="F101" s="23"/>
      <c r="G101" s="29">
        <f>SUM(G96:G100)</f>
        <v>0</v>
      </c>
      <c r="H101" s="2"/>
    </row>
    <row r="102" spans="1:8" x14ac:dyDescent="0.2">
      <c r="A102" s="25" t="s">
        <v>54</v>
      </c>
      <c r="B102" s="23"/>
      <c r="C102" s="23"/>
      <c r="D102" s="23"/>
      <c r="E102" s="23"/>
      <c r="F102" s="23"/>
      <c r="G102" s="29">
        <f>SUM(F96:F100)</f>
        <v>0</v>
      </c>
      <c r="H102" s="2"/>
    </row>
    <row r="103" spans="1:8" x14ac:dyDescent="0.2">
      <c r="A103" s="9"/>
      <c r="B103" s="10"/>
      <c r="C103" s="10"/>
      <c r="D103" s="10"/>
      <c r="E103" s="10"/>
      <c r="F103" s="10"/>
      <c r="G103" s="28"/>
      <c r="H103" s="2"/>
    </row>
    <row r="104" spans="1:8" ht="51" x14ac:dyDescent="0.2">
      <c r="A104" s="22" t="s">
        <v>93</v>
      </c>
      <c r="B104" s="43" t="s">
        <v>115</v>
      </c>
      <c r="C104" s="43" t="s">
        <v>116</v>
      </c>
      <c r="D104" s="44" t="s">
        <v>63</v>
      </c>
      <c r="E104" s="45"/>
      <c r="F104" s="46" t="s">
        <v>117</v>
      </c>
      <c r="G104" s="46" t="s">
        <v>122</v>
      </c>
      <c r="H104" s="2"/>
    </row>
    <row r="105" spans="1:8" x14ac:dyDescent="0.2">
      <c r="A105" s="10" t="s">
        <v>94</v>
      </c>
      <c r="B105" s="45">
        <f>IFERROR(INDEX(Stock!$A$3:$T$90,MATCH('Overton Borough Overview'!$A105,Stock!$A$3:$A$90,0),MATCH('Overton Borough Overview'!B$65,Stock!$A$3:$T$3,0)),0)</f>
        <v>0</v>
      </c>
      <c r="C105" s="45">
        <f>IFERROR(INDEX(Stock!$A$3:$T$90,MATCH('Overton Borough Overview'!$A105,Stock!$A$3:$A$90,0),MATCH('Overton Borough Overview'!C$65,Stock!$A$3:$T$3,0)),0)</f>
        <v>0</v>
      </c>
      <c r="D105" s="45">
        <f t="shared" ref="D105:D124" si="2">C105-B105</f>
        <v>0</v>
      </c>
      <c r="E105" s="10"/>
      <c r="F105" s="45">
        <f>IFERROR(INDEX(Stock!$A$3:$T$90,MATCH('Overton Borough Overview'!$A105,Stock!$A$3:$A$90,0),MATCH('Overton Borough Overview'!F$65,Stock!$A$3:$T$3,0)),0)</f>
        <v>0</v>
      </c>
      <c r="G105" s="45">
        <f>IFERROR(INDEX(Stock!$A$3:$T$90,MATCH('Overton Borough Overview'!$A105,Stock!$A$3:$A$90,0),MATCH('Overton Borough Overview'!G$65,Stock!$A$3:$T$3,0)),0)</f>
        <v>0</v>
      </c>
      <c r="H105" s="2"/>
    </row>
    <row r="106" spans="1:8" x14ac:dyDescent="0.2">
      <c r="A106" s="10" t="s">
        <v>137</v>
      </c>
      <c r="B106" s="45">
        <f>IFERROR(INDEX(Stock!$A$3:$T$90,MATCH('Overton Borough Overview'!$A106,Stock!$A$3:$A$90,0),MATCH('Overton Borough Overview'!B$65,Stock!$A$3:$T$3,0)),0)</f>
        <v>0</v>
      </c>
      <c r="C106" s="45">
        <f>IFERROR(INDEX(Stock!$A$3:$T$90,MATCH('Overton Borough Overview'!$A106,Stock!$A$3:$A$90,0),MATCH('Overton Borough Overview'!C$65,Stock!$A$3:$T$3,0)),0)</f>
        <v>0</v>
      </c>
      <c r="D106" s="45">
        <f t="shared" si="2"/>
        <v>0</v>
      </c>
      <c r="E106" s="10"/>
      <c r="F106" s="45">
        <f>IFERROR(INDEX(Stock!$A$3:$T$90,MATCH('Overton Borough Overview'!$A106,Stock!$A$3:$A$90,0),MATCH('Overton Borough Overview'!F$65,Stock!$A$3:$T$3,0)),0)</f>
        <v>0</v>
      </c>
      <c r="G106" s="45">
        <f>IFERROR(INDEX(Stock!$A$3:$T$90,MATCH('Overton Borough Overview'!$A106,Stock!$A$3:$A$90,0),MATCH('Overton Borough Overview'!G$65,Stock!$A$3:$T$3,0)),0)</f>
        <v>0</v>
      </c>
      <c r="H106" s="2"/>
    </row>
    <row r="107" spans="1:8" x14ac:dyDescent="0.2">
      <c r="A107" s="10" t="s">
        <v>138</v>
      </c>
      <c r="B107" s="45">
        <f>IFERROR(INDEX(Stock!$A$3:$T$90,MATCH('Overton Borough Overview'!$A107,Stock!$A$3:$A$90,0),MATCH('Overton Borough Overview'!B$65,Stock!$A$3:$T$3,0)),0)</f>
        <v>0</v>
      </c>
      <c r="C107" s="45">
        <f>IFERROR(INDEX(Stock!$A$3:$T$90,MATCH('Overton Borough Overview'!$A107,Stock!$A$3:$A$90,0),MATCH('Overton Borough Overview'!C$65,Stock!$A$3:$T$3,0)),0)</f>
        <v>0</v>
      </c>
      <c r="D107" s="45">
        <f t="shared" si="2"/>
        <v>0</v>
      </c>
      <c r="E107" s="10"/>
      <c r="F107" s="45">
        <f>IFERROR(INDEX(Stock!$A$3:$T$90,MATCH('Overton Borough Overview'!$A107,Stock!$A$3:$A$90,0),MATCH('Overton Borough Overview'!F$65,Stock!$A$3:$T$3,0)),0)</f>
        <v>0</v>
      </c>
      <c r="G107" s="45">
        <f>IFERROR(INDEX(Stock!$A$3:$T$90,MATCH('Overton Borough Overview'!$A107,Stock!$A$3:$A$90,0),MATCH('Overton Borough Overview'!G$65,Stock!$A$3:$T$3,0)),0)</f>
        <v>0</v>
      </c>
      <c r="H107" s="2"/>
    </row>
    <row r="108" spans="1:8" x14ac:dyDescent="0.2">
      <c r="A108" s="10" t="s">
        <v>139</v>
      </c>
      <c r="B108" s="45">
        <f>IFERROR(INDEX(Stock!$A$3:$T$90,MATCH('Overton Borough Overview'!$A108,Stock!$A$3:$A$90,0),MATCH('Overton Borough Overview'!B$65,Stock!$A$3:$T$3,0)),0)</f>
        <v>0</v>
      </c>
      <c r="C108" s="45">
        <f>IFERROR(INDEX(Stock!$A$3:$T$90,MATCH('Overton Borough Overview'!$A108,Stock!$A$3:$A$90,0),MATCH('Overton Borough Overview'!C$65,Stock!$A$3:$T$3,0)),0)</f>
        <v>0</v>
      </c>
      <c r="D108" s="45">
        <f t="shared" si="2"/>
        <v>0</v>
      </c>
      <c r="E108" s="10"/>
      <c r="F108" s="45">
        <f>IFERROR(INDEX(Stock!$A$3:$T$90,MATCH('Overton Borough Overview'!$A108,Stock!$A$3:$A$90,0),MATCH('Overton Borough Overview'!F$65,Stock!$A$3:$T$3,0)),0)</f>
        <v>0</v>
      </c>
      <c r="G108" s="45">
        <f>IFERROR(INDEX(Stock!$A$3:$T$90,MATCH('Overton Borough Overview'!$A108,Stock!$A$3:$A$90,0),MATCH('Overton Borough Overview'!G$65,Stock!$A$3:$T$3,0)),0)</f>
        <v>0</v>
      </c>
      <c r="H108" s="2"/>
    </row>
    <row r="109" spans="1:8" x14ac:dyDescent="0.2">
      <c r="A109" s="10" t="s">
        <v>140</v>
      </c>
      <c r="B109" s="45">
        <f>IFERROR(INDEX(Stock!$A$3:$T$90,MATCH('Overton Borough Overview'!$A109,Stock!$A$3:$A$90,0),MATCH('Overton Borough Overview'!B$65,Stock!$A$3:$T$3,0)),0)</f>
        <v>0</v>
      </c>
      <c r="C109" s="45">
        <f>IFERROR(INDEX(Stock!$A$3:$T$90,MATCH('Overton Borough Overview'!$A109,Stock!$A$3:$A$90,0),MATCH('Overton Borough Overview'!C$65,Stock!$A$3:$T$3,0)),0)</f>
        <v>0</v>
      </c>
      <c r="D109" s="45">
        <f t="shared" si="2"/>
        <v>0</v>
      </c>
      <c r="E109" s="10"/>
      <c r="F109" s="45">
        <f>IFERROR(INDEX(Stock!$A$3:$T$90,MATCH('Overton Borough Overview'!$A109,Stock!$A$3:$A$90,0),MATCH('Overton Borough Overview'!F$65,Stock!$A$3:$T$3,0)),0)</f>
        <v>0</v>
      </c>
      <c r="G109" s="45">
        <f>IFERROR(INDEX(Stock!$A$3:$T$90,MATCH('Overton Borough Overview'!$A109,Stock!$A$3:$A$90,0),MATCH('Overton Borough Overview'!G$65,Stock!$A$3:$T$3,0)),0)</f>
        <v>0</v>
      </c>
      <c r="H109" s="2"/>
    </row>
    <row r="110" spans="1:8" x14ac:dyDescent="0.2">
      <c r="A110" s="10" t="s">
        <v>141</v>
      </c>
      <c r="B110" s="45">
        <f>IFERROR(INDEX(Stock!$A$3:$T$90,MATCH('Overton Borough Overview'!$A110,Stock!$A$3:$A$90,0),MATCH('Overton Borough Overview'!B$65,Stock!$A$3:$T$3,0)),0)</f>
        <v>0</v>
      </c>
      <c r="C110" s="45">
        <f>IFERROR(INDEX(Stock!$A$3:$T$90,MATCH('Overton Borough Overview'!$A110,Stock!$A$3:$A$90,0),MATCH('Overton Borough Overview'!C$65,Stock!$A$3:$T$3,0)),0)</f>
        <v>0</v>
      </c>
      <c r="D110" s="45">
        <f t="shared" si="2"/>
        <v>0</v>
      </c>
      <c r="E110" s="10"/>
      <c r="F110" s="45">
        <f>IFERROR(INDEX(Stock!$A$3:$T$90,MATCH('Overton Borough Overview'!$A110,Stock!$A$3:$A$90,0),MATCH('Overton Borough Overview'!F$65,Stock!$A$3:$T$3,0)),0)</f>
        <v>0</v>
      </c>
      <c r="G110" s="45">
        <f>IFERROR(INDEX(Stock!$A$3:$T$90,MATCH('Overton Borough Overview'!$A110,Stock!$A$3:$A$90,0),MATCH('Overton Borough Overview'!G$65,Stock!$A$3:$T$3,0)),0)</f>
        <v>0</v>
      </c>
      <c r="H110" s="2"/>
    </row>
    <row r="111" spans="1:8" x14ac:dyDescent="0.2">
      <c r="A111" s="36" t="s">
        <v>142</v>
      </c>
      <c r="B111" s="45">
        <f>IFERROR(INDEX(Stock!$A$3:$T$90,MATCH('Overton Borough Overview'!$A111,Stock!$A$3:$A$90,0),MATCH('Overton Borough Overview'!B$65,Stock!$A$3:$T$3,0)),0)</f>
        <v>0</v>
      </c>
      <c r="C111" s="45">
        <f>IFERROR(INDEX(Stock!$A$3:$T$90,MATCH('Overton Borough Overview'!$A111,Stock!$A$3:$A$90,0),MATCH('Overton Borough Overview'!C$65,Stock!$A$3:$T$3,0)),0)</f>
        <v>0</v>
      </c>
      <c r="D111" s="45">
        <f t="shared" si="2"/>
        <v>0</v>
      </c>
      <c r="E111" s="10"/>
      <c r="F111" s="45">
        <f>IFERROR(INDEX(Stock!$A$3:$T$90,MATCH('Overton Borough Overview'!$A111,Stock!$A$3:$A$90,0),MATCH('Overton Borough Overview'!F$65,Stock!$A$3:$T$3,0)),0)</f>
        <v>0</v>
      </c>
      <c r="G111" s="45">
        <f>IFERROR(INDEX(Stock!$A$3:$T$90,MATCH('Overton Borough Overview'!$A111,Stock!$A$3:$A$90,0),MATCH('Overton Borough Overview'!G$65,Stock!$A$3:$T$3,0)),0)</f>
        <v>0</v>
      </c>
      <c r="H111" s="2"/>
    </row>
    <row r="112" spans="1:8" x14ac:dyDescent="0.2">
      <c r="A112" s="37" t="s">
        <v>143</v>
      </c>
      <c r="B112" s="45">
        <f>IFERROR(INDEX(Stock!$A$3:$T$90,MATCH('Overton Borough Overview'!$A112,Stock!$A$3:$A$90,0),MATCH('Overton Borough Overview'!B$65,Stock!$A$3:$T$3,0)),0)</f>
        <v>0</v>
      </c>
      <c r="C112" s="45">
        <f>IFERROR(INDEX(Stock!$A$3:$T$90,MATCH('Overton Borough Overview'!$A112,Stock!$A$3:$A$90,0),MATCH('Overton Borough Overview'!C$65,Stock!$A$3:$T$3,0)),0)</f>
        <v>0</v>
      </c>
      <c r="D112" s="45">
        <f t="shared" si="2"/>
        <v>0</v>
      </c>
      <c r="E112" s="10"/>
      <c r="F112" s="45">
        <f>IFERROR(INDEX(Stock!$A$3:$T$90,MATCH('Overton Borough Overview'!$A112,Stock!$A$3:$A$90,0),MATCH('Overton Borough Overview'!F$65,Stock!$A$3:$T$3,0)),0)</f>
        <v>0</v>
      </c>
      <c r="G112" s="45">
        <f>IFERROR(INDEX(Stock!$A$3:$T$90,MATCH('Overton Borough Overview'!$A112,Stock!$A$3:$A$90,0),MATCH('Overton Borough Overview'!G$65,Stock!$A$3:$T$3,0)),0)</f>
        <v>0</v>
      </c>
      <c r="H112" s="2"/>
    </row>
    <row r="113" spans="1:8" x14ac:dyDescent="0.2">
      <c r="A113" s="37" t="s">
        <v>144</v>
      </c>
      <c r="B113" s="45">
        <f>IFERROR(INDEX(Stock!$A$3:$T$90,MATCH('Overton Borough Overview'!$A113,Stock!$A$3:$A$90,0),MATCH('Overton Borough Overview'!B$65,Stock!$A$3:$T$3,0)),0)</f>
        <v>0</v>
      </c>
      <c r="C113" s="45">
        <f>IFERROR(INDEX(Stock!$A$3:$T$90,MATCH('Overton Borough Overview'!$A113,Stock!$A$3:$A$90,0),MATCH('Overton Borough Overview'!C$65,Stock!$A$3:$T$3,0)),0)</f>
        <v>0</v>
      </c>
      <c r="D113" s="45">
        <f t="shared" si="2"/>
        <v>0</v>
      </c>
      <c r="E113" s="10"/>
      <c r="F113" s="45">
        <f>IFERROR(INDEX(Stock!$A$3:$T$90,MATCH('Overton Borough Overview'!$A113,Stock!$A$3:$A$90,0),MATCH('Overton Borough Overview'!F$65,Stock!$A$3:$T$3,0)),0)</f>
        <v>0</v>
      </c>
      <c r="G113" s="45">
        <f>IFERROR(INDEX(Stock!$A$3:$T$90,MATCH('Overton Borough Overview'!$A113,Stock!$A$3:$A$90,0),MATCH('Overton Borough Overview'!G$65,Stock!$A$3:$T$3,0)),0)</f>
        <v>0</v>
      </c>
      <c r="H113" s="2"/>
    </row>
    <row r="114" spans="1:8" x14ac:dyDescent="0.2">
      <c r="A114" s="37" t="s">
        <v>145</v>
      </c>
      <c r="B114" s="45">
        <f>IFERROR(INDEX(Stock!$A$3:$T$90,MATCH('Overton Borough Overview'!$A114,Stock!$A$3:$A$90,0),MATCH('Overton Borough Overview'!B$65,Stock!$A$3:$T$3,0)),0)</f>
        <v>0</v>
      </c>
      <c r="C114" s="45">
        <f>IFERROR(INDEX(Stock!$A$3:$T$90,MATCH('Overton Borough Overview'!$A114,Stock!$A$3:$A$90,0),MATCH('Overton Borough Overview'!C$65,Stock!$A$3:$T$3,0)),0)</f>
        <v>0</v>
      </c>
      <c r="D114" s="45">
        <f t="shared" si="2"/>
        <v>0</v>
      </c>
      <c r="E114" s="10"/>
      <c r="F114" s="45">
        <f>IFERROR(INDEX(Stock!$A$3:$T$90,MATCH('Overton Borough Overview'!$A114,Stock!$A$3:$A$90,0),MATCH('Overton Borough Overview'!F$65,Stock!$A$3:$T$3,0)),0)</f>
        <v>0</v>
      </c>
      <c r="G114" s="45">
        <f>IFERROR(INDEX(Stock!$A$3:$T$90,MATCH('Overton Borough Overview'!$A114,Stock!$A$3:$A$90,0),MATCH('Overton Borough Overview'!G$65,Stock!$A$3:$T$3,0)),0)</f>
        <v>0</v>
      </c>
      <c r="H114" s="2"/>
    </row>
    <row r="115" spans="1:8" x14ac:dyDescent="0.2">
      <c r="A115" s="37" t="s">
        <v>146</v>
      </c>
      <c r="B115" s="45">
        <f>IFERROR(INDEX(Stock!$A$3:$T$90,MATCH('Overton Borough Overview'!$A115,Stock!$A$3:$A$90,0),MATCH('Overton Borough Overview'!B$65,Stock!$A$3:$T$3,0)),0)</f>
        <v>0</v>
      </c>
      <c r="C115" s="45">
        <f>IFERROR(INDEX(Stock!$A$3:$T$90,MATCH('Overton Borough Overview'!$A115,Stock!$A$3:$A$90,0),MATCH('Overton Borough Overview'!C$65,Stock!$A$3:$T$3,0)),0)</f>
        <v>0</v>
      </c>
      <c r="D115" s="45">
        <f t="shared" si="2"/>
        <v>0</v>
      </c>
      <c r="E115" s="10"/>
      <c r="F115" s="45">
        <f>IFERROR(INDEX(Stock!$A$3:$T$90,MATCH('Overton Borough Overview'!$A115,Stock!$A$3:$A$90,0),MATCH('Overton Borough Overview'!F$65,Stock!$A$3:$T$3,0)),0)</f>
        <v>0</v>
      </c>
      <c r="G115" s="45">
        <f>IFERROR(INDEX(Stock!$A$3:$T$90,MATCH('Overton Borough Overview'!$A115,Stock!$A$3:$A$90,0),MATCH('Overton Borough Overview'!G$65,Stock!$A$3:$T$3,0)),0)</f>
        <v>0</v>
      </c>
      <c r="H115" s="2"/>
    </row>
    <row r="116" spans="1:8" x14ac:dyDescent="0.2">
      <c r="A116" s="38" t="s">
        <v>120</v>
      </c>
      <c r="B116" s="45">
        <f>IFERROR(INDEX(Stock!$A$3:$T$90,MATCH('Overton Borough Overview'!$A116,Stock!$A$3:$A$90,0),MATCH('Overton Borough Overview'!B$65,Stock!$A$3:$T$3,0)),0)</f>
        <v>0</v>
      </c>
      <c r="C116" s="45">
        <f>IFERROR(INDEX(Stock!$A$3:$T$90,MATCH('Overton Borough Overview'!$A116,Stock!$A$3:$A$90,0),MATCH('Overton Borough Overview'!C$65,Stock!$A$3:$T$3,0)),0)</f>
        <v>0</v>
      </c>
      <c r="D116" s="45">
        <f t="shared" si="2"/>
        <v>0</v>
      </c>
      <c r="E116" s="10"/>
      <c r="F116" s="45">
        <f>IFERROR(INDEX(Stock!$A$3:$T$90,MATCH('Overton Borough Overview'!$A116,Stock!$A$3:$A$90,0),MATCH('Overton Borough Overview'!F$65,Stock!$A$3:$T$3,0)),0)</f>
        <v>0</v>
      </c>
      <c r="G116" s="45">
        <f>IFERROR(INDEX(Stock!$A$3:$T$90,MATCH('Overton Borough Overview'!$A116,Stock!$A$3:$A$90,0),MATCH('Overton Borough Overview'!G$65,Stock!$A$3:$T$3,0)),0)</f>
        <v>0</v>
      </c>
      <c r="H116" s="2"/>
    </row>
    <row r="117" spans="1:8" x14ac:dyDescent="0.2">
      <c r="A117" s="37" t="s">
        <v>147</v>
      </c>
      <c r="B117" s="45">
        <f>IFERROR(INDEX(Stock!$A$3:$T$90,MATCH('Overton Borough Overview'!$A117,Stock!$A$3:$A$90,0),MATCH('Overton Borough Overview'!B$65,Stock!$A$3:$T$3,0)),0)</f>
        <v>0</v>
      </c>
      <c r="C117" s="45">
        <f>IFERROR(INDEX(Stock!$A$3:$T$90,MATCH('Overton Borough Overview'!$A117,Stock!$A$3:$A$90,0),MATCH('Overton Borough Overview'!C$65,Stock!$A$3:$T$3,0)),0)</f>
        <v>0</v>
      </c>
      <c r="D117" s="45">
        <f t="shared" si="2"/>
        <v>0</v>
      </c>
      <c r="E117" s="10"/>
      <c r="F117" s="45">
        <f>IFERROR(INDEX(Stock!$A$3:$T$90,MATCH('Overton Borough Overview'!$A117,Stock!$A$3:$A$90,0),MATCH('Overton Borough Overview'!F$65,Stock!$A$3:$T$3,0)),0)</f>
        <v>0</v>
      </c>
      <c r="G117" s="45">
        <f>IFERROR(INDEX(Stock!$A$3:$T$90,MATCH('Overton Borough Overview'!$A117,Stock!$A$3:$A$90,0),MATCH('Overton Borough Overview'!G$65,Stock!$A$3:$T$3,0)),0)</f>
        <v>0</v>
      </c>
      <c r="H117" s="2"/>
    </row>
    <row r="118" spans="1:8" x14ac:dyDescent="0.2">
      <c r="A118" s="37" t="s">
        <v>148</v>
      </c>
      <c r="B118" s="45">
        <f>IFERROR(INDEX(Stock!$A$3:$T$90,MATCH('Overton Borough Overview'!$A118,Stock!$A$3:$A$90,0),MATCH('Overton Borough Overview'!B$65,Stock!$A$3:$T$3,0)),0)</f>
        <v>0</v>
      </c>
      <c r="C118" s="45">
        <f>IFERROR(INDEX(Stock!$A$3:$T$90,MATCH('Overton Borough Overview'!$A118,Stock!$A$3:$A$90,0),MATCH('Overton Borough Overview'!C$65,Stock!$A$3:$T$3,0)),0)</f>
        <v>0</v>
      </c>
      <c r="D118" s="45">
        <f t="shared" si="2"/>
        <v>0</v>
      </c>
      <c r="E118" s="10"/>
      <c r="F118" s="45">
        <f>IFERROR(INDEX(Stock!$A$3:$T$90,MATCH('Overton Borough Overview'!$A118,Stock!$A$3:$A$90,0),MATCH('Overton Borough Overview'!F$65,Stock!$A$3:$T$3,0)),0)</f>
        <v>0</v>
      </c>
      <c r="G118" s="45">
        <f>IFERROR(INDEX(Stock!$A$3:$T$90,MATCH('Overton Borough Overview'!$A118,Stock!$A$3:$A$90,0),MATCH('Overton Borough Overview'!G$65,Stock!$A$3:$T$3,0)),0)</f>
        <v>0</v>
      </c>
      <c r="H118" s="2"/>
    </row>
    <row r="119" spans="1:8" x14ac:dyDescent="0.2">
      <c r="A119" s="37" t="s">
        <v>149</v>
      </c>
      <c r="B119" s="45">
        <f>IFERROR(INDEX(Stock!$A$3:$T$90,MATCH('Overton Borough Overview'!$A119,Stock!$A$3:$A$90,0),MATCH('Overton Borough Overview'!B$65,Stock!$A$3:$T$3,0)),0)</f>
        <v>0</v>
      </c>
      <c r="C119" s="45">
        <f>IFERROR(INDEX(Stock!$A$3:$T$90,MATCH('Overton Borough Overview'!$A119,Stock!$A$3:$A$90,0),MATCH('Overton Borough Overview'!C$65,Stock!$A$3:$T$3,0)),0)</f>
        <v>0</v>
      </c>
      <c r="D119" s="45">
        <f t="shared" si="2"/>
        <v>0</v>
      </c>
      <c r="E119" s="10"/>
      <c r="F119" s="45">
        <f>IFERROR(INDEX(Stock!$A$3:$T$90,MATCH('Overton Borough Overview'!$A119,Stock!$A$3:$A$90,0),MATCH('Overton Borough Overview'!F$65,Stock!$A$3:$T$3,0)),0)</f>
        <v>0</v>
      </c>
      <c r="G119" s="45">
        <f>IFERROR(INDEX(Stock!$A$3:$T$90,MATCH('Overton Borough Overview'!$A119,Stock!$A$3:$A$90,0),MATCH('Overton Borough Overview'!G$65,Stock!$A$3:$T$3,0)),0)</f>
        <v>0</v>
      </c>
      <c r="H119" s="2"/>
    </row>
    <row r="120" spans="1:8" x14ac:dyDescent="0.2">
      <c r="A120" s="37" t="s">
        <v>150</v>
      </c>
      <c r="B120" s="45">
        <f>IFERROR(INDEX(Stock!$A$3:$T$90,MATCH('Overton Borough Overview'!$A120,Stock!$A$3:$A$90,0),MATCH('Overton Borough Overview'!B$65,Stock!$A$3:$T$3,0)),0)</f>
        <v>0</v>
      </c>
      <c r="C120" s="45">
        <f>IFERROR(INDEX(Stock!$A$3:$T$90,MATCH('Overton Borough Overview'!$A120,Stock!$A$3:$A$90,0),MATCH('Overton Borough Overview'!C$65,Stock!$A$3:$T$3,0)),0)</f>
        <v>0</v>
      </c>
      <c r="D120" s="45">
        <f t="shared" si="2"/>
        <v>0</v>
      </c>
      <c r="E120" s="10"/>
      <c r="F120" s="45">
        <f>IFERROR(INDEX(Stock!$A$3:$T$90,MATCH('Overton Borough Overview'!$A120,Stock!$A$3:$A$90,0),MATCH('Overton Borough Overview'!F$65,Stock!$A$3:$T$3,0)),0)</f>
        <v>0</v>
      </c>
      <c r="G120" s="45">
        <f>IFERROR(INDEX(Stock!$A$3:$T$90,MATCH('Overton Borough Overview'!$A120,Stock!$A$3:$A$90,0),MATCH('Overton Borough Overview'!G$65,Stock!$A$3:$T$3,0)),0)</f>
        <v>0</v>
      </c>
      <c r="H120" s="2"/>
    </row>
    <row r="121" spans="1:8" x14ac:dyDescent="0.2">
      <c r="A121" s="38" t="s">
        <v>95</v>
      </c>
      <c r="B121" s="45">
        <f>IFERROR(INDEX(Stock!$A$3:$T$90,MATCH('Overton Borough Overview'!$A121,Stock!$A$3:$A$90,0),MATCH('Overton Borough Overview'!B$65,Stock!$A$3:$T$3,0)),0)</f>
        <v>0</v>
      </c>
      <c r="C121" s="45">
        <f>IFERROR(INDEX(Stock!$A$3:$T$90,MATCH('Overton Borough Overview'!$A121,Stock!$A$3:$A$90,0),MATCH('Overton Borough Overview'!C$65,Stock!$A$3:$T$3,0)),0)</f>
        <v>0</v>
      </c>
      <c r="D121" s="45">
        <f t="shared" si="2"/>
        <v>0</v>
      </c>
      <c r="E121" s="10"/>
      <c r="F121" s="45">
        <f>IFERROR(INDEX(Stock!$A$3:$T$90,MATCH('Overton Borough Overview'!$A121,Stock!$A$3:$A$90,0),MATCH('Overton Borough Overview'!F$65,Stock!$A$3:$T$3,0)),0)</f>
        <v>0</v>
      </c>
      <c r="G121" s="45">
        <f>IFERROR(INDEX(Stock!$A$3:$T$90,MATCH('Overton Borough Overview'!$A121,Stock!$A$3:$A$90,0),MATCH('Overton Borough Overview'!G$65,Stock!$A$3:$T$3,0)),0)</f>
        <v>0</v>
      </c>
      <c r="H121" s="2"/>
    </row>
    <row r="122" spans="1:8" x14ac:dyDescent="0.2">
      <c r="A122" s="10" t="s">
        <v>121</v>
      </c>
      <c r="B122" s="45">
        <f>IFERROR(INDEX(Stock!$A$3:$T$90,MATCH('Overton Borough Overview'!$A122,Stock!$A$3:$A$90,0),MATCH('Overton Borough Overview'!B$65,Stock!$A$3:$T$3,0)),0)</f>
        <v>0</v>
      </c>
      <c r="C122" s="45">
        <f>IFERROR(INDEX(Stock!$A$3:$T$90,MATCH('Overton Borough Overview'!$A122,Stock!$A$3:$A$90,0),MATCH('Overton Borough Overview'!C$65,Stock!$A$3:$T$3,0)),0)</f>
        <v>0</v>
      </c>
      <c r="D122" s="45">
        <f t="shared" si="2"/>
        <v>0</v>
      </c>
      <c r="E122" s="10"/>
      <c r="F122" s="45">
        <f>IFERROR(INDEX(Stock!$A$3:$T$90,MATCH('Overton Borough Overview'!$A122,Stock!$A$3:$A$90,0),MATCH('Overton Borough Overview'!F$65,Stock!$A$3:$T$3,0)),0)</f>
        <v>0</v>
      </c>
      <c r="G122" s="45">
        <f>IFERROR(INDEX(Stock!$A$3:$T$90,MATCH('Overton Borough Overview'!$A122,Stock!$A$3:$A$90,0),MATCH('Overton Borough Overview'!G$65,Stock!$A$3:$T$3,0)),0)</f>
        <v>0</v>
      </c>
      <c r="H122" s="2"/>
    </row>
    <row r="123" spans="1:8" x14ac:dyDescent="0.2">
      <c r="A123" s="10" t="s">
        <v>96</v>
      </c>
      <c r="B123" s="45">
        <f>IFERROR(INDEX(Stock!$A$3:$T$90,MATCH('Overton Borough Overview'!$A123,Stock!$A$3:$A$90,0),MATCH('Overton Borough Overview'!B$65,Stock!$A$3:$T$3,0)),0)</f>
        <v>0</v>
      </c>
      <c r="C123" s="45">
        <f>IFERROR(INDEX(Stock!$A$3:$T$90,MATCH('Overton Borough Overview'!$A123,Stock!$A$3:$A$90,0),MATCH('Overton Borough Overview'!C$65,Stock!$A$3:$T$3,0)),0)</f>
        <v>0</v>
      </c>
      <c r="D123" s="45">
        <f t="shared" si="2"/>
        <v>0</v>
      </c>
      <c r="E123" s="10"/>
      <c r="F123" s="45">
        <f>IFERROR(INDEX(Stock!$A$3:$T$90,MATCH('Overton Borough Overview'!$A123,Stock!$A$3:$A$90,0),MATCH('Overton Borough Overview'!F$65,Stock!$A$3:$T$3,0)),0)</f>
        <v>0</v>
      </c>
      <c r="G123" s="45">
        <f>IFERROR(INDEX(Stock!$A$3:$T$90,MATCH('Overton Borough Overview'!$A123,Stock!$A$3:$A$90,0),MATCH('Overton Borough Overview'!G$65,Stock!$A$3:$T$3,0)),0)</f>
        <v>0</v>
      </c>
      <c r="H123" s="2"/>
    </row>
    <row r="124" spans="1:8" x14ac:dyDescent="0.2">
      <c r="A124" s="10" t="s">
        <v>97</v>
      </c>
      <c r="B124" s="45">
        <f>IFERROR(INDEX(Stock!$A$3:$T$90,MATCH('Overton Borough Overview'!$A124,Stock!$A$3:$A$90,0),MATCH('Overton Borough Overview'!B$65,Stock!$A$3:$T$3,0)),0)</f>
        <v>0</v>
      </c>
      <c r="C124" s="45">
        <f>IFERROR(INDEX(Stock!$A$3:$T$90,MATCH('Overton Borough Overview'!$A124,Stock!$A$3:$A$90,0),MATCH('Overton Borough Overview'!C$65,Stock!$A$3:$T$3,0)),0)</f>
        <v>0</v>
      </c>
      <c r="D124" s="45">
        <f t="shared" si="2"/>
        <v>0</v>
      </c>
      <c r="E124" s="10"/>
      <c r="F124" s="45">
        <f>IFERROR(INDEX(Stock!$A$3:$T$90,MATCH('Overton Borough Overview'!$A124,Stock!$A$3:$A$90,0),MATCH('Overton Borough Overview'!F$65,Stock!$A$3:$T$3,0)),0)</f>
        <v>0</v>
      </c>
      <c r="G124" s="45">
        <f>IFERROR(INDEX(Stock!$A$3:$T$90,MATCH('Overton Borough Overview'!$A124,Stock!$A$3:$A$90,0),MATCH('Overton Borough Overview'!G$65,Stock!$A$3:$T$3,0)),0)</f>
        <v>0</v>
      </c>
      <c r="H124" s="2"/>
    </row>
    <row r="125" spans="1:8" x14ac:dyDescent="0.2">
      <c r="A125" s="25" t="s">
        <v>53</v>
      </c>
      <c r="B125" s="23"/>
      <c r="C125" s="23"/>
      <c r="D125" s="23"/>
      <c r="E125" s="23"/>
      <c r="F125" s="23"/>
      <c r="G125" s="29">
        <f>SUM(G105:G124)</f>
        <v>0</v>
      </c>
      <c r="H125" s="2"/>
    </row>
    <row r="126" spans="1:8" x14ac:dyDescent="0.2">
      <c r="A126" s="25" t="s">
        <v>54</v>
      </c>
      <c r="B126" s="23"/>
      <c r="C126" s="23"/>
      <c r="D126" s="23"/>
      <c r="E126" s="23"/>
      <c r="F126" s="23"/>
      <c r="G126" s="29">
        <f>SUM(F105:F124)</f>
        <v>0</v>
      </c>
      <c r="H126" s="2"/>
    </row>
    <row r="127" spans="1:8" x14ac:dyDescent="0.2">
      <c r="A127" s="10"/>
      <c r="B127" s="10"/>
      <c r="C127" s="10"/>
      <c r="D127" s="10"/>
      <c r="E127" s="10"/>
      <c r="F127" s="10"/>
      <c r="G127" s="28"/>
      <c r="H127" s="2"/>
    </row>
    <row r="128" spans="1:8" ht="51" x14ac:dyDescent="0.2">
      <c r="A128" s="22" t="s">
        <v>98</v>
      </c>
      <c r="B128" s="43" t="s">
        <v>115</v>
      </c>
      <c r="C128" s="43" t="s">
        <v>116</v>
      </c>
      <c r="D128" s="44" t="s">
        <v>63</v>
      </c>
      <c r="E128" s="45"/>
      <c r="F128" s="46" t="s">
        <v>117</v>
      </c>
      <c r="G128" s="46" t="s">
        <v>122</v>
      </c>
      <c r="H128" s="2"/>
    </row>
    <row r="129" spans="1:8" ht="17" x14ac:dyDescent="0.2">
      <c r="A129" s="30" t="s">
        <v>99</v>
      </c>
      <c r="B129" s="45">
        <f>IFERROR(INDEX(Stock!$A$3:$T$90,MATCH('Overton Borough Overview'!$A129,Stock!$A$3:$A$90,0),MATCH('Overton Borough Overview'!B$65,Stock!$A$3:$T$3,0)),0)</f>
        <v>0</v>
      </c>
      <c r="C129" s="45">
        <f>IFERROR(INDEX(Stock!$A$3:$T$90,MATCH('Overton Borough Overview'!$A129,Stock!$A$3:$A$90,0),MATCH('Overton Borough Overview'!C$65,Stock!$A$3:$T$3,0)),0)</f>
        <v>0</v>
      </c>
      <c r="D129" s="45">
        <f t="shared" ref="D129:D132" si="3">C129-B129</f>
        <v>0</v>
      </c>
      <c r="E129" s="10"/>
      <c r="F129" s="45">
        <f>IFERROR(INDEX(Stock!$A$3:$T$90,MATCH('Overton Borough Overview'!$A129,Stock!$A$3:$A$90,0),MATCH('Overton Borough Overview'!F$65,Stock!$A$3:$T$3,0)),0)</f>
        <v>0</v>
      </c>
      <c r="G129" s="45">
        <f>IFERROR(INDEX(Stock!$A$3:$T$90,MATCH('Overton Borough Overview'!$A129,Stock!$A$3:$A$90,0),MATCH('Overton Borough Overview'!G$65,Stock!$A$3:$T$3,0)),0)</f>
        <v>0</v>
      </c>
      <c r="H129" s="2"/>
    </row>
    <row r="130" spans="1:8" x14ac:dyDescent="0.2">
      <c r="A130" s="10" t="s">
        <v>100</v>
      </c>
      <c r="B130" s="45">
        <f>IFERROR(INDEX(Stock!$A$3:$T$90,MATCH('Overton Borough Overview'!$A130,Stock!$A$3:$A$90,0),MATCH('Overton Borough Overview'!B$65,Stock!$A$3:$T$3,0)),0)</f>
        <v>0</v>
      </c>
      <c r="C130" s="45">
        <f>IFERROR(INDEX(Stock!$A$3:$T$90,MATCH('Overton Borough Overview'!$A130,Stock!$A$3:$A$90,0),MATCH('Overton Borough Overview'!C$65,Stock!$A$3:$T$3,0)),0)</f>
        <v>0</v>
      </c>
      <c r="D130" s="45">
        <f t="shared" si="3"/>
        <v>0</v>
      </c>
      <c r="E130" s="10"/>
      <c r="F130" s="45">
        <f>IFERROR(INDEX(Stock!$A$3:$T$90,MATCH('Overton Borough Overview'!$A130,Stock!$A$3:$A$90,0),MATCH('Overton Borough Overview'!F$65,Stock!$A$3:$T$3,0)),0)</f>
        <v>0</v>
      </c>
      <c r="G130" s="45">
        <f>IFERROR(INDEX(Stock!$A$3:$T$90,MATCH('Overton Borough Overview'!$A130,Stock!$A$3:$A$90,0),MATCH('Overton Borough Overview'!G$65,Stock!$A$3:$T$3,0)),0)</f>
        <v>0</v>
      </c>
      <c r="H130" s="2"/>
    </row>
    <row r="131" spans="1:8" x14ac:dyDescent="0.2">
      <c r="A131" s="10" t="s">
        <v>101</v>
      </c>
      <c r="B131" s="45">
        <f>IFERROR(INDEX(Stock!$A$3:$T$90,MATCH('Overton Borough Overview'!$A131,Stock!$A$3:$A$90,0),MATCH('Overton Borough Overview'!B$65,Stock!$A$3:$T$3,0)),0)</f>
        <v>0</v>
      </c>
      <c r="C131" s="45">
        <f>IFERROR(INDEX(Stock!$A$3:$T$90,MATCH('Overton Borough Overview'!$A131,Stock!$A$3:$A$90,0),MATCH('Overton Borough Overview'!C$65,Stock!$A$3:$T$3,0)),0)</f>
        <v>0</v>
      </c>
      <c r="D131" s="45">
        <f t="shared" si="3"/>
        <v>0</v>
      </c>
      <c r="E131" s="10"/>
      <c r="F131" s="45">
        <f>IFERROR(INDEX(Stock!$A$3:$T$90,MATCH('Overton Borough Overview'!$A131,Stock!$A$3:$A$90,0),MATCH('Overton Borough Overview'!F$65,Stock!$A$3:$T$3,0)),0)</f>
        <v>0</v>
      </c>
      <c r="G131" s="45">
        <f>IFERROR(INDEX(Stock!$A$3:$T$90,MATCH('Overton Borough Overview'!$A131,Stock!$A$3:$A$90,0),MATCH('Overton Borough Overview'!G$65,Stock!$A$3:$T$3,0)),0)</f>
        <v>0</v>
      </c>
      <c r="H131" s="2"/>
    </row>
    <row r="132" spans="1:8" x14ac:dyDescent="0.2">
      <c r="A132" s="10" t="s">
        <v>102</v>
      </c>
      <c r="B132" s="45">
        <f>IFERROR(INDEX(Stock!$A$3:$T$90,MATCH('Overton Borough Overview'!$A132,Stock!$A$3:$A$90,0),MATCH('Overton Borough Overview'!B$65,Stock!$A$3:$T$3,0)),0)</f>
        <v>0</v>
      </c>
      <c r="C132" s="45">
        <f>IFERROR(INDEX(Stock!$A$3:$T$90,MATCH('Overton Borough Overview'!$A132,Stock!$A$3:$A$90,0),MATCH('Overton Borough Overview'!C$65,Stock!$A$3:$T$3,0)),0)</f>
        <v>0</v>
      </c>
      <c r="D132" s="45">
        <f t="shared" si="3"/>
        <v>0</v>
      </c>
      <c r="E132" s="10"/>
      <c r="F132" s="45">
        <f>IFERROR(INDEX(Stock!$A$3:$T$90,MATCH('Overton Borough Overview'!$A132,Stock!$A$3:$A$90,0),MATCH('Overton Borough Overview'!F$65,Stock!$A$3:$T$3,0)),0)</f>
        <v>0</v>
      </c>
      <c r="G132" s="45">
        <f>IFERROR(INDEX(Stock!$A$3:$T$90,MATCH('Overton Borough Overview'!$A132,Stock!$A$3:$A$90,0),MATCH('Overton Borough Overview'!G$65,Stock!$A$3:$T$3,0)),0)</f>
        <v>0</v>
      </c>
      <c r="H132" s="2"/>
    </row>
    <row r="133" spans="1:8" x14ac:dyDescent="0.2">
      <c r="A133" s="25" t="s">
        <v>53</v>
      </c>
      <c r="B133" s="23"/>
      <c r="C133" s="23"/>
      <c r="D133" s="23"/>
      <c r="E133" s="23"/>
      <c r="F133" s="23"/>
      <c r="G133" s="29"/>
      <c r="H133" s="2"/>
    </row>
    <row r="134" spans="1:8" x14ac:dyDescent="0.2">
      <c r="A134" s="25" t="s">
        <v>54</v>
      </c>
      <c r="B134" s="23"/>
      <c r="C134" s="23"/>
      <c r="D134" s="23"/>
      <c r="E134" s="23"/>
      <c r="F134" s="23"/>
      <c r="G134" s="29"/>
      <c r="H134" s="2"/>
    </row>
    <row r="135" spans="1:8" x14ac:dyDescent="0.2">
      <c r="A135" s="10"/>
      <c r="B135" s="10"/>
      <c r="C135" s="10"/>
      <c r="D135" s="10"/>
      <c r="E135" s="10"/>
      <c r="F135" s="10"/>
      <c r="G135" s="28"/>
      <c r="H135" s="2"/>
    </row>
    <row r="136" spans="1:8" ht="51" x14ac:dyDescent="0.2">
      <c r="A136" s="22" t="s">
        <v>103</v>
      </c>
      <c r="B136" s="43" t="s">
        <v>115</v>
      </c>
      <c r="C136" s="43" t="s">
        <v>116</v>
      </c>
      <c r="D136" s="44" t="s">
        <v>63</v>
      </c>
      <c r="E136" s="45"/>
      <c r="F136" s="46" t="s">
        <v>117</v>
      </c>
      <c r="G136" s="46" t="s">
        <v>122</v>
      </c>
      <c r="H136" s="2"/>
    </row>
    <row r="137" spans="1:8" x14ac:dyDescent="0.2">
      <c r="A137" s="10" t="s">
        <v>104</v>
      </c>
      <c r="B137" s="45">
        <f>IFERROR(INDEX(Stock!$A$3:$T$90,MATCH('Overton Borough Overview'!$A137,Stock!$A$3:$A$90,0),MATCH('Overton Borough Overview'!B$65,Stock!$A$3:$T$3,0)),0)</f>
        <v>0</v>
      </c>
      <c r="C137" s="45">
        <f>IFERROR(INDEX(Stock!$A$3:$T$90,MATCH('Overton Borough Overview'!$A137,Stock!$A$3:$A$90,0),MATCH('Overton Borough Overview'!C$65,Stock!$A$3:$T$3,0)),0)</f>
        <v>0</v>
      </c>
      <c r="D137" s="45">
        <f t="shared" ref="D137:D138" si="4">C137-B137</f>
        <v>0</v>
      </c>
      <c r="E137" s="10"/>
      <c r="F137" s="45">
        <f>IFERROR(INDEX(Stock!$A$3:$T$90,MATCH('Overton Borough Overview'!$A137,Stock!$A$3:$A$90,0),MATCH('Overton Borough Overview'!F$65,Stock!$A$3:$T$3,0)),0)</f>
        <v>0</v>
      </c>
      <c r="G137" s="45">
        <f>IFERROR(INDEX(Stock!$A$3:$T$90,MATCH('Overton Borough Overview'!$A137,Stock!$A$3:$A$90,0),MATCH('Overton Borough Overview'!G$65,Stock!$A$3:$T$3,0)),0)</f>
        <v>0</v>
      </c>
      <c r="H137" s="2"/>
    </row>
    <row r="138" spans="1:8" x14ac:dyDescent="0.2">
      <c r="A138" s="10" t="s">
        <v>105</v>
      </c>
      <c r="B138" s="45">
        <f>IFERROR(INDEX(Stock!$A$3:$T$90,MATCH('Overton Borough Overview'!$A138,Stock!$A$3:$A$90,0),MATCH('Overton Borough Overview'!B$65,Stock!$A$3:$T$3,0)),0)</f>
        <v>0</v>
      </c>
      <c r="C138" s="45">
        <f>IFERROR(INDEX(Stock!$A$3:$T$90,MATCH('Overton Borough Overview'!$A138,Stock!$A$3:$A$90,0),MATCH('Overton Borough Overview'!C$65,Stock!$A$3:$T$3,0)),0)</f>
        <v>0</v>
      </c>
      <c r="D138" s="45">
        <f t="shared" si="4"/>
        <v>0</v>
      </c>
      <c r="E138" s="10"/>
      <c r="F138" s="45">
        <f>IFERROR(INDEX(Stock!$A$3:$T$90,MATCH('Overton Borough Overview'!$A138,Stock!$A$3:$A$90,0),MATCH('Overton Borough Overview'!F$65,Stock!$A$3:$T$3,0)),0)</f>
        <v>0</v>
      </c>
      <c r="G138" s="45">
        <f>IFERROR(INDEX(Stock!$A$3:$T$90,MATCH('Overton Borough Overview'!$A138,Stock!$A$3:$A$90,0),MATCH('Overton Borough Overview'!G$65,Stock!$A$3:$T$3,0)),0)</f>
        <v>0</v>
      </c>
      <c r="H138" s="2"/>
    </row>
    <row r="139" spans="1:8" x14ac:dyDescent="0.2">
      <c r="A139" s="10" t="s">
        <v>106</v>
      </c>
      <c r="B139" s="45">
        <f>SUM(B137:B138)</f>
        <v>0</v>
      </c>
      <c r="C139" s="45">
        <f t="shared" ref="C139:D139" si="5">SUM(C137:C138)</f>
        <v>0</v>
      </c>
      <c r="D139" s="45">
        <f t="shared" si="5"/>
        <v>0</v>
      </c>
      <c r="E139" s="10"/>
      <c r="F139" s="45">
        <f>IFERROR(INDEX(Stock!$A$3:$T$90,MATCH('Overton Borough Overview'!$A139,Stock!$A$3:$A$90,0),MATCH('Overton Borough Overview'!F$65,Stock!$A$3:$T$3,0)),0)</f>
        <v>0</v>
      </c>
      <c r="G139" s="45">
        <f>IFERROR(INDEX(Stock!$A$3:$T$90,MATCH('Overton Borough Overview'!$A139,Stock!$A$3:$A$90,0),MATCH('Overton Borough Overview'!G$65,Stock!$A$3:$T$3,0)),0)</f>
        <v>0</v>
      </c>
      <c r="H139" s="2"/>
    </row>
    <row r="140" spans="1:8" x14ac:dyDescent="0.2">
      <c r="A140" s="25" t="s">
        <v>107</v>
      </c>
      <c r="B140" s="23"/>
      <c r="C140" s="23"/>
      <c r="D140" s="23"/>
      <c r="E140" s="23"/>
      <c r="F140" s="23"/>
      <c r="G140" s="29"/>
      <c r="H140" s="2"/>
    </row>
    <row r="141" spans="1:8" x14ac:dyDescent="0.2">
      <c r="A141" s="25" t="s">
        <v>54</v>
      </c>
      <c r="B141" s="23"/>
      <c r="C141" s="23"/>
      <c r="D141" s="23"/>
      <c r="E141" s="23"/>
      <c r="F141" s="23"/>
      <c r="G141" s="29"/>
      <c r="H141" s="2"/>
    </row>
    <row r="142" spans="1:8" x14ac:dyDescent="0.2">
      <c r="A142" s="10"/>
      <c r="B142" s="10"/>
      <c r="C142" s="10"/>
      <c r="D142" s="10"/>
      <c r="E142" s="10"/>
      <c r="F142" s="10"/>
      <c r="G142" s="28"/>
      <c r="H142" s="2"/>
    </row>
    <row r="143" spans="1:8" ht="51" x14ac:dyDescent="0.2">
      <c r="A143" s="22" t="s">
        <v>108</v>
      </c>
      <c r="B143" s="43" t="s">
        <v>115</v>
      </c>
      <c r="C143" s="43" t="s">
        <v>116</v>
      </c>
      <c r="D143" s="44" t="s">
        <v>63</v>
      </c>
      <c r="E143" s="45"/>
      <c r="F143" s="46" t="s">
        <v>117</v>
      </c>
      <c r="G143" s="46" t="s">
        <v>122</v>
      </c>
      <c r="H143" s="2"/>
    </row>
    <row r="144" spans="1:8" x14ac:dyDescent="0.2">
      <c r="A144" s="10" t="s">
        <v>109</v>
      </c>
      <c r="B144" s="45">
        <f>IFERROR(INDEX(Stock!$A$3:$T$90,MATCH('Overton Borough Overview'!$A144,Stock!$A$3:$A$90,0),MATCH('Overton Borough Overview'!B$65,Stock!$A$3:$T$3,0)),0)</f>
        <v>0</v>
      </c>
      <c r="C144" s="45">
        <f>IFERROR(INDEX(Stock!$A$3:$T$90,MATCH('Overton Borough Overview'!$A144,Stock!$A$3:$A$90,0),MATCH('Overton Borough Overview'!C$65,Stock!$A$3:$T$3,0)),0)</f>
        <v>0</v>
      </c>
      <c r="D144" s="45">
        <f t="shared" ref="D144:D146" si="6">C144-B144</f>
        <v>0</v>
      </c>
      <c r="E144" s="10"/>
      <c r="F144" s="45">
        <f>IFERROR(INDEX(Stock!$A$3:$T$90,MATCH('Overton Borough Overview'!$A144,Stock!$A$3:$A$90,0),MATCH('Overton Borough Overview'!F$65,Stock!$A$3:$T$3,0)),0)</f>
        <v>0</v>
      </c>
      <c r="G144" s="45">
        <f>IFERROR(INDEX(Stock!$A$3:$T$90,MATCH('Overton Borough Overview'!$A144,Stock!$A$3:$A$90,0),MATCH('Overton Borough Overview'!G$65,Stock!$A$3:$T$3,0)),0)</f>
        <v>0</v>
      </c>
      <c r="H144" s="2"/>
    </row>
    <row r="145" spans="1:8" x14ac:dyDescent="0.2">
      <c r="A145" s="10" t="s">
        <v>110</v>
      </c>
      <c r="B145" s="45">
        <f>IFERROR(INDEX(Stock!$A$3:$T$90,MATCH('Overton Borough Overview'!$A145,Stock!$A$3:$A$90,0),MATCH('Overton Borough Overview'!B$65,Stock!$A$3:$T$3,0)),0)</f>
        <v>0</v>
      </c>
      <c r="C145" s="45">
        <f>IFERROR(INDEX(Stock!$A$3:$T$90,MATCH('Overton Borough Overview'!$A145,Stock!$A$3:$A$90,0),MATCH('Overton Borough Overview'!C$65,Stock!$A$3:$T$3,0)),0)</f>
        <v>0</v>
      </c>
      <c r="D145" s="45">
        <f t="shared" si="6"/>
        <v>0</v>
      </c>
      <c r="E145" s="10"/>
      <c r="F145" s="45">
        <f>IFERROR(INDEX(Stock!$A$3:$T$90,MATCH('Overton Borough Overview'!$A145,Stock!$A$3:$A$90,0),MATCH('Overton Borough Overview'!F$65,Stock!$A$3:$T$3,0)),0)</f>
        <v>0</v>
      </c>
      <c r="G145" s="45">
        <f>IFERROR(INDEX(Stock!$A$3:$T$90,MATCH('Overton Borough Overview'!$A145,Stock!$A$3:$A$90,0),MATCH('Overton Borough Overview'!G$65,Stock!$A$3:$T$3,0)),0)</f>
        <v>0</v>
      </c>
      <c r="H145" s="2"/>
    </row>
    <row r="146" spans="1:8" x14ac:dyDescent="0.2">
      <c r="A146" s="10" t="s">
        <v>111</v>
      </c>
      <c r="B146" s="45">
        <f>IFERROR(INDEX(Stock!$A$3:$T$90,MATCH('Overton Borough Overview'!$A146,Stock!$A$3:$A$90,0),MATCH('Overton Borough Overview'!B$65,Stock!$A$3:$T$3,0)),0)</f>
        <v>0</v>
      </c>
      <c r="C146" s="45">
        <f>IFERROR(INDEX(Stock!$A$3:$T$90,MATCH('Overton Borough Overview'!$A146,Stock!$A$3:$A$90,0),MATCH('Overton Borough Overview'!C$65,Stock!$A$3:$T$3,0)),0)</f>
        <v>0</v>
      </c>
      <c r="D146" s="45">
        <f t="shared" si="6"/>
        <v>0</v>
      </c>
      <c r="E146" s="10"/>
      <c r="F146" s="45">
        <f>IFERROR(INDEX(Stock!$A$3:$T$90,MATCH('Overton Borough Overview'!$A146,Stock!$A$3:$A$90,0),MATCH('Overton Borough Overview'!F$65,Stock!$A$3:$T$3,0)),0)</f>
        <v>0</v>
      </c>
      <c r="G146" s="45">
        <f>IFERROR(INDEX(Stock!$A$3:$T$90,MATCH('Overton Borough Overview'!$A146,Stock!$A$3:$A$90,0),MATCH('Overton Borough Overview'!G$65,Stock!$A$3:$T$3,0)),0)</f>
        <v>0</v>
      </c>
      <c r="H146" s="2"/>
    </row>
    <row r="147" spans="1:8" x14ac:dyDescent="0.2">
      <c r="A147" s="25" t="s">
        <v>53</v>
      </c>
      <c r="B147" s="23"/>
      <c r="C147" s="23"/>
      <c r="D147" s="23"/>
      <c r="E147" s="23"/>
      <c r="F147" s="23"/>
      <c r="G147" s="29">
        <f>SUM(G144:G146)</f>
        <v>0</v>
      </c>
      <c r="H147" s="2"/>
    </row>
    <row r="148" spans="1:8" x14ac:dyDescent="0.2">
      <c r="A148" s="25" t="s">
        <v>54</v>
      </c>
      <c r="B148" s="23"/>
      <c r="C148" s="23"/>
      <c r="D148" s="23"/>
      <c r="E148" s="23"/>
      <c r="F148" s="23"/>
      <c r="G148" s="29">
        <f>SUM(F144:F146)</f>
        <v>0</v>
      </c>
      <c r="H148" s="2"/>
    </row>
    <row r="149" spans="1:8" x14ac:dyDescent="0.2">
      <c r="A149" s="10"/>
      <c r="B149" s="10"/>
      <c r="C149" s="10"/>
      <c r="D149" s="10"/>
      <c r="E149" s="10"/>
      <c r="F149" s="10"/>
      <c r="G149" s="28"/>
      <c r="H149" s="2"/>
    </row>
    <row r="150" spans="1:8" ht="17" thickBot="1" x14ac:dyDescent="0.25">
      <c r="A150" s="10"/>
      <c r="B150" s="10"/>
      <c r="C150" s="10"/>
      <c r="D150" s="10"/>
      <c r="E150" s="10"/>
      <c r="F150" s="10"/>
      <c r="G150" s="28"/>
      <c r="H150" s="2"/>
    </row>
    <row r="151" spans="1:8" x14ac:dyDescent="0.2">
      <c r="A151" s="59" t="s">
        <v>206</v>
      </c>
      <c r="B151" s="60"/>
      <c r="C151" s="60"/>
      <c r="D151" s="60"/>
      <c r="E151" s="60"/>
      <c r="F151" s="60"/>
      <c r="G151" s="61" t="e">
        <f>G147+G125+G140+G133+G101+G93+G51</f>
        <v>#N/A</v>
      </c>
      <c r="H151" s="2"/>
    </row>
    <row r="152" spans="1:8" x14ac:dyDescent="0.2">
      <c r="A152" s="58" t="s">
        <v>207</v>
      </c>
      <c r="B152" s="52"/>
      <c r="C152" s="52"/>
      <c r="D152" s="52"/>
      <c r="E152" s="52"/>
      <c r="F152" s="52"/>
      <c r="G152" s="62">
        <f>G148+G141+G134+G126+G102+G93+G52</f>
        <v>0</v>
      </c>
      <c r="H152" s="2"/>
    </row>
    <row r="153" spans="1:8" x14ac:dyDescent="0.2">
      <c r="A153" s="58" t="s">
        <v>208</v>
      </c>
      <c r="B153" s="51"/>
      <c r="C153" s="51"/>
      <c r="D153" s="52"/>
      <c r="E153" s="52"/>
      <c r="F153" s="52"/>
      <c r="G153" s="62">
        <f>G10+G11</f>
        <v>0.8</v>
      </c>
      <c r="H153" s="2"/>
    </row>
    <row r="154" spans="1:8" x14ac:dyDescent="0.2">
      <c r="A154" s="58" t="s">
        <v>209</v>
      </c>
      <c r="B154" s="51"/>
      <c r="C154" s="52"/>
      <c r="D154" s="52"/>
      <c r="E154" s="52"/>
      <c r="F154" s="52"/>
      <c r="G154" s="62" t="e">
        <f>G151+G9+G10+G13-G8-G7</f>
        <v>#N/A</v>
      </c>
      <c r="H154" s="2"/>
    </row>
    <row r="155" spans="1:8" x14ac:dyDescent="0.2">
      <c r="A155" s="63"/>
      <c r="B155" s="10"/>
      <c r="C155" s="10"/>
      <c r="D155" s="10"/>
      <c r="E155" s="10"/>
      <c r="F155" s="10"/>
      <c r="G155" s="64"/>
      <c r="H155" s="2"/>
    </row>
    <row r="156" spans="1:8" x14ac:dyDescent="0.2">
      <c r="A156" s="65" t="s">
        <v>112</v>
      </c>
      <c r="B156" s="23"/>
      <c r="C156" s="23"/>
      <c r="D156" s="23"/>
      <c r="E156" s="23"/>
      <c r="F156" s="23"/>
      <c r="G156" s="66" t="e">
        <f>G32/G151</f>
        <v>#N/A</v>
      </c>
      <c r="H156" s="2"/>
    </row>
    <row r="157" spans="1:8" x14ac:dyDescent="0.2">
      <c r="A157" s="58" t="s">
        <v>113</v>
      </c>
      <c r="B157" s="51"/>
      <c r="C157" s="52"/>
      <c r="D157" s="52"/>
      <c r="E157" s="52"/>
      <c r="F157" s="52"/>
      <c r="G157" s="67" t="e">
        <f>G32/G154</f>
        <v>#N/A</v>
      </c>
      <c r="H157" s="2"/>
    </row>
    <row r="158" spans="1:8" x14ac:dyDescent="0.2">
      <c r="A158" s="63"/>
      <c r="B158" s="10"/>
      <c r="C158" s="10"/>
      <c r="D158" s="10"/>
      <c r="E158" s="10"/>
      <c r="F158" s="10"/>
      <c r="G158" s="64"/>
      <c r="H158" s="2"/>
    </row>
    <row r="159" spans="1:8" ht="17" thickBot="1" x14ac:dyDescent="0.25">
      <c r="A159" s="68" t="s">
        <v>114</v>
      </c>
      <c r="B159" s="69"/>
      <c r="C159" s="69"/>
      <c r="D159" s="69"/>
      <c r="E159" s="69"/>
      <c r="F159" s="69"/>
      <c r="G159" s="70">
        <v>2.0381328070000002</v>
      </c>
      <c r="H159" s="2"/>
    </row>
  </sheetData>
  <mergeCells count="1"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H70"/>
  <sheetViews>
    <sheetView zoomScale="94"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C68" sqref="C68"/>
    </sheetView>
  </sheetViews>
  <sheetFormatPr baseColWidth="10" defaultRowHeight="16" x14ac:dyDescent="0.2"/>
  <cols>
    <col min="1" max="1" width="41.5" bestFit="1" customWidth="1"/>
    <col min="7" max="7" width="10.83203125" style="2"/>
  </cols>
  <sheetData>
    <row r="1" spans="1:8" x14ac:dyDescent="0.2">
      <c r="A1" t="s">
        <v>185</v>
      </c>
      <c r="F1" s="1"/>
      <c r="H1" s="2"/>
    </row>
    <row r="2" spans="1:8" x14ac:dyDescent="0.2">
      <c r="B2" s="3" t="s">
        <v>0</v>
      </c>
      <c r="C2" s="4" t="s">
        <v>1</v>
      </c>
      <c r="D2" s="4" t="s">
        <v>2</v>
      </c>
      <c r="E2" s="5"/>
      <c r="F2" s="6" t="s">
        <v>3</v>
      </c>
      <c r="G2" s="7" t="s">
        <v>5</v>
      </c>
      <c r="H2" s="5" t="s">
        <v>4</v>
      </c>
    </row>
    <row r="3" spans="1:8" x14ac:dyDescent="0.2">
      <c r="F3" s="1"/>
      <c r="H3" s="2"/>
    </row>
    <row r="4" spans="1:8" x14ac:dyDescent="0.2">
      <c r="A4" s="5" t="s">
        <v>6</v>
      </c>
      <c r="F4" s="1"/>
      <c r="H4" s="2"/>
    </row>
    <row r="5" spans="1:8" x14ac:dyDescent="0.2">
      <c r="A5" t="s">
        <v>157</v>
      </c>
      <c r="B5">
        <v>2</v>
      </c>
      <c r="C5">
        <v>1</v>
      </c>
      <c r="D5">
        <v>2.5</v>
      </c>
      <c r="F5" s="8">
        <f t="shared" ref="F5:F6" si="0">B5+C5/20+D5/240</f>
        <v>2.0604166666666663</v>
      </c>
      <c r="H5" s="2"/>
    </row>
    <row r="6" spans="1:8" x14ac:dyDescent="0.2">
      <c r="A6" t="s">
        <v>7</v>
      </c>
      <c r="B6">
        <v>2</v>
      </c>
      <c r="C6">
        <v>1</v>
      </c>
      <c r="D6">
        <v>2.5</v>
      </c>
      <c r="F6" s="8">
        <f t="shared" si="0"/>
        <v>2.0604166666666663</v>
      </c>
      <c r="H6" s="2"/>
    </row>
    <row r="8" spans="1:8" x14ac:dyDescent="0.2">
      <c r="A8" s="5" t="s">
        <v>124</v>
      </c>
    </row>
    <row r="9" spans="1:8" x14ac:dyDescent="0.2">
      <c r="A9" t="s">
        <v>188</v>
      </c>
      <c r="B9">
        <v>8</v>
      </c>
      <c r="C9">
        <v>4</v>
      </c>
      <c r="D9">
        <v>3.5</v>
      </c>
      <c r="F9" s="8">
        <f t="shared" ref="F9:F11" si="1">B9+C9/20+D9/240</f>
        <v>8.2145833333333318</v>
      </c>
    </row>
    <row r="10" spans="1:8" x14ac:dyDescent="0.2">
      <c r="A10" s="5" t="s">
        <v>8</v>
      </c>
      <c r="B10">
        <v>8</v>
      </c>
      <c r="C10">
        <v>4</v>
      </c>
      <c r="D10">
        <v>3.5</v>
      </c>
      <c r="F10" s="8">
        <f t="shared" si="1"/>
        <v>8.2145833333333318</v>
      </c>
    </row>
    <row r="11" spans="1:8" x14ac:dyDescent="0.2">
      <c r="A11" s="5" t="s">
        <v>158</v>
      </c>
      <c r="B11">
        <f>SUM(B9:B9)</f>
        <v>8</v>
      </c>
      <c r="C11">
        <f>SUM(C9:C9)</f>
        <v>4</v>
      </c>
      <c r="D11">
        <f>SUM(D9:D9)</f>
        <v>3.5</v>
      </c>
      <c r="F11" s="8">
        <f t="shared" si="1"/>
        <v>8.2145833333333318</v>
      </c>
      <c r="G11" s="27">
        <f>F11-F10</f>
        <v>0</v>
      </c>
    </row>
    <row r="13" spans="1:8" x14ac:dyDescent="0.2">
      <c r="A13" s="5" t="s">
        <v>10</v>
      </c>
    </row>
    <row r="14" spans="1:8" x14ac:dyDescent="0.2">
      <c r="A14" t="s">
        <v>189</v>
      </c>
      <c r="C14">
        <v>2</v>
      </c>
      <c r="F14" s="8">
        <f t="shared" ref="F14:F16" si="2">B14+C14/20+D14/240</f>
        <v>0.1</v>
      </c>
    </row>
    <row r="15" spans="1:8" x14ac:dyDescent="0.2">
      <c r="A15" s="5" t="s">
        <v>8</v>
      </c>
      <c r="C15">
        <v>2</v>
      </c>
      <c r="F15" s="8">
        <f t="shared" si="2"/>
        <v>0.1</v>
      </c>
    </row>
    <row r="16" spans="1:8" x14ac:dyDescent="0.2">
      <c r="A16" s="5" t="s">
        <v>159</v>
      </c>
      <c r="B16">
        <f>SUM(B14:B14)</f>
        <v>0</v>
      </c>
      <c r="C16">
        <f>SUM(C14:C14)</f>
        <v>2</v>
      </c>
      <c r="D16">
        <f>SUM(D14:D14)</f>
        <v>0</v>
      </c>
      <c r="F16" s="8">
        <f t="shared" si="2"/>
        <v>0.1</v>
      </c>
      <c r="G16" s="27">
        <f>F16-F15</f>
        <v>0</v>
      </c>
    </row>
    <row r="18" spans="1:8" x14ac:dyDescent="0.2">
      <c r="A18" s="5" t="s">
        <v>11</v>
      </c>
    </row>
    <row r="19" spans="1:8" x14ac:dyDescent="0.2">
      <c r="A19" t="s">
        <v>190</v>
      </c>
      <c r="D19">
        <v>6</v>
      </c>
      <c r="F19" s="8">
        <f t="shared" ref="F19:F28" si="3">B19+C19/20+D19/240</f>
        <v>2.5000000000000001E-2</v>
      </c>
    </row>
    <row r="20" spans="1:8" x14ac:dyDescent="0.2">
      <c r="A20" s="5" t="s">
        <v>8</v>
      </c>
      <c r="D20">
        <v>6</v>
      </c>
      <c r="F20" s="8">
        <f t="shared" si="3"/>
        <v>2.5000000000000001E-2</v>
      </c>
    </row>
    <row r="21" spans="1:8" x14ac:dyDescent="0.2">
      <c r="A21" s="5" t="s">
        <v>160</v>
      </c>
      <c r="B21">
        <f>SUM(B19:B19)</f>
        <v>0</v>
      </c>
      <c r="C21">
        <f>SUM(C19:C19)</f>
        <v>0</v>
      </c>
      <c r="D21">
        <f>SUM(D19:D19)</f>
        <v>6</v>
      </c>
      <c r="F21" s="8">
        <f t="shared" si="3"/>
        <v>2.5000000000000001E-2</v>
      </c>
      <c r="G21" s="27">
        <f>F21-F20</f>
        <v>0</v>
      </c>
    </row>
    <row r="23" spans="1:8" x14ac:dyDescent="0.2">
      <c r="A23" s="5" t="s">
        <v>12</v>
      </c>
      <c r="B23">
        <v>8</v>
      </c>
      <c r="C23">
        <v>1</v>
      </c>
      <c r="D23">
        <v>9.5</v>
      </c>
      <c r="F23" s="8">
        <f t="shared" si="3"/>
        <v>8.0895833333333336</v>
      </c>
      <c r="H23" t="s">
        <v>20</v>
      </c>
    </row>
    <row r="24" spans="1:8" x14ac:dyDescent="0.2">
      <c r="F24" s="8"/>
    </row>
    <row r="25" spans="1:8" x14ac:dyDescent="0.2">
      <c r="A25" s="5" t="s">
        <v>13</v>
      </c>
      <c r="F25" s="8"/>
    </row>
    <row r="26" spans="1:8" x14ac:dyDescent="0.2">
      <c r="F26" s="8">
        <f t="shared" si="3"/>
        <v>0</v>
      </c>
    </row>
    <row r="27" spans="1:8" x14ac:dyDescent="0.2">
      <c r="A27" s="5" t="s">
        <v>8</v>
      </c>
      <c r="F27" s="8">
        <f t="shared" si="3"/>
        <v>0</v>
      </c>
    </row>
    <row r="28" spans="1:8" x14ac:dyDescent="0.2">
      <c r="A28" s="5" t="s">
        <v>173</v>
      </c>
      <c r="B28">
        <f>SUM(B26)</f>
        <v>0</v>
      </c>
      <c r="C28">
        <f>SUM(C26)</f>
        <v>0</v>
      </c>
      <c r="D28">
        <f>SUM(D26)</f>
        <v>0</v>
      </c>
      <c r="F28" s="8">
        <f t="shared" si="3"/>
        <v>0</v>
      </c>
      <c r="G28" s="27">
        <f>F28-F27</f>
        <v>0</v>
      </c>
    </row>
    <row r="30" spans="1:8" x14ac:dyDescent="0.2">
      <c r="A30" s="5" t="s">
        <v>14</v>
      </c>
    </row>
    <row r="31" spans="1:8" x14ac:dyDescent="0.2">
      <c r="A31" t="s">
        <v>191</v>
      </c>
      <c r="D31">
        <v>6</v>
      </c>
      <c r="F31" s="8">
        <f t="shared" ref="F31:F33" si="4">B31+C31/20+D31/240</f>
        <v>2.5000000000000001E-2</v>
      </c>
    </row>
    <row r="32" spans="1:8" x14ac:dyDescent="0.2">
      <c r="A32" s="5" t="s">
        <v>8</v>
      </c>
      <c r="D32">
        <v>6</v>
      </c>
      <c r="F32" s="8">
        <f t="shared" si="4"/>
        <v>2.5000000000000001E-2</v>
      </c>
    </row>
    <row r="33" spans="1:7" x14ac:dyDescent="0.2">
      <c r="A33" s="5" t="s">
        <v>174</v>
      </c>
      <c r="B33">
        <f>SUM(B31:B31)</f>
        <v>0</v>
      </c>
      <c r="C33">
        <f>SUM(C31:C31)</f>
        <v>0</v>
      </c>
      <c r="D33">
        <f>SUM(D31:D31)</f>
        <v>6</v>
      </c>
      <c r="F33" s="8">
        <f t="shared" si="4"/>
        <v>2.5000000000000001E-2</v>
      </c>
      <c r="G33" s="27">
        <f>F33-F32</f>
        <v>0</v>
      </c>
    </row>
    <row r="34" spans="1:7" x14ac:dyDescent="0.2">
      <c r="A34" s="1"/>
    </row>
    <row r="35" spans="1:7" x14ac:dyDescent="0.2">
      <c r="A35" s="5" t="s">
        <v>192</v>
      </c>
    </row>
    <row r="36" spans="1:7" x14ac:dyDescent="0.2">
      <c r="A36" t="s">
        <v>193</v>
      </c>
      <c r="C36">
        <v>10</v>
      </c>
      <c r="D36">
        <v>8</v>
      </c>
      <c r="F36" s="8">
        <f t="shared" ref="F36:F39" si="5">B36+C36/20+D36/240</f>
        <v>0.53333333333333333</v>
      </c>
    </row>
    <row r="37" spans="1:7" x14ac:dyDescent="0.2">
      <c r="A37" t="s">
        <v>194</v>
      </c>
      <c r="C37">
        <v>5</v>
      </c>
      <c r="D37">
        <v>4</v>
      </c>
      <c r="F37" s="8">
        <f t="shared" si="5"/>
        <v>0.26666666666666666</v>
      </c>
    </row>
    <row r="38" spans="1:7" x14ac:dyDescent="0.2">
      <c r="A38" s="5" t="s">
        <v>8</v>
      </c>
      <c r="C38">
        <v>16</v>
      </c>
      <c r="F38" s="8">
        <f t="shared" si="5"/>
        <v>0.8</v>
      </c>
    </row>
    <row r="39" spans="1:7" x14ac:dyDescent="0.2">
      <c r="A39" s="5" t="s">
        <v>175</v>
      </c>
      <c r="B39">
        <f>SUM(B36:B37)</f>
        <v>0</v>
      </c>
      <c r="C39">
        <f>SUM(C36:C37)</f>
        <v>15</v>
      </c>
      <c r="D39">
        <f>SUM(D36:D37)</f>
        <v>12</v>
      </c>
      <c r="F39" s="8">
        <f t="shared" si="5"/>
        <v>0.8</v>
      </c>
      <c r="G39" s="27">
        <f>F39-F38</f>
        <v>0</v>
      </c>
    </row>
    <row r="41" spans="1:7" x14ac:dyDescent="0.2">
      <c r="A41" s="5" t="s">
        <v>15</v>
      </c>
    </row>
    <row r="42" spans="1:7" x14ac:dyDescent="0.2">
      <c r="A42" t="s">
        <v>195</v>
      </c>
      <c r="F42" s="8">
        <f t="shared" ref="F42:F44" si="6">B42+C42/20+D42/240</f>
        <v>0</v>
      </c>
    </row>
    <row r="43" spans="1:7" x14ac:dyDescent="0.2">
      <c r="A43" s="5" t="s">
        <v>8</v>
      </c>
      <c r="F43" s="8">
        <f t="shared" si="6"/>
        <v>0</v>
      </c>
    </row>
    <row r="44" spans="1:7" x14ac:dyDescent="0.2">
      <c r="A44" s="5" t="s">
        <v>162</v>
      </c>
      <c r="B44">
        <f>SUM(B42:B42)</f>
        <v>0</v>
      </c>
      <c r="C44">
        <f>SUM(C42:C42)</f>
        <v>0</v>
      </c>
      <c r="D44">
        <f>SUM(D42:D42)</f>
        <v>0</v>
      </c>
      <c r="F44" s="8">
        <f t="shared" si="6"/>
        <v>0</v>
      </c>
      <c r="G44" s="27">
        <f>F44-F43</f>
        <v>0</v>
      </c>
    </row>
    <row r="46" spans="1:7" x14ac:dyDescent="0.2">
      <c r="A46" s="5" t="s">
        <v>16</v>
      </c>
    </row>
    <row r="47" spans="1:7" x14ac:dyDescent="0.2">
      <c r="A47" t="s">
        <v>195</v>
      </c>
      <c r="F47" s="8">
        <f t="shared" ref="F47:F64" si="7">B47+C47/20+D47/240</f>
        <v>0</v>
      </c>
    </row>
    <row r="48" spans="1:7" x14ac:dyDescent="0.2">
      <c r="A48" s="5" t="s">
        <v>8</v>
      </c>
      <c r="F48" s="8">
        <f t="shared" si="7"/>
        <v>0</v>
      </c>
    </row>
    <row r="49" spans="1:7" x14ac:dyDescent="0.2">
      <c r="A49" s="5" t="s">
        <v>163</v>
      </c>
      <c r="B49">
        <f>SUM(B47:B47)</f>
        <v>0</v>
      </c>
      <c r="C49">
        <f>SUM(C47:C47)</f>
        <v>0</v>
      </c>
      <c r="D49">
        <f>SUM(D47:D47)</f>
        <v>0</v>
      </c>
      <c r="F49" s="8">
        <f t="shared" si="7"/>
        <v>0</v>
      </c>
      <c r="G49" s="27">
        <f>F49-F48</f>
        <v>0</v>
      </c>
    </row>
    <row r="50" spans="1:7" x14ac:dyDescent="0.2">
      <c r="A50" s="5"/>
      <c r="F50" s="8"/>
      <c r="G50" s="27"/>
    </row>
    <row r="51" spans="1:7" x14ac:dyDescent="0.2">
      <c r="A51" s="5"/>
      <c r="F51" s="8"/>
      <c r="G51" s="27"/>
    </row>
    <row r="52" spans="1:7" x14ac:dyDescent="0.2">
      <c r="A52" s="5" t="s">
        <v>201</v>
      </c>
    </row>
    <row r="53" spans="1:7" x14ac:dyDescent="0.2">
      <c r="A53" t="s">
        <v>202</v>
      </c>
      <c r="C53">
        <v>10</v>
      </c>
      <c r="F53" s="8">
        <f t="shared" ref="F53:F55" si="8">B53+C53/20+D53/240</f>
        <v>0.5</v>
      </c>
    </row>
    <row r="54" spans="1:7" x14ac:dyDescent="0.2">
      <c r="A54" s="5" t="s">
        <v>8</v>
      </c>
      <c r="C54">
        <v>10</v>
      </c>
      <c r="F54" s="8">
        <f t="shared" si="8"/>
        <v>0.5</v>
      </c>
    </row>
    <row r="55" spans="1:7" x14ac:dyDescent="0.2">
      <c r="A55" s="5" t="s">
        <v>163</v>
      </c>
      <c r="B55">
        <f>SUM(B53:B53)</f>
        <v>0</v>
      </c>
      <c r="C55">
        <f>SUM(C53:C53)</f>
        <v>10</v>
      </c>
      <c r="D55">
        <f>SUM(D53:D53)</f>
        <v>0</v>
      </c>
      <c r="F55" s="8">
        <f t="shared" si="8"/>
        <v>0.5</v>
      </c>
      <c r="G55" s="27">
        <f>F55-F54</f>
        <v>0</v>
      </c>
    </row>
    <row r="56" spans="1:7" x14ac:dyDescent="0.2">
      <c r="A56" s="5"/>
      <c r="F56" s="8"/>
      <c r="G56" s="27"/>
    </row>
    <row r="57" spans="1:7" x14ac:dyDescent="0.2">
      <c r="F57" s="8"/>
    </row>
    <row r="58" spans="1:7" x14ac:dyDescent="0.2">
      <c r="A58" s="5" t="s">
        <v>17</v>
      </c>
      <c r="F58" s="8"/>
    </row>
    <row r="59" spans="1:7" x14ac:dyDescent="0.2">
      <c r="A59" t="s">
        <v>196</v>
      </c>
      <c r="C59">
        <v>8</v>
      </c>
      <c r="D59">
        <v>9</v>
      </c>
      <c r="F59" s="8">
        <f t="shared" si="7"/>
        <v>0.4375</v>
      </c>
    </row>
    <row r="60" spans="1:7" x14ac:dyDescent="0.2">
      <c r="A60" t="s">
        <v>197</v>
      </c>
      <c r="C60">
        <v>2</v>
      </c>
      <c r="F60" s="8">
        <f t="shared" si="7"/>
        <v>0.1</v>
      </c>
    </row>
    <row r="61" spans="1:7" x14ac:dyDescent="0.2">
      <c r="A61" t="s">
        <v>198</v>
      </c>
      <c r="C61">
        <v>7</v>
      </c>
      <c r="D61">
        <v>6</v>
      </c>
      <c r="F61" s="8">
        <f t="shared" si="7"/>
        <v>0.375</v>
      </c>
    </row>
    <row r="62" spans="1:7" x14ac:dyDescent="0.2">
      <c r="A62" t="s">
        <v>199</v>
      </c>
      <c r="C62">
        <v>4</v>
      </c>
      <c r="D62">
        <v>6</v>
      </c>
      <c r="F62" s="8">
        <f t="shared" si="7"/>
        <v>0.22500000000000001</v>
      </c>
    </row>
    <row r="63" spans="1:7" x14ac:dyDescent="0.2">
      <c r="A63" t="s">
        <v>200</v>
      </c>
      <c r="B63">
        <v>2</v>
      </c>
      <c r="C63">
        <v>2</v>
      </c>
      <c r="D63">
        <v>6</v>
      </c>
      <c r="F63" s="8">
        <f t="shared" si="7"/>
        <v>2.125</v>
      </c>
    </row>
    <row r="64" spans="1:7" x14ac:dyDescent="0.2">
      <c r="A64" s="5" t="s">
        <v>8</v>
      </c>
      <c r="B64">
        <v>3</v>
      </c>
      <c r="C64">
        <v>5</v>
      </c>
      <c r="D64">
        <v>3</v>
      </c>
      <c r="F64" s="8">
        <f t="shared" si="7"/>
        <v>3.2625000000000002</v>
      </c>
    </row>
    <row r="65" spans="1:7" x14ac:dyDescent="0.2">
      <c r="A65" s="5" t="s">
        <v>177</v>
      </c>
      <c r="B65">
        <f>SUM(B59:B63)</f>
        <v>2</v>
      </c>
      <c r="C65">
        <f t="shared" ref="C65:D65" si="9">SUM(C59:C63)</f>
        <v>23</v>
      </c>
      <c r="D65">
        <f t="shared" si="9"/>
        <v>27</v>
      </c>
      <c r="F65" s="8">
        <f>B65+C65/20+D65/240</f>
        <v>3.2624999999999997</v>
      </c>
    </row>
    <row r="67" spans="1:7" x14ac:dyDescent="0.2">
      <c r="A67" s="9" t="s">
        <v>18</v>
      </c>
      <c r="F67" s="8">
        <f>F65+F55+F49+F44+F39+F33+F28+F23</f>
        <v>12.677083333333334</v>
      </c>
    </row>
    <row r="68" spans="1:7" x14ac:dyDescent="0.2">
      <c r="A68" s="9" t="s">
        <v>19</v>
      </c>
      <c r="F68" s="8">
        <f>F67+F6</f>
        <v>14.737500000000001</v>
      </c>
    </row>
    <row r="69" spans="1:7" x14ac:dyDescent="0.2">
      <c r="A69" s="9" t="s">
        <v>154</v>
      </c>
      <c r="B69">
        <v>12</v>
      </c>
      <c r="C69">
        <v>13</v>
      </c>
      <c r="D69">
        <v>6</v>
      </c>
      <c r="F69" s="8">
        <f t="shared" ref="F69:F70" si="10">B69+C69/20+D69/240</f>
        <v>12.675000000000001</v>
      </c>
      <c r="G69" s="27">
        <f>F69-F67</f>
        <v>-2.0833333333332149E-3</v>
      </c>
    </row>
    <row r="70" spans="1:7" x14ac:dyDescent="0.2">
      <c r="A70" s="9" t="s">
        <v>153</v>
      </c>
      <c r="F70" s="8">
        <f t="shared" si="10"/>
        <v>0</v>
      </c>
      <c r="G70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H120"/>
  <sheetViews>
    <sheetView tabSelected="1" topLeftCell="A69" zoomScale="108" workbookViewId="0">
      <selection activeCell="C78" sqref="C78"/>
    </sheetView>
  </sheetViews>
  <sheetFormatPr baseColWidth="10" defaultRowHeight="16" x14ac:dyDescent="0.2"/>
  <cols>
    <col min="1" max="1" width="47.6640625" bestFit="1" customWidth="1"/>
  </cols>
  <sheetData>
    <row r="1" spans="1:8" x14ac:dyDescent="0.2">
      <c r="A1" s="10" t="s">
        <v>187</v>
      </c>
      <c r="B1" s="10"/>
      <c r="C1" s="10"/>
      <c r="D1" s="10"/>
      <c r="E1" s="10"/>
      <c r="F1" s="11"/>
      <c r="G1" s="10"/>
      <c r="H1" s="2"/>
    </row>
    <row r="2" spans="1:8" x14ac:dyDescent="0.2">
      <c r="A2" s="10"/>
      <c r="B2" s="12" t="s">
        <v>0</v>
      </c>
      <c r="C2" s="13" t="s">
        <v>1</v>
      </c>
      <c r="D2" s="13" t="s">
        <v>2</v>
      </c>
      <c r="E2" s="9"/>
      <c r="F2" s="14" t="s">
        <v>3</v>
      </c>
      <c r="G2" s="7" t="s">
        <v>5</v>
      </c>
      <c r="H2" s="5" t="s">
        <v>4</v>
      </c>
    </row>
    <row r="3" spans="1:8" x14ac:dyDescent="0.2">
      <c r="A3" s="5" t="s">
        <v>21</v>
      </c>
    </row>
    <row r="4" spans="1:8" x14ac:dyDescent="0.2">
      <c r="F4" s="1">
        <f t="shared" ref="F4:F15" si="0">B4+C4/20+D4/240</f>
        <v>0</v>
      </c>
    </row>
    <row r="5" spans="1:8" x14ac:dyDescent="0.2">
      <c r="F5" s="1">
        <f t="shared" si="0"/>
        <v>0</v>
      </c>
    </row>
    <row r="6" spans="1:8" x14ac:dyDescent="0.2">
      <c r="F6" s="1">
        <f t="shared" si="0"/>
        <v>0</v>
      </c>
    </row>
    <row r="7" spans="1:8" x14ac:dyDescent="0.2">
      <c r="F7" s="1">
        <f t="shared" si="0"/>
        <v>0</v>
      </c>
    </row>
    <row r="8" spans="1:8" x14ac:dyDescent="0.2">
      <c r="F8" s="1">
        <f t="shared" si="0"/>
        <v>0</v>
      </c>
    </row>
    <row r="9" spans="1:8" x14ac:dyDescent="0.2">
      <c r="F9" s="1">
        <f t="shared" si="0"/>
        <v>0</v>
      </c>
    </row>
    <row r="10" spans="1:8" x14ac:dyDescent="0.2">
      <c r="F10" s="1">
        <f t="shared" si="0"/>
        <v>0</v>
      </c>
    </row>
    <row r="11" spans="1:8" x14ac:dyDescent="0.2">
      <c r="F11" s="1">
        <f t="shared" si="0"/>
        <v>0</v>
      </c>
    </row>
    <row r="12" spans="1:8" x14ac:dyDescent="0.2">
      <c r="F12" s="1">
        <f t="shared" si="0"/>
        <v>0</v>
      </c>
    </row>
    <row r="13" spans="1:8" x14ac:dyDescent="0.2">
      <c r="F13" s="1">
        <f t="shared" si="0"/>
        <v>0</v>
      </c>
    </row>
    <row r="14" spans="1:8" x14ac:dyDescent="0.2">
      <c r="F14" s="1">
        <f t="shared" si="0"/>
        <v>0</v>
      </c>
    </row>
    <row r="15" spans="1:8" x14ac:dyDescent="0.2">
      <c r="F15" s="1">
        <f t="shared" si="0"/>
        <v>0</v>
      </c>
    </row>
    <row r="16" spans="1:8" x14ac:dyDescent="0.2">
      <c r="A16" s="5" t="s">
        <v>8</v>
      </c>
      <c r="F16" s="8">
        <f t="shared" ref="F16:F18" si="1">B16+C16/20+D16/240</f>
        <v>0</v>
      </c>
    </row>
    <row r="17" spans="1:7" x14ac:dyDescent="0.2">
      <c r="A17" s="5" t="s">
        <v>164</v>
      </c>
      <c r="B17">
        <f>SUM(B3:B15)</f>
        <v>0</v>
      </c>
      <c r="C17">
        <f>SUM(C3:C15)</f>
        <v>0</v>
      </c>
      <c r="D17">
        <f>SUM(D3:D15)</f>
        <v>0</v>
      </c>
      <c r="F17" s="8">
        <f t="shared" si="1"/>
        <v>0</v>
      </c>
      <c r="G17" s="1">
        <f>F17-F16</f>
        <v>0</v>
      </c>
    </row>
    <row r="18" spans="1:7" x14ac:dyDescent="0.2">
      <c r="A18" s="5" t="s">
        <v>126</v>
      </c>
      <c r="B18">
        <f>SUM(B4:B7,B9,B10:B11,B13,B15)</f>
        <v>0</v>
      </c>
      <c r="C18">
        <f t="shared" ref="C18:D18" si="2">SUM(C4:C7,C9,C10:C11,C13,C15)</f>
        <v>0</v>
      </c>
      <c r="D18">
        <f t="shared" si="2"/>
        <v>0</v>
      </c>
      <c r="F18" s="8">
        <f t="shared" si="1"/>
        <v>0</v>
      </c>
      <c r="G18" s="1"/>
    </row>
    <row r="20" spans="1:7" x14ac:dyDescent="0.2">
      <c r="A20" s="5" t="s">
        <v>22</v>
      </c>
    </row>
    <row r="21" spans="1:7" x14ac:dyDescent="0.2">
      <c r="F21" s="1">
        <f t="shared" ref="F21:F23" si="3">B21+C21/20+D21/240</f>
        <v>0</v>
      </c>
    </row>
    <row r="22" spans="1:7" x14ac:dyDescent="0.2">
      <c r="A22" s="5" t="s">
        <v>8</v>
      </c>
      <c r="F22" s="8">
        <f t="shared" si="3"/>
        <v>0</v>
      </c>
    </row>
    <row r="23" spans="1:7" x14ac:dyDescent="0.2">
      <c r="A23" s="5" t="s">
        <v>165</v>
      </c>
      <c r="B23">
        <f>SUM(B21)</f>
        <v>0</v>
      </c>
      <c r="C23">
        <f t="shared" ref="C23:D23" si="4">SUM(C21)</f>
        <v>0</v>
      </c>
      <c r="D23">
        <f t="shared" si="4"/>
        <v>0</v>
      </c>
      <c r="F23" s="8">
        <f t="shared" si="3"/>
        <v>0</v>
      </c>
      <c r="G23" s="1">
        <f>F23-F22</f>
        <v>0</v>
      </c>
    </row>
    <row r="25" spans="1:7" x14ac:dyDescent="0.2">
      <c r="A25" s="5" t="s">
        <v>23</v>
      </c>
    </row>
    <row r="26" spans="1:7" x14ac:dyDescent="0.2">
      <c r="F26" s="1">
        <f t="shared" ref="F26:F41" si="5">B26+C26/20+D26/240</f>
        <v>0</v>
      </c>
    </row>
    <row r="27" spans="1:7" x14ac:dyDescent="0.2">
      <c r="F27" s="1">
        <f t="shared" si="5"/>
        <v>0</v>
      </c>
    </row>
    <row r="28" spans="1:7" x14ac:dyDescent="0.2">
      <c r="F28" s="1">
        <f t="shared" si="5"/>
        <v>0</v>
      </c>
    </row>
    <row r="29" spans="1:7" x14ac:dyDescent="0.2">
      <c r="F29" s="1">
        <f t="shared" si="5"/>
        <v>0</v>
      </c>
    </row>
    <row r="30" spans="1:7" x14ac:dyDescent="0.2">
      <c r="F30" s="1">
        <f t="shared" si="5"/>
        <v>0</v>
      </c>
    </row>
    <row r="31" spans="1:7" x14ac:dyDescent="0.2">
      <c r="F31" s="1">
        <f t="shared" si="5"/>
        <v>0</v>
      </c>
    </row>
    <row r="32" spans="1:7" x14ac:dyDescent="0.2">
      <c r="F32" s="1">
        <f t="shared" si="5"/>
        <v>0</v>
      </c>
    </row>
    <row r="33" spans="1:7" x14ac:dyDescent="0.2">
      <c r="F33" s="1">
        <f t="shared" si="5"/>
        <v>0</v>
      </c>
    </row>
    <row r="34" spans="1:7" x14ac:dyDescent="0.2">
      <c r="F34" s="1">
        <f t="shared" si="5"/>
        <v>0</v>
      </c>
    </row>
    <row r="35" spans="1:7" x14ac:dyDescent="0.2">
      <c r="F35" s="1">
        <f t="shared" si="5"/>
        <v>0</v>
      </c>
    </row>
    <row r="36" spans="1:7" x14ac:dyDescent="0.2">
      <c r="F36" s="1">
        <f t="shared" si="5"/>
        <v>0</v>
      </c>
    </row>
    <row r="37" spans="1:7" x14ac:dyDescent="0.2">
      <c r="F37" s="1">
        <f t="shared" si="5"/>
        <v>0</v>
      </c>
    </row>
    <row r="38" spans="1:7" x14ac:dyDescent="0.2">
      <c r="F38" s="1">
        <f t="shared" si="5"/>
        <v>0</v>
      </c>
    </row>
    <row r="39" spans="1:7" x14ac:dyDescent="0.2">
      <c r="F39" s="1">
        <f t="shared" si="5"/>
        <v>0</v>
      </c>
    </row>
    <row r="40" spans="1:7" x14ac:dyDescent="0.2">
      <c r="F40" s="1">
        <f t="shared" si="5"/>
        <v>0</v>
      </c>
    </row>
    <row r="41" spans="1:7" x14ac:dyDescent="0.2">
      <c r="A41" s="5" t="s">
        <v>8</v>
      </c>
      <c r="F41" s="8">
        <f t="shared" si="5"/>
        <v>0</v>
      </c>
    </row>
    <row r="42" spans="1:7" x14ac:dyDescent="0.2">
      <c r="A42" s="5" t="s">
        <v>166</v>
      </c>
      <c r="B42">
        <f>SUM(B26:B40)</f>
        <v>0</v>
      </c>
      <c r="C42">
        <f t="shared" ref="C42:D42" si="6">SUM(C26:C40)</f>
        <v>0</v>
      </c>
      <c r="D42">
        <f t="shared" si="6"/>
        <v>0</v>
      </c>
      <c r="F42" s="8">
        <f t="shared" ref="F42:F43" si="7">B42+C42/20+D42/240</f>
        <v>0</v>
      </c>
      <c r="G42" s="1">
        <f>F42-F41</f>
        <v>0</v>
      </c>
    </row>
    <row r="43" spans="1:7" x14ac:dyDescent="0.2">
      <c r="A43" s="5" t="s">
        <v>126</v>
      </c>
      <c r="B43">
        <f>SUM(B26:B39)</f>
        <v>0</v>
      </c>
      <c r="C43">
        <f>SUM(C26:C39)</f>
        <v>0</v>
      </c>
      <c r="D43">
        <f t="shared" ref="D43" si="8">SUM(D26:D39)</f>
        <v>0</v>
      </c>
      <c r="F43" s="8">
        <f t="shared" si="7"/>
        <v>0</v>
      </c>
      <c r="G43" s="1"/>
    </row>
    <row r="45" spans="1:7" x14ac:dyDescent="0.2">
      <c r="A45" s="5" t="s">
        <v>24</v>
      </c>
    </row>
    <row r="46" spans="1:7" x14ac:dyDescent="0.2">
      <c r="F46" s="1">
        <f t="shared" ref="F46:F54" si="9">B46+C46/20+D46/240</f>
        <v>0</v>
      </c>
    </row>
    <row r="47" spans="1:7" x14ac:dyDescent="0.2">
      <c r="F47" s="1">
        <f t="shared" si="9"/>
        <v>0</v>
      </c>
    </row>
    <row r="48" spans="1:7" x14ac:dyDescent="0.2">
      <c r="F48" s="1">
        <f t="shared" si="9"/>
        <v>0</v>
      </c>
    </row>
    <row r="49" spans="1:7" x14ac:dyDescent="0.2">
      <c r="F49" s="1">
        <f t="shared" si="9"/>
        <v>0</v>
      </c>
    </row>
    <row r="50" spans="1:7" x14ac:dyDescent="0.2">
      <c r="F50" s="1">
        <f t="shared" si="9"/>
        <v>0</v>
      </c>
    </row>
    <row r="51" spans="1:7" x14ac:dyDescent="0.2">
      <c r="F51" s="1">
        <f t="shared" si="9"/>
        <v>0</v>
      </c>
    </row>
    <row r="52" spans="1:7" x14ac:dyDescent="0.2">
      <c r="A52" s="5" t="s">
        <v>8</v>
      </c>
      <c r="F52" s="8">
        <f t="shared" si="9"/>
        <v>0</v>
      </c>
    </row>
    <row r="53" spans="1:7" x14ac:dyDescent="0.2">
      <c r="A53" s="5" t="s">
        <v>167</v>
      </c>
      <c r="B53">
        <f>SUM(B46:B51)</f>
        <v>0</v>
      </c>
      <c r="C53">
        <f t="shared" ref="C53:D53" si="10">SUM(C46:C51)</f>
        <v>0</v>
      </c>
      <c r="D53">
        <f t="shared" si="10"/>
        <v>0</v>
      </c>
      <c r="F53" s="8">
        <f t="shared" si="9"/>
        <v>0</v>
      </c>
      <c r="G53" s="1">
        <f>F53-F52</f>
        <v>0</v>
      </c>
    </row>
    <row r="54" spans="1:7" x14ac:dyDescent="0.2">
      <c r="A54" s="5" t="s">
        <v>126</v>
      </c>
      <c r="B54">
        <f>SUM(B46:B50)</f>
        <v>0</v>
      </c>
      <c r="C54">
        <f t="shared" ref="C54:D54" si="11">SUM(C46:C50)</f>
        <v>0</v>
      </c>
      <c r="D54">
        <f t="shared" si="11"/>
        <v>0</v>
      </c>
      <c r="F54" s="8">
        <f t="shared" si="9"/>
        <v>0</v>
      </c>
      <c r="G54" s="1"/>
    </row>
    <row r="56" spans="1:7" x14ac:dyDescent="0.2">
      <c r="A56" s="5" t="s">
        <v>25</v>
      </c>
    </row>
    <row r="57" spans="1:7" x14ac:dyDescent="0.2">
      <c r="F57" s="1">
        <f t="shared" ref="F57:F61" si="12">B57+C57/20+D57/240</f>
        <v>0</v>
      </c>
    </row>
    <row r="58" spans="1:7" x14ac:dyDescent="0.2">
      <c r="F58" s="1">
        <f t="shared" si="12"/>
        <v>0</v>
      </c>
    </row>
    <row r="59" spans="1:7" x14ac:dyDescent="0.2">
      <c r="F59" s="1">
        <f t="shared" si="12"/>
        <v>0</v>
      </c>
    </row>
    <row r="60" spans="1:7" x14ac:dyDescent="0.2">
      <c r="A60" s="5" t="s">
        <v>8</v>
      </c>
      <c r="F60" s="8">
        <f t="shared" si="12"/>
        <v>0</v>
      </c>
    </row>
    <row r="61" spans="1:7" x14ac:dyDescent="0.2">
      <c r="A61" s="5" t="s">
        <v>168</v>
      </c>
      <c r="B61">
        <f>SUM(B57:B59)</f>
        <v>0</v>
      </c>
      <c r="C61">
        <f t="shared" ref="C61:D61" si="13">SUM(C57:C59)</f>
        <v>0</v>
      </c>
      <c r="D61">
        <f t="shared" si="13"/>
        <v>0</v>
      </c>
      <c r="F61" s="8">
        <f t="shared" si="12"/>
        <v>0</v>
      </c>
      <c r="G61" s="1">
        <f>F61-F60</f>
        <v>0</v>
      </c>
    </row>
    <row r="63" spans="1:7" x14ac:dyDescent="0.2">
      <c r="A63" s="5" t="s">
        <v>26</v>
      </c>
    </row>
    <row r="64" spans="1:7" x14ac:dyDescent="0.2">
      <c r="F64" s="1">
        <f t="shared" ref="F64:F72" si="14">B64+C64/20+D64/240</f>
        <v>0</v>
      </c>
    </row>
    <row r="65" spans="1:7" x14ac:dyDescent="0.2">
      <c r="F65" s="1">
        <f t="shared" si="14"/>
        <v>0</v>
      </c>
    </row>
    <row r="66" spans="1:7" x14ac:dyDescent="0.2">
      <c r="F66" s="1">
        <f t="shared" si="14"/>
        <v>0</v>
      </c>
    </row>
    <row r="67" spans="1:7" x14ac:dyDescent="0.2">
      <c r="F67" s="1">
        <f t="shared" si="14"/>
        <v>0</v>
      </c>
    </row>
    <row r="68" spans="1:7" x14ac:dyDescent="0.2">
      <c r="F68" s="1">
        <f t="shared" si="14"/>
        <v>0</v>
      </c>
    </row>
    <row r="69" spans="1:7" x14ac:dyDescent="0.2">
      <c r="F69" s="1">
        <f t="shared" si="14"/>
        <v>0</v>
      </c>
    </row>
    <row r="70" spans="1:7" x14ac:dyDescent="0.2">
      <c r="A70" s="5" t="s">
        <v>8</v>
      </c>
      <c r="F70" s="8">
        <f t="shared" si="14"/>
        <v>0</v>
      </c>
    </row>
    <row r="71" spans="1:7" x14ac:dyDescent="0.2">
      <c r="A71" s="5" t="s">
        <v>169</v>
      </c>
      <c r="B71">
        <f>SUM(B64:B69)</f>
        <v>0</v>
      </c>
      <c r="C71">
        <f t="shared" ref="C71:D71" si="15">SUM(C64:C69)</f>
        <v>0</v>
      </c>
      <c r="D71">
        <f t="shared" si="15"/>
        <v>0</v>
      </c>
      <c r="F71" s="8">
        <f t="shared" si="14"/>
        <v>0</v>
      </c>
      <c r="G71" s="1">
        <f>F71-F70</f>
        <v>0</v>
      </c>
    </row>
    <row r="72" spans="1:7" x14ac:dyDescent="0.2">
      <c r="A72" s="5" t="s">
        <v>126</v>
      </c>
      <c r="B72">
        <f>SUM(B64:B65,B66,B68:B69)</f>
        <v>0</v>
      </c>
      <c r="C72">
        <f t="shared" ref="C72:D72" si="16">SUM(C64:C65,C66,C68:C69)</f>
        <v>0</v>
      </c>
      <c r="D72">
        <f t="shared" si="16"/>
        <v>0</v>
      </c>
      <c r="F72" s="8">
        <f t="shared" si="14"/>
        <v>0</v>
      </c>
      <c r="G72" s="1"/>
    </row>
    <row r="74" spans="1:7" x14ac:dyDescent="0.2">
      <c r="A74" s="5" t="s">
        <v>27</v>
      </c>
    </row>
    <row r="75" spans="1:7" x14ac:dyDescent="0.2">
      <c r="A75" t="s">
        <v>203</v>
      </c>
      <c r="C75">
        <v>1</v>
      </c>
      <c r="D75">
        <v>8</v>
      </c>
      <c r="F75" s="1">
        <f t="shared" ref="F75:F88" si="17">B75+C75/20+D75/240</f>
        <v>8.3333333333333343E-2</v>
      </c>
    </row>
    <row r="76" spans="1:7" x14ac:dyDescent="0.2">
      <c r="A76" t="s">
        <v>204</v>
      </c>
      <c r="D76">
        <v>5</v>
      </c>
      <c r="F76" s="1">
        <f t="shared" si="17"/>
        <v>2.0833333333333332E-2</v>
      </c>
    </row>
    <row r="77" spans="1:7" x14ac:dyDescent="0.2">
      <c r="A77" t="s">
        <v>205</v>
      </c>
      <c r="C77">
        <v>3</v>
      </c>
      <c r="D77">
        <v>1</v>
      </c>
      <c r="F77" s="1">
        <f t="shared" si="17"/>
        <v>0.15416666666666667</v>
      </c>
    </row>
    <row r="78" spans="1:7" x14ac:dyDescent="0.2">
      <c r="F78" s="1">
        <f t="shared" si="17"/>
        <v>0</v>
      </c>
    </row>
    <row r="79" spans="1:7" x14ac:dyDescent="0.2">
      <c r="F79" s="1">
        <f t="shared" si="17"/>
        <v>0</v>
      </c>
    </row>
    <row r="80" spans="1:7" x14ac:dyDescent="0.2">
      <c r="F80" s="1">
        <f t="shared" si="17"/>
        <v>0</v>
      </c>
    </row>
    <row r="81" spans="1:7" x14ac:dyDescent="0.2">
      <c r="F81" s="1">
        <f t="shared" si="17"/>
        <v>0</v>
      </c>
    </row>
    <row r="82" spans="1:7" x14ac:dyDescent="0.2">
      <c r="F82" s="1">
        <f t="shared" si="17"/>
        <v>0</v>
      </c>
    </row>
    <row r="83" spans="1:7" x14ac:dyDescent="0.2">
      <c r="F83" s="1">
        <f t="shared" si="17"/>
        <v>0</v>
      </c>
    </row>
    <row r="84" spans="1:7" x14ac:dyDescent="0.2">
      <c r="F84" s="1">
        <f t="shared" si="17"/>
        <v>0</v>
      </c>
    </row>
    <row r="85" spans="1:7" x14ac:dyDescent="0.2">
      <c r="F85" s="1">
        <f t="shared" si="17"/>
        <v>0</v>
      </c>
    </row>
    <row r="86" spans="1:7" x14ac:dyDescent="0.2">
      <c r="A86" s="5" t="s">
        <v>8</v>
      </c>
      <c r="C86">
        <v>5</v>
      </c>
      <c r="D86">
        <v>2</v>
      </c>
      <c r="F86" s="8">
        <f t="shared" si="17"/>
        <v>0.25833333333333336</v>
      </c>
    </row>
    <row r="87" spans="1:7" x14ac:dyDescent="0.2">
      <c r="A87" s="5" t="s">
        <v>170</v>
      </c>
      <c r="B87">
        <f>SUM(B75:B85)</f>
        <v>0</v>
      </c>
      <c r="C87">
        <f t="shared" ref="C87:D87" si="18">SUM(C75:C85)</f>
        <v>4</v>
      </c>
      <c r="D87">
        <f t="shared" si="18"/>
        <v>14</v>
      </c>
      <c r="F87" s="8">
        <f t="shared" si="17"/>
        <v>0.25833333333333336</v>
      </c>
      <c r="G87" s="1">
        <f>F87-F86</f>
        <v>0</v>
      </c>
    </row>
    <row r="88" spans="1:7" x14ac:dyDescent="0.2">
      <c r="A88" s="5" t="s">
        <v>126</v>
      </c>
      <c r="B88">
        <f>SUM(B75:B76,B82:B85)</f>
        <v>0</v>
      </c>
      <c r="C88">
        <f t="shared" ref="C88:D88" si="19">SUM(C75:C76,C82:C85)</f>
        <v>1</v>
      </c>
      <c r="D88">
        <f t="shared" si="19"/>
        <v>13</v>
      </c>
      <c r="F88" s="8">
        <f t="shared" si="17"/>
        <v>0.10416666666666667</v>
      </c>
      <c r="G88" s="1"/>
    </row>
    <row r="90" spans="1:7" x14ac:dyDescent="0.2">
      <c r="A90" s="5" t="s">
        <v>28</v>
      </c>
    </row>
    <row r="91" spans="1:7" x14ac:dyDescent="0.2">
      <c r="F91" s="1">
        <f t="shared" ref="F91:F97" si="20">B91+C91/20+D91/240</f>
        <v>0</v>
      </c>
    </row>
    <row r="92" spans="1:7" x14ac:dyDescent="0.2">
      <c r="F92" s="1">
        <f t="shared" si="20"/>
        <v>0</v>
      </c>
    </row>
    <row r="93" spans="1:7" x14ac:dyDescent="0.2">
      <c r="F93" s="1">
        <f t="shared" si="20"/>
        <v>0</v>
      </c>
    </row>
    <row r="94" spans="1:7" x14ac:dyDescent="0.2">
      <c r="F94" s="1">
        <f t="shared" si="20"/>
        <v>0</v>
      </c>
    </row>
    <row r="95" spans="1:7" x14ac:dyDescent="0.2">
      <c r="F95" s="1">
        <f t="shared" si="20"/>
        <v>0</v>
      </c>
    </row>
    <row r="96" spans="1:7" x14ac:dyDescent="0.2">
      <c r="A96" s="5" t="s">
        <v>8</v>
      </c>
      <c r="F96" s="8">
        <f t="shared" si="20"/>
        <v>0</v>
      </c>
    </row>
    <row r="97" spans="1:7" x14ac:dyDescent="0.2">
      <c r="A97" s="5" t="s">
        <v>171</v>
      </c>
      <c r="B97">
        <f>SUM(B91:B95)</f>
        <v>0</v>
      </c>
      <c r="C97">
        <f t="shared" ref="C97:D97" si="21">SUM(C91:C95)</f>
        <v>0</v>
      </c>
      <c r="D97">
        <f t="shared" si="21"/>
        <v>0</v>
      </c>
      <c r="F97" s="8">
        <f t="shared" si="20"/>
        <v>0</v>
      </c>
      <c r="G97" s="1">
        <f>F97-F96</f>
        <v>0</v>
      </c>
    </row>
    <row r="99" spans="1:7" x14ac:dyDescent="0.2">
      <c r="A99" s="5" t="s">
        <v>29</v>
      </c>
    </row>
    <row r="100" spans="1:7" x14ac:dyDescent="0.2">
      <c r="F100" s="1">
        <f t="shared" ref="F100:F106" si="22">B100+C100/20+D100/240</f>
        <v>0</v>
      </c>
    </row>
    <row r="101" spans="1:7" x14ac:dyDescent="0.2">
      <c r="F101" s="1">
        <f t="shared" si="22"/>
        <v>0</v>
      </c>
    </row>
    <row r="102" spans="1:7" x14ac:dyDescent="0.2">
      <c r="F102" s="1">
        <f t="shared" si="22"/>
        <v>0</v>
      </c>
    </row>
    <row r="103" spans="1:7" x14ac:dyDescent="0.2">
      <c r="F103" s="1">
        <f t="shared" si="22"/>
        <v>0</v>
      </c>
    </row>
    <row r="104" spans="1:7" x14ac:dyDescent="0.2">
      <c r="F104" s="1">
        <f t="shared" si="22"/>
        <v>0</v>
      </c>
    </row>
    <row r="105" spans="1:7" x14ac:dyDescent="0.2">
      <c r="A105" s="5" t="s">
        <v>8</v>
      </c>
      <c r="F105" s="8">
        <f t="shared" si="22"/>
        <v>0</v>
      </c>
    </row>
    <row r="106" spans="1:7" x14ac:dyDescent="0.2">
      <c r="A106" s="5" t="s">
        <v>172</v>
      </c>
      <c r="B106">
        <f>SUM(B100:B104)</f>
        <v>0</v>
      </c>
      <c r="C106">
        <f t="shared" ref="C106:D106" si="23">SUM(C100:C104)</f>
        <v>0</v>
      </c>
      <c r="D106">
        <f t="shared" si="23"/>
        <v>0</v>
      </c>
      <c r="F106" s="8">
        <f t="shared" si="22"/>
        <v>0</v>
      </c>
      <c r="G106" s="1">
        <f>F106-F105</f>
        <v>0</v>
      </c>
    </row>
    <row r="108" spans="1:7" x14ac:dyDescent="0.2">
      <c r="A108" s="5" t="s">
        <v>30</v>
      </c>
    </row>
    <row r="109" spans="1:7" x14ac:dyDescent="0.2">
      <c r="F109" s="1">
        <f t="shared" ref="F109:F120" si="24">B109+C109/20+D109/240</f>
        <v>0</v>
      </c>
    </row>
    <row r="110" spans="1:7" x14ac:dyDescent="0.2">
      <c r="F110" s="1">
        <f t="shared" si="24"/>
        <v>0</v>
      </c>
    </row>
    <row r="111" spans="1:7" x14ac:dyDescent="0.2">
      <c r="F111" s="1">
        <f t="shared" si="24"/>
        <v>0</v>
      </c>
    </row>
    <row r="112" spans="1:7" x14ac:dyDescent="0.2">
      <c r="A112" s="5" t="s">
        <v>8</v>
      </c>
      <c r="F112" s="8">
        <f t="shared" si="24"/>
        <v>0</v>
      </c>
    </row>
    <row r="113" spans="1:7" x14ac:dyDescent="0.2">
      <c r="A113" s="5" t="s">
        <v>176</v>
      </c>
      <c r="B113">
        <f>SUM(B109:B111)</f>
        <v>0</v>
      </c>
      <c r="C113">
        <f t="shared" ref="C113:D113" si="25">SUM(C109:C111)</f>
        <v>0</v>
      </c>
      <c r="D113">
        <f t="shared" si="25"/>
        <v>0</v>
      </c>
      <c r="F113" s="8">
        <f t="shared" si="24"/>
        <v>0</v>
      </c>
      <c r="G113" s="1">
        <f>F113-F112</f>
        <v>0</v>
      </c>
    </row>
    <row r="115" spans="1:7" x14ac:dyDescent="0.2">
      <c r="A115" t="s">
        <v>31</v>
      </c>
      <c r="F115" s="1">
        <f t="shared" si="24"/>
        <v>0</v>
      </c>
    </row>
    <row r="116" spans="1:7" x14ac:dyDescent="0.2">
      <c r="A116" t="s">
        <v>35</v>
      </c>
      <c r="B116">
        <f>SUM(B113,B106,B97,B87,B71,B61,B53,B42,B23,B17)</f>
        <v>0</v>
      </c>
      <c r="C116">
        <f>SUM(C113,C106,C97,C87,C71,C61,C53,C42,C23,C17)</f>
        <v>4</v>
      </c>
      <c r="D116">
        <f>SUM(D113,D106,D97,D87,D71,D61,D53,D42,D23,D17)</f>
        <v>14</v>
      </c>
      <c r="F116" s="1">
        <f>B116+C116/20+D116/240</f>
        <v>0.25833333333333336</v>
      </c>
      <c r="G116" s="1">
        <f>F116-F115</f>
        <v>0.25833333333333336</v>
      </c>
    </row>
    <row r="117" spans="1:7" x14ac:dyDescent="0.2">
      <c r="A117" t="s">
        <v>32</v>
      </c>
      <c r="B117">
        <v>12</v>
      </c>
      <c r="C117">
        <v>8</v>
      </c>
      <c r="D117">
        <v>4.5</v>
      </c>
      <c r="F117" s="1">
        <f t="shared" si="24"/>
        <v>12.418750000000001</v>
      </c>
    </row>
    <row r="118" spans="1:7" x14ac:dyDescent="0.2">
      <c r="A118" t="s">
        <v>33</v>
      </c>
      <c r="B118">
        <v>7</v>
      </c>
      <c r="F118" s="1">
        <f t="shared" si="24"/>
        <v>7</v>
      </c>
    </row>
    <row r="119" spans="1:7" x14ac:dyDescent="0.2">
      <c r="A119" t="s">
        <v>34</v>
      </c>
      <c r="B119">
        <v>5</v>
      </c>
      <c r="C119">
        <v>8</v>
      </c>
      <c r="D119">
        <v>4.5</v>
      </c>
      <c r="F119" s="1">
        <f t="shared" si="24"/>
        <v>5.4187500000000002</v>
      </c>
    </row>
    <row r="120" spans="1:7" x14ac:dyDescent="0.2">
      <c r="A120" t="s">
        <v>126</v>
      </c>
      <c r="B120">
        <f>SUM(B18,B43,B54,B61,B72,B88)</f>
        <v>0</v>
      </c>
      <c r="C120">
        <f t="shared" ref="C120:D120" si="26">SUM(C18,C43,C54,C61,C72,C88)</f>
        <v>1</v>
      </c>
      <c r="D120">
        <f t="shared" si="26"/>
        <v>13</v>
      </c>
      <c r="F120" s="1">
        <f t="shared" si="24"/>
        <v>0.10416666666666667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Q24"/>
  <sheetViews>
    <sheetView workbookViewId="0">
      <selection activeCell="G20" sqref="G20"/>
    </sheetView>
  </sheetViews>
  <sheetFormatPr baseColWidth="10" defaultRowHeight="16" x14ac:dyDescent="0.2"/>
  <sheetData>
    <row r="1" spans="1:17" x14ac:dyDescent="0.2">
      <c r="A1" s="71" t="s">
        <v>210</v>
      </c>
      <c r="B1" s="15"/>
      <c r="I1" s="72"/>
      <c r="J1" s="72"/>
      <c r="O1" s="73"/>
      <c r="P1" s="73"/>
      <c r="Q1" s="73"/>
    </row>
    <row r="2" spans="1:17" x14ac:dyDescent="0.2">
      <c r="A2" s="71"/>
    </row>
    <row r="3" spans="1:17" x14ac:dyDescent="0.2">
      <c r="A3" s="71"/>
      <c r="F3" s="72"/>
      <c r="J3" s="73"/>
      <c r="K3" s="72"/>
      <c r="L3" s="72"/>
      <c r="M3" s="72"/>
      <c r="N3" s="72"/>
      <c r="O3" s="72"/>
      <c r="P3" s="73"/>
    </row>
    <row r="4" spans="1:17" x14ac:dyDescent="0.2"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3"/>
    </row>
    <row r="5" spans="1:17" x14ac:dyDescent="0.2">
      <c r="F5" s="16"/>
      <c r="J5" s="16"/>
      <c r="P5" s="16"/>
    </row>
    <row r="6" spans="1:17" x14ac:dyDescent="0.2">
      <c r="F6" s="16"/>
      <c r="J6" s="16"/>
      <c r="P6" s="16"/>
    </row>
    <row r="7" spans="1:17" x14ac:dyDescent="0.2">
      <c r="F7" s="16"/>
      <c r="J7" s="16"/>
      <c r="P7" s="16"/>
    </row>
    <row r="8" spans="1:17" x14ac:dyDescent="0.2">
      <c r="F8" s="16"/>
      <c r="J8" s="16"/>
      <c r="P8" s="16"/>
    </row>
    <row r="9" spans="1:17" x14ac:dyDescent="0.2">
      <c r="F9" s="16"/>
      <c r="J9" s="16"/>
      <c r="P9" s="16"/>
    </row>
    <row r="10" spans="1:17" x14ac:dyDescent="0.2">
      <c r="F10" s="16"/>
      <c r="J10" s="16"/>
      <c r="P10" s="16"/>
    </row>
    <row r="12" spans="1:17" x14ac:dyDescent="0.2">
      <c r="F12" s="16"/>
      <c r="P12" s="16"/>
      <c r="Q12" s="74"/>
    </row>
    <row r="13" spans="1:17" x14ac:dyDescent="0.2">
      <c r="P13" s="16"/>
    </row>
    <row r="16" spans="1:17" x14ac:dyDescent="0.2">
      <c r="A16" s="71"/>
      <c r="B16" s="75"/>
      <c r="C16" s="79"/>
      <c r="D16" s="79"/>
      <c r="E16" s="79"/>
      <c r="G16" s="79"/>
      <c r="H16" s="79"/>
      <c r="I16" s="79"/>
      <c r="J16" s="75"/>
      <c r="L16" s="76"/>
      <c r="M16" s="75"/>
      <c r="N16" s="75"/>
    </row>
    <row r="17" spans="2:14" x14ac:dyDescent="0.2">
      <c r="B17" s="72"/>
      <c r="C17" s="72"/>
      <c r="J17" s="72"/>
      <c r="L17" s="77"/>
      <c r="M17" s="72"/>
      <c r="N17" s="72"/>
    </row>
    <row r="18" spans="2:14" x14ac:dyDescent="0.2">
      <c r="B18" s="16"/>
      <c r="J18" s="16"/>
      <c r="L18" s="78"/>
      <c r="M18" s="16"/>
      <c r="N18" s="16"/>
    </row>
    <row r="19" spans="2:14" x14ac:dyDescent="0.2">
      <c r="B19" s="16"/>
      <c r="J19" s="16"/>
      <c r="L19" s="78"/>
      <c r="M19" s="16"/>
      <c r="N19" s="16"/>
    </row>
    <row r="20" spans="2:14" x14ac:dyDescent="0.2">
      <c r="B20" s="16"/>
      <c r="J20" s="16"/>
      <c r="L20" s="78"/>
      <c r="M20" s="16"/>
      <c r="N20" s="16"/>
    </row>
    <row r="21" spans="2:14" x14ac:dyDescent="0.2">
      <c r="B21" s="16"/>
      <c r="J21" s="16"/>
      <c r="L21" s="78"/>
      <c r="M21" s="16"/>
      <c r="N21" s="16"/>
    </row>
    <row r="22" spans="2:14" x14ac:dyDescent="0.2">
      <c r="B22" s="16"/>
      <c r="J22" s="16"/>
      <c r="L22" s="78"/>
      <c r="M22" s="16"/>
      <c r="N22" s="16"/>
    </row>
    <row r="23" spans="2:14" x14ac:dyDescent="0.2">
      <c r="B23" s="16"/>
      <c r="J23" s="16"/>
      <c r="L23" s="78"/>
      <c r="M23" s="16"/>
      <c r="N23" s="16"/>
    </row>
    <row r="24" spans="2:14" x14ac:dyDescent="0.2">
      <c r="B24" s="16"/>
      <c r="J24" s="16"/>
      <c r="M24" s="16"/>
      <c r="N24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T96"/>
  <sheetViews>
    <sheetView topLeftCell="A2" workbookViewId="0">
      <pane xSplit="1" ySplit="2" topLeftCell="B4" activePane="bottomRight" state="frozen"/>
      <selection activeCell="A2" sqref="A2"/>
      <selection pane="topRight" activeCell="B2" sqref="B2"/>
      <selection pane="bottomLeft" activeCell="A4" sqref="A4"/>
      <selection pane="bottomRight" activeCell="C15" sqref="C15"/>
    </sheetView>
  </sheetViews>
  <sheetFormatPr baseColWidth="10" defaultRowHeight="16" x14ac:dyDescent="0.2"/>
  <cols>
    <col min="1" max="1" width="44.33203125" bestFit="1" customWidth="1"/>
    <col min="14" max="14" width="11.6640625" bestFit="1" customWidth="1"/>
    <col min="17" max="19" width="10.83203125" style="16"/>
  </cols>
  <sheetData>
    <row r="1" spans="1:20" x14ac:dyDescent="0.2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28"/>
      <c r="M1" s="28"/>
      <c r="N1" s="10"/>
      <c r="O1" s="10"/>
      <c r="P1" s="10"/>
      <c r="Q1" s="28"/>
      <c r="R1" s="28"/>
      <c r="S1" s="28"/>
      <c r="T1" s="10"/>
    </row>
    <row r="2" spans="1:20" ht="17" x14ac:dyDescent="0.2">
      <c r="A2" s="30" t="s">
        <v>211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28"/>
      <c r="M2" s="28"/>
      <c r="N2" s="10"/>
      <c r="O2" s="10"/>
      <c r="P2" s="10"/>
      <c r="Q2" s="28"/>
      <c r="R2" s="28"/>
      <c r="S2" s="28"/>
      <c r="T2" s="10"/>
    </row>
    <row r="3" spans="1:20" x14ac:dyDescent="0.2">
      <c r="A3" s="31"/>
      <c r="B3" s="32"/>
      <c r="C3" s="32"/>
      <c r="D3" s="32"/>
      <c r="E3" s="9"/>
      <c r="F3" s="9"/>
      <c r="G3" s="32"/>
      <c r="H3" s="32"/>
      <c r="I3" s="32"/>
      <c r="J3" s="32"/>
      <c r="K3" s="32"/>
      <c r="L3" s="33"/>
      <c r="M3" s="33"/>
      <c r="N3" s="32"/>
      <c r="O3" s="32"/>
      <c r="P3" s="32"/>
      <c r="Q3" s="33"/>
      <c r="R3" s="39"/>
      <c r="S3" s="39"/>
      <c r="T3" s="32"/>
    </row>
    <row r="4" spans="1:20" x14ac:dyDescent="0.2">
      <c r="A4" s="30"/>
      <c r="B4" s="10"/>
      <c r="C4" s="10"/>
      <c r="D4" s="10"/>
      <c r="E4" s="10"/>
      <c r="F4" s="10"/>
      <c r="G4" s="10"/>
      <c r="H4" s="10"/>
      <c r="I4" s="10"/>
      <c r="J4" s="10"/>
      <c r="K4" s="32"/>
      <c r="Q4" s="28"/>
      <c r="R4" s="28"/>
      <c r="S4" s="28"/>
      <c r="T4" s="10"/>
    </row>
    <row r="5" spans="1:20" x14ac:dyDescent="0.2">
      <c r="A5" s="30"/>
      <c r="B5" s="10"/>
      <c r="C5" s="10"/>
      <c r="D5" s="10"/>
      <c r="E5" s="10"/>
      <c r="F5" s="10"/>
      <c r="G5" s="10"/>
      <c r="H5" s="10"/>
      <c r="I5" s="10"/>
      <c r="J5" s="10"/>
      <c r="K5" s="32"/>
      <c r="L5" s="33"/>
      <c r="M5" s="33"/>
      <c r="N5" s="32"/>
      <c r="O5" s="32"/>
      <c r="P5" s="32"/>
      <c r="Q5" s="28"/>
      <c r="R5" s="28"/>
      <c r="S5" s="28"/>
      <c r="T5" s="10"/>
    </row>
    <row r="6" spans="1:20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32"/>
      <c r="L6" s="33"/>
      <c r="M6" s="33"/>
      <c r="N6" s="32"/>
      <c r="O6" s="32"/>
      <c r="P6" s="32"/>
      <c r="Q6" s="28"/>
      <c r="R6" s="28"/>
      <c r="S6" s="28"/>
      <c r="T6" s="10"/>
    </row>
    <row r="7" spans="1:20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32"/>
      <c r="L7" s="33"/>
      <c r="M7" s="33"/>
      <c r="N7" s="32"/>
      <c r="O7" s="32"/>
      <c r="P7" s="32"/>
      <c r="Q7" s="28"/>
      <c r="R7" s="28"/>
      <c r="S7" s="28"/>
      <c r="T7" s="10"/>
    </row>
    <row r="8" spans="1:20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32"/>
      <c r="L8" s="33"/>
      <c r="M8" s="33"/>
      <c r="N8" s="32"/>
      <c r="O8" s="32"/>
      <c r="P8" s="32"/>
      <c r="Q8" s="28"/>
      <c r="R8" s="28"/>
      <c r="S8" s="28"/>
      <c r="T8" s="10"/>
    </row>
    <row r="9" spans="1:20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32"/>
      <c r="L9" s="33"/>
      <c r="M9" s="33"/>
      <c r="N9" s="32"/>
      <c r="O9" s="32"/>
      <c r="P9" s="32"/>
      <c r="Q9" s="28"/>
      <c r="R9" s="28"/>
      <c r="S9" s="28"/>
      <c r="T9" s="10"/>
    </row>
    <row r="10" spans="1:20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32"/>
      <c r="L10" s="33"/>
      <c r="M10" s="33"/>
      <c r="N10" s="32"/>
      <c r="O10" s="32"/>
      <c r="P10" s="32"/>
      <c r="Q10" s="28"/>
      <c r="R10" s="28"/>
      <c r="S10" s="28"/>
      <c r="T10" s="10"/>
    </row>
    <row r="11" spans="1:20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32"/>
      <c r="L11" s="34"/>
      <c r="M11" s="34"/>
      <c r="N11" s="35"/>
      <c r="O11" s="35"/>
      <c r="P11" s="35"/>
      <c r="Q11" s="28"/>
      <c r="R11" s="28"/>
      <c r="S11" s="28"/>
      <c r="T11" s="10"/>
    </row>
    <row r="12" spans="1:20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32"/>
      <c r="L12" s="34"/>
      <c r="M12" s="34"/>
      <c r="N12" s="35"/>
      <c r="O12" s="35"/>
      <c r="P12" s="35"/>
      <c r="Q12" s="28"/>
      <c r="R12" s="28"/>
      <c r="S12" s="28"/>
      <c r="T12" s="10"/>
    </row>
    <row r="13" spans="1:20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32"/>
      <c r="L13" s="34"/>
      <c r="M13" s="34"/>
      <c r="N13" s="35"/>
      <c r="O13" s="35"/>
      <c r="P13" s="35"/>
      <c r="Q13" s="28"/>
      <c r="R13" s="28"/>
      <c r="S13" s="28"/>
      <c r="T13" s="10"/>
    </row>
    <row r="14" spans="1:20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32"/>
      <c r="L14" s="34"/>
      <c r="M14" s="34"/>
      <c r="N14" s="35"/>
      <c r="O14" s="35"/>
      <c r="P14" s="35"/>
      <c r="Q14" s="28"/>
      <c r="R14" s="28"/>
      <c r="S14" s="28"/>
      <c r="T14" s="10"/>
    </row>
    <row r="15" spans="1:20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32"/>
      <c r="L15" s="34"/>
      <c r="M15" s="34"/>
      <c r="N15" s="35"/>
      <c r="O15" s="35"/>
      <c r="P15" s="35"/>
      <c r="Q15" s="28"/>
      <c r="R15" s="28"/>
      <c r="S15" s="28"/>
      <c r="T15" s="10"/>
    </row>
    <row r="16" spans="1:20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32"/>
      <c r="L16" s="34"/>
      <c r="M16" s="34"/>
      <c r="N16" s="35"/>
      <c r="O16" s="35"/>
      <c r="P16" s="35"/>
      <c r="Q16" s="28"/>
      <c r="R16" s="28"/>
      <c r="S16" s="28"/>
      <c r="T16" s="10"/>
    </row>
    <row r="17" spans="1:20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32"/>
      <c r="L17" s="34"/>
      <c r="M17" s="34"/>
      <c r="N17" s="35"/>
      <c r="O17" s="35"/>
      <c r="P17" s="35"/>
      <c r="Q17" s="28"/>
      <c r="R17" s="28"/>
      <c r="S17" s="28"/>
      <c r="T17" s="10"/>
    </row>
    <row r="18" spans="1:20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32"/>
      <c r="L18" s="34"/>
      <c r="M18" s="34"/>
      <c r="N18" s="35"/>
      <c r="O18" s="35"/>
      <c r="P18" s="35"/>
      <c r="Q18" s="28"/>
      <c r="R18" s="28"/>
      <c r="S18" s="28"/>
      <c r="T18" s="10"/>
    </row>
    <row r="19" spans="1:20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32"/>
      <c r="L19" s="34"/>
      <c r="M19" s="34"/>
      <c r="N19" s="35"/>
      <c r="O19" s="35"/>
      <c r="P19" s="35"/>
      <c r="Q19" s="28"/>
      <c r="R19" s="28"/>
      <c r="S19" s="28"/>
      <c r="T19" s="10"/>
    </row>
    <row r="20" spans="1:20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32"/>
      <c r="L20" s="34"/>
      <c r="M20" s="34"/>
      <c r="N20" s="35"/>
      <c r="O20" s="35"/>
      <c r="P20" s="35"/>
      <c r="Q20" s="28"/>
      <c r="R20" s="28"/>
      <c r="S20" s="28"/>
      <c r="T20" s="10"/>
    </row>
    <row r="21" spans="1:20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32"/>
      <c r="L21" s="34"/>
      <c r="M21" s="34"/>
      <c r="N21" s="35"/>
      <c r="O21" s="35"/>
      <c r="P21" s="35"/>
      <c r="Q21" s="28"/>
      <c r="R21" s="28"/>
      <c r="S21" s="28"/>
      <c r="T21" s="10"/>
    </row>
    <row r="22" spans="1:20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32"/>
      <c r="L22" s="34"/>
      <c r="M22" s="34"/>
      <c r="N22" s="35"/>
      <c r="O22" s="35"/>
      <c r="P22" s="35"/>
      <c r="Q22" s="28"/>
      <c r="R22" s="28"/>
      <c r="S22" s="28"/>
      <c r="T22" s="10"/>
    </row>
    <row r="23" spans="1:20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32"/>
      <c r="L23" s="34"/>
      <c r="M23" s="34"/>
      <c r="N23" s="35"/>
      <c r="O23" s="35"/>
      <c r="P23" s="35"/>
      <c r="Q23" s="28"/>
      <c r="R23" s="28"/>
      <c r="S23" s="28"/>
      <c r="T23" s="10"/>
    </row>
    <row r="24" spans="1:20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32"/>
      <c r="L24" s="34"/>
      <c r="M24" s="34"/>
      <c r="N24" s="35"/>
      <c r="O24" s="35"/>
      <c r="P24" s="35"/>
      <c r="Q24" s="28"/>
      <c r="R24" s="28"/>
      <c r="S24" s="28"/>
      <c r="T24" s="10"/>
    </row>
    <row r="25" spans="1:20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32"/>
      <c r="L25" s="34"/>
      <c r="M25" s="34"/>
      <c r="N25" s="35"/>
      <c r="O25" s="35"/>
      <c r="P25" s="35"/>
      <c r="Q25" s="28"/>
      <c r="R25" s="28"/>
      <c r="S25" s="28"/>
      <c r="T25" s="10"/>
    </row>
    <row r="26" spans="1:20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32"/>
      <c r="L26" s="34"/>
      <c r="M26" s="34"/>
      <c r="N26" s="35"/>
      <c r="O26" s="35"/>
      <c r="P26" s="35"/>
      <c r="Q26" s="28"/>
      <c r="R26" s="28"/>
      <c r="S26" s="28"/>
      <c r="T26" s="10"/>
    </row>
    <row r="27" spans="1:20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32"/>
      <c r="L27" s="34"/>
      <c r="M27" s="34"/>
      <c r="N27" s="35"/>
      <c r="O27" s="35"/>
      <c r="P27" s="35"/>
      <c r="Q27" s="28"/>
      <c r="R27" s="28"/>
      <c r="S27" s="28"/>
      <c r="T27" s="10"/>
    </row>
    <row r="28" spans="1:20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32"/>
      <c r="L28" s="34"/>
      <c r="M28" s="34"/>
      <c r="N28" s="35"/>
      <c r="O28" s="35"/>
      <c r="P28" s="35"/>
      <c r="Q28" s="28"/>
      <c r="R28" s="28"/>
      <c r="S28" s="28"/>
      <c r="T28" s="10"/>
    </row>
    <row r="29" spans="1:20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32"/>
      <c r="L29" s="28"/>
      <c r="M29" s="28"/>
      <c r="N29" s="10"/>
      <c r="O29" s="10"/>
      <c r="P29" s="10"/>
      <c r="Q29" s="28"/>
      <c r="R29" s="28"/>
      <c r="S29" s="28"/>
      <c r="T29" s="10"/>
    </row>
    <row r="30" spans="1:20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32"/>
      <c r="L30" s="28"/>
      <c r="M30" s="28"/>
      <c r="N30" s="10"/>
      <c r="O30" s="10"/>
      <c r="P30" s="10"/>
      <c r="Q30" s="28"/>
      <c r="R30" s="28"/>
      <c r="S30" s="28"/>
      <c r="T30" s="10"/>
    </row>
    <row r="31" spans="1:20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32"/>
      <c r="L31" s="28"/>
      <c r="M31" s="28"/>
      <c r="N31" s="10"/>
      <c r="O31" s="10"/>
      <c r="P31" s="10"/>
      <c r="Q31" s="28"/>
      <c r="R31" s="28"/>
      <c r="S31" s="28"/>
      <c r="T31" s="10"/>
    </row>
    <row r="32" spans="1:20" x14ac:dyDescent="0.2">
      <c r="A32" s="31"/>
      <c r="B32" s="26"/>
      <c r="C32" s="26"/>
      <c r="D32" s="26"/>
      <c r="E32" s="26"/>
      <c r="F32" s="10"/>
      <c r="G32" s="10"/>
      <c r="H32" s="10"/>
      <c r="I32" s="10"/>
      <c r="J32" s="10"/>
      <c r="K32" s="32"/>
      <c r="L32" s="28"/>
      <c r="M32" s="28"/>
      <c r="N32" s="10"/>
      <c r="O32" s="10"/>
      <c r="P32" s="10"/>
      <c r="Q32" s="28"/>
      <c r="R32" s="28"/>
      <c r="S32" s="28"/>
      <c r="T32" s="10"/>
    </row>
    <row r="33" spans="1:20" x14ac:dyDescent="0.2">
      <c r="A33" s="30"/>
      <c r="B33" s="10"/>
      <c r="C33" s="10"/>
      <c r="D33" s="10"/>
      <c r="E33" s="10"/>
      <c r="F33" s="10"/>
      <c r="G33" s="10"/>
      <c r="H33" s="10"/>
      <c r="I33" s="10"/>
      <c r="J33" s="10"/>
      <c r="K33" s="32"/>
      <c r="L33" s="28"/>
      <c r="M33" s="28"/>
      <c r="N33" s="10"/>
      <c r="O33" s="10"/>
      <c r="P33" s="10"/>
      <c r="Q33" s="28"/>
      <c r="R33" s="28"/>
      <c r="S33" s="28"/>
      <c r="T33" s="10"/>
    </row>
    <row r="34" spans="1:20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32"/>
      <c r="L34" s="28"/>
      <c r="M34" s="28"/>
      <c r="N34" s="10"/>
      <c r="O34" s="10"/>
      <c r="P34" s="10"/>
      <c r="Q34" s="28"/>
      <c r="R34" s="28"/>
      <c r="S34" s="28"/>
      <c r="T34" s="10"/>
    </row>
    <row r="35" spans="1:20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32"/>
      <c r="L35" s="28"/>
      <c r="M35" s="28"/>
      <c r="N35" s="10"/>
      <c r="O35" s="10"/>
      <c r="P35" s="10"/>
      <c r="Q35" s="28"/>
      <c r="R35" s="28"/>
      <c r="S35" s="28"/>
      <c r="T35" s="10"/>
    </row>
    <row r="36" spans="1:20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32"/>
      <c r="L36" s="28"/>
      <c r="M36" s="10"/>
      <c r="N36" s="10"/>
      <c r="O36" s="10"/>
      <c r="P36" s="10"/>
      <c r="Q36" s="28"/>
      <c r="R36" s="28"/>
      <c r="S36" s="28"/>
      <c r="T36" s="10"/>
    </row>
    <row r="37" spans="1:20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32"/>
      <c r="L37" s="28"/>
      <c r="M37" s="28"/>
      <c r="N37" s="10"/>
      <c r="O37" s="10"/>
      <c r="P37" s="10"/>
      <c r="Q37" s="28"/>
      <c r="R37" s="28"/>
      <c r="S37" s="28"/>
      <c r="T37" s="10"/>
    </row>
    <row r="38" spans="1:20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32"/>
      <c r="L38" s="28"/>
      <c r="M38" s="28"/>
      <c r="N38" s="10"/>
      <c r="O38" s="10"/>
      <c r="P38" s="10"/>
      <c r="Q38" s="28"/>
      <c r="R38" s="28"/>
      <c r="S38" s="28"/>
      <c r="T38" s="10"/>
    </row>
    <row r="39" spans="1:20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32"/>
      <c r="L39" s="28"/>
      <c r="M39" s="28"/>
      <c r="N39" s="10"/>
      <c r="O39" s="10"/>
      <c r="P39" s="10"/>
      <c r="Q39" s="28"/>
      <c r="R39" s="28"/>
      <c r="S39" s="28"/>
      <c r="T39" s="10"/>
    </row>
    <row r="40" spans="1:20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32"/>
      <c r="L40" s="28"/>
      <c r="M40" s="28"/>
      <c r="N40" s="10"/>
      <c r="O40" s="10"/>
      <c r="P40" s="10"/>
      <c r="Q40" s="28"/>
      <c r="R40" s="28"/>
      <c r="S40" s="28"/>
      <c r="T40" s="10"/>
    </row>
    <row r="41" spans="1:20" x14ac:dyDescent="0.2">
      <c r="A41" s="31"/>
      <c r="B41" s="26"/>
      <c r="C41" s="26"/>
      <c r="D41" s="10"/>
      <c r="E41" s="10"/>
      <c r="F41" s="10"/>
      <c r="G41" s="10"/>
      <c r="H41" s="10"/>
      <c r="I41" s="10"/>
      <c r="J41" s="10"/>
      <c r="K41" s="32"/>
      <c r="L41" s="28"/>
      <c r="M41" s="28"/>
      <c r="N41" s="10"/>
      <c r="O41" s="10"/>
      <c r="P41" s="10"/>
      <c r="Q41" s="28"/>
      <c r="R41" s="28"/>
      <c r="S41" s="28"/>
      <c r="T41" s="10"/>
    </row>
    <row r="42" spans="1:20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32"/>
      <c r="L42" s="28"/>
      <c r="M42" s="28"/>
      <c r="N42" s="10"/>
      <c r="O42" s="28"/>
      <c r="P42" s="28"/>
      <c r="Q42" s="28"/>
      <c r="R42" s="28"/>
      <c r="S42" s="28"/>
      <c r="T42" s="10"/>
    </row>
    <row r="43" spans="1:20" x14ac:dyDescent="0.2">
      <c r="A43" s="10"/>
      <c r="B43" s="10"/>
      <c r="C43" s="10"/>
      <c r="D43" s="10"/>
      <c r="F43" s="10"/>
      <c r="G43" s="10"/>
      <c r="H43" s="10"/>
      <c r="I43" s="10"/>
      <c r="J43" s="10"/>
      <c r="K43" s="32"/>
      <c r="L43" s="28"/>
      <c r="M43" s="28"/>
      <c r="N43" s="10"/>
      <c r="O43" s="28"/>
      <c r="P43" s="28"/>
      <c r="Q43" s="28"/>
      <c r="R43" s="28"/>
      <c r="S43" s="28"/>
      <c r="T43" s="10"/>
    </row>
    <row r="44" spans="1:20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32"/>
      <c r="L44" s="28"/>
      <c r="M44" s="28"/>
      <c r="N44" s="10"/>
      <c r="O44" s="10"/>
      <c r="P44" s="10"/>
      <c r="Q44" s="28"/>
      <c r="R44" s="28"/>
      <c r="S44" s="28"/>
      <c r="T44" s="10"/>
    </row>
    <row r="45" spans="1:20" x14ac:dyDescent="0.2">
      <c r="A45" s="10"/>
      <c r="B45" s="10"/>
      <c r="C45" s="10"/>
      <c r="D45" s="10"/>
      <c r="F45" s="10"/>
      <c r="G45" s="10"/>
      <c r="H45" s="10"/>
      <c r="I45" s="10"/>
      <c r="J45" s="10"/>
      <c r="K45" s="32"/>
      <c r="L45" s="28"/>
      <c r="M45" s="28"/>
      <c r="N45" s="24"/>
      <c r="O45" s="10"/>
      <c r="P45" s="10"/>
      <c r="Q45" s="28"/>
      <c r="R45" s="28"/>
      <c r="S45" s="28"/>
      <c r="T45" s="10"/>
    </row>
    <row r="46" spans="1:20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32"/>
      <c r="L46" s="28"/>
      <c r="M46" s="28"/>
      <c r="N46" s="10"/>
      <c r="O46" s="10"/>
      <c r="P46" s="10"/>
      <c r="Q46" s="28"/>
      <c r="R46" s="28"/>
      <c r="S46" s="28"/>
      <c r="T46" s="10"/>
    </row>
    <row r="47" spans="1:20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32"/>
      <c r="L47" s="28"/>
      <c r="M47" s="28"/>
      <c r="N47" s="10"/>
      <c r="O47" s="10"/>
      <c r="P47" s="10"/>
      <c r="Q47" s="28"/>
      <c r="R47" s="28"/>
      <c r="S47" s="28"/>
      <c r="T47" s="10"/>
    </row>
    <row r="48" spans="1:20" x14ac:dyDescent="0.2">
      <c r="A48" s="36"/>
      <c r="B48" s="10"/>
      <c r="C48" s="10"/>
      <c r="D48" s="10"/>
      <c r="E48" s="10"/>
      <c r="F48" s="10"/>
      <c r="G48" s="10"/>
      <c r="H48" s="10"/>
      <c r="I48" s="10"/>
      <c r="J48" s="10"/>
      <c r="K48" s="32"/>
      <c r="L48" s="28"/>
      <c r="M48" s="28"/>
      <c r="N48" s="10"/>
      <c r="O48" s="10"/>
      <c r="P48" s="10"/>
      <c r="Q48" s="28"/>
      <c r="R48" s="28"/>
      <c r="S48" s="28"/>
      <c r="T48" s="10"/>
    </row>
    <row r="49" spans="1:20" x14ac:dyDescent="0.2">
      <c r="A49" s="37"/>
      <c r="B49" s="10"/>
      <c r="C49" s="10"/>
      <c r="D49" s="10"/>
      <c r="E49" s="10"/>
      <c r="F49" s="10"/>
      <c r="G49" s="10"/>
      <c r="H49" s="10"/>
      <c r="I49" s="10"/>
      <c r="J49" s="10"/>
      <c r="K49" s="32"/>
      <c r="L49" s="28"/>
      <c r="M49" s="28"/>
      <c r="N49" s="10"/>
      <c r="O49" s="10"/>
      <c r="P49" s="10"/>
      <c r="Q49" s="28"/>
      <c r="R49" s="28"/>
      <c r="S49" s="28"/>
      <c r="T49" s="10"/>
    </row>
    <row r="50" spans="1:20" x14ac:dyDescent="0.2">
      <c r="A50" s="37"/>
      <c r="B50" s="10"/>
      <c r="C50" s="10"/>
      <c r="D50" s="10"/>
      <c r="E50" s="10"/>
      <c r="F50" s="10"/>
      <c r="G50" s="10"/>
      <c r="H50" s="10"/>
      <c r="I50" s="10"/>
      <c r="J50" s="10"/>
      <c r="K50" s="32"/>
      <c r="L50" s="28"/>
      <c r="M50" s="28"/>
      <c r="N50" s="10"/>
      <c r="O50" s="10"/>
      <c r="P50" s="10"/>
      <c r="Q50" s="28"/>
      <c r="R50" s="28"/>
      <c r="S50" s="28"/>
      <c r="T50" s="10"/>
    </row>
    <row r="51" spans="1:20" x14ac:dyDescent="0.2">
      <c r="A51" s="37"/>
      <c r="B51" s="10"/>
      <c r="C51" s="10"/>
      <c r="D51" s="10"/>
      <c r="E51" s="10"/>
      <c r="F51" s="10"/>
      <c r="G51" s="10"/>
      <c r="H51" s="10"/>
      <c r="I51" s="10"/>
      <c r="J51" s="10"/>
      <c r="K51" s="32"/>
      <c r="L51" s="28"/>
      <c r="M51" s="28"/>
      <c r="N51" s="10"/>
      <c r="O51" s="10"/>
      <c r="P51" s="10"/>
      <c r="Q51" s="28"/>
      <c r="R51" s="28"/>
      <c r="S51" s="28"/>
      <c r="T51" s="10"/>
    </row>
    <row r="52" spans="1:20" x14ac:dyDescent="0.2">
      <c r="A52" s="37"/>
      <c r="B52" s="10"/>
      <c r="C52" s="10"/>
      <c r="D52" s="10"/>
      <c r="E52" s="10"/>
      <c r="F52" s="10"/>
      <c r="G52" s="10"/>
      <c r="H52" s="10"/>
      <c r="I52" s="10"/>
      <c r="J52" s="10"/>
      <c r="K52" s="32"/>
      <c r="L52" s="28"/>
      <c r="M52" s="28"/>
      <c r="N52" s="10"/>
      <c r="O52" s="10"/>
      <c r="P52" s="10"/>
      <c r="Q52" s="28"/>
      <c r="R52" s="28"/>
      <c r="S52" s="28"/>
      <c r="T52" s="10"/>
    </row>
    <row r="53" spans="1:20" x14ac:dyDescent="0.2">
      <c r="A53" s="38"/>
      <c r="B53" s="10"/>
      <c r="C53" s="10"/>
      <c r="D53" s="10"/>
      <c r="E53" s="10"/>
      <c r="F53" s="10"/>
      <c r="G53" s="10"/>
      <c r="H53" s="10"/>
      <c r="I53" s="10"/>
      <c r="J53" s="10"/>
      <c r="K53" s="32"/>
      <c r="L53" s="28"/>
      <c r="M53" s="28"/>
      <c r="N53" s="10"/>
      <c r="O53" s="10"/>
      <c r="P53" s="10"/>
      <c r="Q53" s="28"/>
      <c r="R53" s="28"/>
      <c r="S53" s="28"/>
      <c r="T53" s="10"/>
    </row>
    <row r="54" spans="1:20" x14ac:dyDescent="0.2">
      <c r="A54" s="37"/>
      <c r="B54" s="10"/>
      <c r="C54" s="10"/>
      <c r="D54" s="10"/>
      <c r="E54" s="10"/>
      <c r="F54" s="10"/>
      <c r="G54" s="10"/>
      <c r="H54" s="10"/>
      <c r="I54" s="10"/>
      <c r="J54" s="10"/>
      <c r="K54" s="32"/>
      <c r="L54" s="28"/>
      <c r="M54" s="28"/>
      <c r="N54" s="10"/>
      <c r="O54" s="10"/>
      <c r="P54" s="10"/>
      <c r="Q54" s="28"/>
      <c r="R54" s="28"/>
      <c r="S54" s="28"/>
      <c r="T54" s="10"/>
    </row>
    <row r="55" spans="1:20" x14ac:dyDescent="0.2">
      <c r="A55" s="37"/>
      <c r="B55" s="10"/>
      <c r="C55" s="10"/>
      <c r="D55" s="10"/>
      <c r="E55" s="10"/>
      <c r="F55" s="10"/>
      <c r="G55" s="10"/>
      <c r="H55" s="10"/>
      <c r="I55" s="10"/>
      <c r="J55" s="10"/>
      <c r="K55" s="32"/>
      <c r="L55" s="28"/>
      <c r="M55" s="28"/>
      <c r="N55" s="10"/>
      <c r="O55" s="10"/>
      <c r="P55" s="10"/>
      <c r="Q55" s="28"/>
      <c r="R55" s="28"/>
      <c r="S55" s="28"/>
      <c r="T55" s="10"/>
    </row>
    <row r="56" spans="1:20" x14ac:dyDescent="0.2">
      <c r="A56" s="37"/>
      <c r="B56" s="10"/>
      <c r="C56" s="10"/>
      <c r="D56" s="10"/>
      <c r="E56" s="10"/>
      <c r="F56" s="10"/>
      <c r="G56" s="10"/>
      <c r="H56" s="10"/>
      <c r="I56" s="10"/>
      <c r="J56" s="10"/>
      <c r="K56" s="32"/>
      <c r="L56" s="28"/>
      <c r="M56" s="28"/>
      <c r="N56" s="10"/>
      <c r="O56" s="10"/>
      <c r="P56" s="10"/>
      <c r="Q56" s="28"/>
      <c r="R56" s="28"/>
      <c r="S56" s="28"/>
      <c r="T56" s="10"/>
    </row>
    <row r="57" spans="1:20" x14ac:dyDescent="0.2">
      <c r="A57" s="37"/>
      <c r="B57" s="10"/>
      <c r="C57" s="10"/>
      <c r="D57" s="10"/>
      <c r="E57" s="10"/>
      <c r="F57" s="10"/>
      <c r="G57" s="10"/>
      <c r="H57" s="10"/>
      <c r="I57" s="10"/>
      <c r="J57" s="10"/>
      <c r="K57" s="32"/>
      <c r="L57" s="28"/>
      <c r="M57" s="28"/>
      <c r="N57" s="10"/>
      <c r="O57" s="10"/>
      <c r="P57" s="10"/>
      <c r="Q57" s="28"/>
      <c r="R57" s="28"/>
      <c r="S57" s="28"/>
      <c r="T57" s="10"/>
    </row>
    <row r="58" spans="1:20" x14ac:dyDescent="0.2">
      <c r="A58" s="38"/>
      <c r="B58" s="10"/>
      <c r="C58" s="10"/>
      <c r="D58" s="10"/>
      <c r="E58" s="10"/>
      <c r="F58" s="10"/>
      <c r="G58" s="10"/>
      <c r="H58" s="10"/>
      <c r="I58" s="10"/>
      <c r="J58" s="10"/>
      <c r="K58" s="32"/>
      <c r="L58" s="28"/>
      <c r="M58" s="28"/>
      <c r="N58" s="10"/>
      <c r="O58" s="10"/>
      <c r="P58" s="10"/>
      <c r="Q58" s="28"/>
      <c r="R58" s="28"/>
      <c r="S58" s="28"/>
      <c r="T58" s="10"/>
    </row>
    <row r="59" spans="1:20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32"/>
      <c r="L59" s="28"/>
      <c r="M59" s="28"/>
      <c r="N59" s="24"/>
      <c r="O59" s="10"/>
      <c r="P59" s="10"/>
      <c r="Q59" s="28"/>
      <c r="R59" s="28"/>
      <c r="S59" s="28"/>
      <c r="T59" s="10"/>
    </row>
    <row r="60" spans="1:20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32"/>
      <c r="L60" s="28"/>
      <c r="M60" s="28"/>
      <c r="N60" s="10"/>
      <c r="O60" s="10"/>
      <c r="P60" s="10"/>
      <c r="Q60" s="28"/>
      <c r="R60" s="28"/>
      <c r="S60" s="28"/>
      <c r="T60" s="10"/>
    </row>
    <row r="61" spans="1:20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32"/>
      <c r="L61" s="28"/>
      <c r="M61" s="28"/>
      <c r="N61" s="10"/>
      <c r="O61" s="10"/>
      <c r="P61" s="10"/>
      <c r="Q61" s="28"/>
      <c r="R61" s="28"/>
      <c r="S61" s="28"/>
      <c r="T61" s="10"/>
    </row>
    <row r="62" spans="1:20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32"/>
      <c r="L62" s="28"/>
      <c r="M62" s="28"/>
      <c r="N62" s="10"/>
      <c r="O62" s="10"/>
      <c r="P62" s="10"/>
      <c r="Q62" s="28"/>
      <c r="R62" s="28"/>
      <c r="S62" s="28"/>
      <c r="T62" s="10"/>
    </row>
    <row r="63" spans="1:20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32"/>
      <c r="L63" s="28"/>
      <c r="M63" s="28"/>
      <c r="N63" s="10"/>
      <c r="O63" s="10"/>
      <c r="P63" s="10"/>
      <c r="Q63" s="28"/>
      <c r="R63" s="28"/>
      <c r="S63" s="28"/>
      <c r="T63" s="10"/>
    </row>
    <row r="64" spans="1:20" x14ac:dyDescent="0.2">
      <c r="A64" s="31"/>
      <c r="B64" s="26"/>
      <c r="C64" s="26"/>
      <c r="D64" s="10"/>
      <c r="E64" s="10"/>
      <c r="F64" s="10"/>
      <c r="G64" s="10"/>
      <c r="H64" s="10"/>
      <c r="I64" s="10"/>
      <c r="J64" s="10"/>
      <c r="K64" s="32"/>
      <c r="L64" s="28"/>
      <c r="M64" s="28"/>
      <c r="N64" s="10"/>
      <c r="O64" s="10"/>
      <c r="P64" s="10"/>
      <c r="Q64" s="28"/>
      <c r="R64" s="28"/>
      <c r="S64" s="28"/>
      <c r="T64" s="10"/>
    </row>
    <row r="65" spans="1:20" x14ac:dyDescent="0.2">
      <c r="A65" s="30"/>
      <c r="B65" s="10"/>
      <c r="C65" s="10"/>
      <c r="D65" s="10"/>
      <c r="E65" s="10"/>
      <c r="F65" s="10"/>
      <c r="G65" s="10"/>
      <c r="H65" s="10"/>
      <c r="I65" s="10"/>
      <c r="J65" s="10"/>
      <c r="K65" s="32"/>
      <c r="L65" s="28"/>
      <c r="M65" s="28"/>
      <c r="N65" s="10"/>
      <c r="O65" s="10"/>
      <c r="P65" s="10"/>
      <c r="Q65" s="28"/>
      <c r="R65" s="28"/>
      <c r="S65" s="28"/>
      <c r="T65" s="10"/>
    </row>
    <row r="66" spans="1:20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2"/>
      <c r="L66" s="28"/>
      <c r="M66" s="28"/>
      <c r="N66" s="10"/>
      <c r="O66" s="10"/>
      <c r="P66" s="10"/>
      <c r="Q66" s="28"/>
      <c r="R66" s="28"/>
      <c r="S66" s="28"/>
      <c r="T66" s="10"/>
    </row>
    <row r="67" spans="1:20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2"/>
      <c r="L67" s="28"/>
      <c r="M67" s="28"/>
      <c r="N67" s="10"/>
      <c r="O67" s="10"/>
      <c r="P67" s="10"/>
      <c r="Q67" s="28"/>
      <c r="R67" s="28"/>
      <c r="S67" s="28"/>
      <c r="T67" s="10"/>
    </row>
    <row r="68" spans="1:20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2"/>
      <c r="L68" s="28"/>
      <c r="M68" s="28"/>
      <c r="N68" s="10"/>
      <c r="O68" s="10"/>
      <c r="P68" s="10"/>
      <c r="Q68" s="28"/>
      <c r="R68" s="28"/>
      <c r="S68" s="28"/>
      <c r="T68" s="10"/>
    </row>
    <row r="69" spans="1:20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2"/>
      <c r="L69" s="28"/>
      <c r="M69" s="28"/>
      <c r="N69" s="10"/>
      <c r="O69" s="10"/>
      <c r="P69" s="10"/>
      <c r="Q69" s="28"/>
      <c r="R69" s="28"/>
      <c r="S69" s="28"/>
      <c r="T69" s="10"/>
    </row>
    <row r="70" spans="1:20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2"/>
      <c r="L70" s="28"/>
      <c r="M70" s="28"/>
      <c r="N70" s="10"/>
      <c r="O70" s="10"/>
      <c r="P70" s="10"/>
      <c r="Q70" s="28"/>
      <c r="R70" s="28"/>
      <c r="S70" s="28"/>
      <c r="T70" s="10"/>
    </row>
    <row r="71" spans="1:20" x14ac:dyDescent="0.2">
      <c r="A71" s="9"/>
      <c r="B71" s="26"/>
      <c r="C71" s="26"/>
      <c r="D71" s="10"/>
      <c r="E71" s="10"/>
      <c r="F71" s="10"/>
      <c r="G71" s="10"/>
      <c r="H71" s="10"/>
      <c r="I71" s="10"/>
      <c r="J71" s="10"/>
      <c r="K71" s="32"/>
      <c r="L71" s="28"/>
      <c r="M71" s="28"/>
      <c r="N71" s="10"/>
      <c r="O71" s="10"/>
      <c r="P71" s="10"/>
      <c r="Q71" s="28"/>
      <c r="R71" s="28"/>
      <c r="S71" s="28"/>
      <c r="T71" s="10"/>
    </row>
    <row r="72" spans="1:20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2"/>
      <c r="L72" s="28"/>
      <c r="M72" s="28"/>
      <c r="N72" s="10"/>
      <c r="O72" s="10"/>
      <c r="P72" s="10"/>
      <c r="Q72" s="28"/>
      <c r="R72" s="28"/>
      <c r="S72" s="28"/>
      <c r="T72" s="10"/>
    </row>
    <row r="73" spans="1:20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32"/>
      <c r="L73" s="28"/>
      <c r="M73" s="28"/>
      <c r="N73" s="10"/>
      <c r="O73" s="10"/>
      <c r="P73" s="10"/>
      <c r="Q73" s="28"/>
      <c r="R73" s="28"/>
      <c r="S73" s="28"/>
      <c r="T73" s="10"/>
    </row>
    <row r="74" spans="1:20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2"/>
      <c r="L74" s="28"/>
      <c r="M74" s="28"/>
      <c r="N74" s="10"/>
      <c r="O74" s="10"/>
      <c r="P74" s="10"/>
      <c r="Q74" s="28"/>
      <c r="R74" s="28"/>
      <c r="S74" s="28"/>
      <c r="T74" s="10"/>
    </row>
    <row r="75" spans="1:20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2"/>
      <c r="L75" s="28"/>
      <c r="M75" s="28"/>
      <c r="N75" s="10"/>
      <c r="O75" s="10"/>
      <c r="P75" s="10"/>
      <c r="Q75" s="28"/>
      <c r="R75" s="28"/>
      <c r="S75" s="28"/>
      <c r="T75" s="10"/>
    </row>
    <row r="76" spans="1:20" x14ac:dyDescent="0.2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32"/>
      <c r="L76" s="28"/>
      <c r="M76" s="28"/>
      <c r="N76" s="10"/>
      <c r="O76" s="10"/>
      <c r="P76" s="10"/>
      <c r="Q76" s="28"/>
      <c r="R76" s="28"/>
      <c r="S76" s="28"/>
      <c r="T76" s="10"/>
    </row>
    <row r="77" spans="1:20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2"/>
      <c r="L77" s="28"/>
      <c r="M77" s="28"/>
      <c r="N77" s="10"/>
      <c r="O77" s="10"/>
      <c r="P77" s="10"/>
      <c r="Q77" s="28"/>
      <c r="R77" s="28"/>
      <c r="S77" s="28"/>
      <c r="T77" s="10"/>
    </row>
    <row r="78" spans="1:20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2"/>
      <c r="L78" s="28"/>
      <c r="M78" s="28"/>
      <c r="N78" s="10"/>
      <c r="O78" s="10"/>
      <c r="P78" s="10"/>
      <c r="Q78" s="28"/>
      <c r="R78" s="28"/>
      <c r="S78" s="28"/>
      <c r="T78" s="10"/>
    </row>
    <row r="79" spans="1:20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32"/>
      <c r="L79" s="28"/>
      <c r="M79" s="28"/>
      <c r="N79" s="10"/>
      <c r="O79" s="10"/>
      <c r="P79" s="10"/>
      <c r="Q79" s="28"/>
      <c r="R79" s="28"/>
      <c r="S79" s="28"/>
      <c r="T79" s="10"/>
    </row>
    <row r="80" spans="1:20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2"/>
      <c r="L80" s="28"/>
      <c r="M80" s="28"/>
      <c r="N80" s="10"/>
      <c r="O80" s="10"/>
      <c r="P80" s="10"/>
      <c r="Q80" s="28"/>
      <c r="R80" s="28"/>
      <c r="S80" s="28"/>
      <c r="T80" s="10"/>
    </row>
    <row r="81" spans="1:20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32"/>
      <c r="L81" s="28"/>
      <c r="M81" s="28"/>
      <c r="N81" s="10"/>
      <c r="O81" s="10"/>
      <c r="P81" s="10"/>
      <c r="Q81" s="28"/>
      <c r="R81" s="28"/>
      <c r="S81" s="28"/>
      <c r="T81" s="10"/>
    </row>
    <row r="82" spans="1:20" x14ac:dyDescent="0.2">
      <c r="A82" s="9"/>
      <c r="B82" s="26"/>
      <c r="C82" s="26"/>
      <c r="D82" s="10"/>
      <c r="E82" s="10"/>
      <c r="F82" s="10"/>
      <c r="G82" s="10"/>
      <c r="H82" s="10"/>
      <c r="I82" s="10"/>
      <c r="J82" s="10"/>
      <c r="K82" s="32"/>
      <c r="L82" s="28"/>
      <c r="M82" s="28"/>
      <c r="N82" s="10"/>
      <c r="O82" s="10"/>
      <c r="P82" s="10"/>
      <c r="Q82" s="28"/>
      <c r="R82" s="28"/>
      <c r="S82" s="28"/>
      <c r="T82" s="10"/>
    </row>
    <row r="83" spans="1:20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2"/>
      <c r="L83" s="28"/>
      <c r="M83" s="28"/>
      <c r="N83" s="10"/>
      <c r="O83" s="10"/>
      <c r="P83" s="10"/>
      <c r="Q83" s="28"/>
      <c r="R83" s="28"/>
      <c r="S83" s="28"/>
      <c r="T83" s="10"/>
    </row>
    <row r="84" spans="1:20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2"/>
      <c r="L84" s="28"/>
      <c r="M84" s="28"/>
      <c r="N84" s="10"/>
      <c r="O84" s="10"/>
      <c r="P84" s="10"/>
      <c r="Q84" s="28"/>
      <c r="R84" s="28"/>
      <c r="S84" s="28"/>
      <c r="T84" s="10"/>
    </row>
    <row r="85" spans="1:20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2"/>
      <c r="L85" s="28"/>
      <c r="M85" s="28"/>
      <c r="N85" s="10"/>
      <c r="O85" s="10"/>
      <c r="P85" s="10"/>
      <c r="Q85" s="28"/>
      <c r="R85" s="28"/>
      <c r="S85" s="28"/>
      <c r="T85" s="10"/>
    </row>
    <row r="86" spans="1:20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32"/>
      <c r="L86" s="28"/>
      <c r="M86" s="28"/>
      <c r="N86" s="10"/>
      <c r="O86" s="10"/>
      <c r="P86" s="10"/>
      <c r="Q86" s="28"/>
      <c r="R86" s="28"/>
      <c r="S86" s="28"/>
      <c r="T86" s="10"/>
    </row>
    <row r="87" spans="1:20" x14ac:dyDescent="0.2">
      <c r="A87" s="9"/>
      <c r="B87" s="26"/>
      <c r="C87" s="26"/>
      <c r="D87" s="10"/>
      <c r="E87" s="10"/>
      <c r="F87" s="10"/>
      <c r="G87" s="10"/>
      <c r="H87" s="10"/>
      <c r="I87" s="10"/>
      <c r="J87" s="10"/>
      <c r="K87" s="32"/>
      <c r="L87" s="28"/>
      <c r="M87" s="10"/>
      <c r="N87" s="10"/>
      <c r="P87" s="10"/>
      <c r="Q87" s="28"/>
      <c r="R87" s="28"/>
      <c r="S87" s="28"/>
      <c r="T87" s="10"/>
    </row>
    <row r="88" spans="1:20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32"/>
      <c r="L88" s="28"/>
      <c r="M88" s="28"/>
      <c r="N88" s="10"/>
      <c r="O88" s="10"/>
      <c r="P88" s="10"/>
      <c r="Q88" s="28"/>
      <c r="R88" s="28"/>
      <c r="S88" s="28"/>
      <c r="T88" s="10"/>
    </row>
    <row r="89" spans="1:20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32"/>
      <c r="L89" s="28"/>
      <c r="M89" s="28"/>
      <c r="N89" s="10"/>
      <c r="O89" s="10"/>
      <c r="P89" s="10"/>
      <c r="Q89" s="28"/>
      <c r="R89" s="28"/>
      <c r="S89" s="28"/>
      <c r="T89" s="10"/>
    </row>
    <row r="90" spans="1:20" x14ac:dyDescent="0.2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32"/>
      <c r="L90" s="28"/>
      <c r="M90" s="28"/>
      <c r="N90" s="10"/>
      <c r="O90" s="10"/>
      <c r="P90" s="10"/>
      <c r="Q90" s="28"/>
      <c r="R90" s="28"/>
      <c r="S90" s="28"/>
      <c r="T90" s="10"/>
    </row>
    <row r="91" spans="1:20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32"/>
      <c r="L91" s="28"/>
      <c r="M91" s="28"/>
      <c r="N91" s="10"/>
      <c r="O91" s="10"/>
      <c r="P91" s="10"/>
      <c r="Q91" s="28"/>
      <c r="R91" s="28"/>
      <c r="S91" s="28"/>
      <c r="T91" s="10"/>
    </row>
    <row r="92" spans="1:20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32"/>
      <c r="L92" s="28"/>
      <c r="M92" s="28"/>
      <c r="N92" s="10"/>
      <c r="O92" s="10"/>
      <c r="P92" s="10"/>
      <c r="Q92" s="28"/>
      <c r="R92" s="28"/>
      <c r="S92" s="28"/>
      <c r="T92" s="10"/>
    </row>
    <row r="93" spans="1:20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32"/>
      <c r="L93" s="28"/>
      <c r="M93" s="28"/>
      <c r="N93" s="10"/>
      <c r="O93" s="10"/>
      <c r="P93" s="10"/>
      <c r="Q93" s="28"/>
      <c r="R93" s="28"/>
      <c r="S93" s="28"/>
      <c r="T93" s="10"/>
    </row>
    <row r="94" spans="1:20" x14ac:dyDescent="0.2">
      <c r="B94" s="26"/>
      <c r="C94" s="26"/>
      <c r="D94" s="10"/>
      <c r="E94" s="10"/>
      <c r="F94" s="10"/>
      <c r="G94" s="10"/>
      <c r="H94" s="10"/>
      <c r="I94" s="10"/>
      <c r="J94" s="10"/>
      <c r="K94" s="32"/>
      <c r="L94" s="28"/>
      <c r="M94" s="28"/>
      <c r="N94" s="10"/>
      <c r="O94" s="10"/>
      <c r="P94" s="10"/>
      <c r="Q94" s="28"/>
      <c r="R94" s="28"/>
      <c r="S94" s="28"/>
      <c r="T94" s="10"/>
    </row>
    <row r="95" spans="1:20" x14ac:dyDescent="0.2">
      <c r="Q95" s="28"/>
      <c r="R95" s="28"/>
      <c r="S95" s="28"/>
    </row>
    <row r="96" spans="1:20" x14ac:dyDescent="0.2">
      <c r="A9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B4" sqref="B4"/>
    </sheetView>
  </sheetViews>
  <sheetFormatPr baseColWidth="10" defaultRowHeight="16" x14ac:dyDescent="0.2"/>
  <sheetData>
    <row r="1" spans="1:6" x14ac:dyDescent="0.2">
      <c r="A1" t="s">
        <v>128</v>
      </c>
    </row>
    <row r="3" spans="1:6" x14ac:dyDescent="0.2">
      <c r="B3" s="5" t="s">
        <v>123</v>
      </c>
      <c r="C3" s="5" t="s">
        <v>129</v>
      </c>
      <c r="D3" s="5" t="s">
        <v>133</v>
      </c>
      <c r="E3" s="5" t="s">
        <v>135</v>
      </c>
      <c r="F3" s="5" t="s">
        <v>136</v>
      </c>
    </row>
    <row r="4" spans="1:6" x14ac:dyDescent="0.2">
      <c r="B4" s="5" t="s">
        <v>130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 x14ac:dyDescent="0.2">
      <c r="B5" s="5" t="s">
        <v>131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 x14ac:dyDescent="0.2">
      <c r="B6" s="5" t="s">
        <v>132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 x14ac:dyDescent="0.2">
      <c r="B7" s="5" t="s">
        <v>134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Overton Borough Overview</vt:lpstr>
      <vt:lpstr>Overton Borough Receipts</vt:lpstr>
      <vt:lpstr>Overton Borough Expenses</vt:lpstr>
      <vt:lpstr>Issues of the Grange</vt:lpstr>
      <vt:lpstr>Stock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Sharpe</dc:creator>
  <cp:lastModifiedBy>Victoria Gierok</cp:lastModifiedBy>
  <dcterms:created xsi:type="dcterms:W3CDTF">2022-08-18T14:37:24Z</dcterms:created>
  <dcterms:modified xsi:type="dcterms:W3CDTF">2025-08-29T14:07:43Z</dcterms:modified>
</cp:coreProperties>
</file>
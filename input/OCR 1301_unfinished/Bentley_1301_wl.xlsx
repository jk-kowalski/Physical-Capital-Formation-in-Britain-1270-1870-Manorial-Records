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A7D40A34-E100-DD41-81DD-45CB420DFEF1}" xr6:coauthVersionLast="47" xr6:coauthVersionMax="47" xr10:uidLastSave="{00000000-0000-0000-0000-000000000000}"/>
  <bookViews>
    <workbookView xWindow="2440" yWindow="500" windowWidth="23620" windowHeight="16580" xr2:uid="{00000000-000D-0000-FFFF-FFFF00000000}"/>
  </bookViews>
  <sheets>
    <sheet name="Overview" sheetId="5" r:id="rId1"/>
    <sheet name="Receipts" sheetId="2" r:id="rId2"/>
    <sheet name="Expenses" sheetId="3" r:id="rId3"/>
    <sheet name="Issues of the Grange" sheetId="11" r:id="rId4"/>
    <sheet name="Issues of the Mills" sheetId="6" r:id="rId5"/>
    <sheet name="Stock" sheetId="4" r:id="rId6"/>
    <sheet name="Issues of the Grange raw" sheetId="10" r:id="rId7"/>
    <sheet name="Sale of Corn Prices" sheetId="12" r:id="rId8"/>
    <sheet name="raw data"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6" i="5" l="1"/>
  <c r="B175" i="5"/>
  <c r="B173" i="5"/>
  <c r="B172" i="5"/>
  <c r="B171" i="5"/>
  <c r="B170" i="5"/>
  <c r="B147" i="5"/>
  <c r="B148" i="5"/>
  <c r="B149" i="5"/>
  <c r="B150" i="5"/>
  <c r="T71" i="4"/>
  <c r="T67" i="4"/>
  <c r="B146" i="5" s="1"/>
  <c r="B142" i="5"/>
  <c r="B123" i="5"/>
  <c r="B124" i="5"/>
  <c r="B125" i="5"/>
  <c r="B126" i="5"/>
  <c r="B127" i="5"/>
  <c r="B128" i="5"/>
  <c r="B129" i="5"/>
  <c r="B130" i="5"/>
  <c r="B131" i="5"/>
  <c r="B132" i="5"/>
  <c r="B133" i="5"/>
  <c r="B134" i="5"/>
  <c r="B135" i="5"/>
  <c r="B136" i="5"/>
  <c r="B137" i="5"/>
  <c r="B138" i="5"/>
  <c r="B139" i="5"/>
  <c r="B140" i="5"/>
  <c r="B141" i="5"/>
  <c r="T63" i="4"/>
  <c r="T43" i="4"/>
  <c r="B122" i="5" s="1"/>
  <c r="B110" i="5"/>
  <c r="B104" i="5"/>
  <c r="B105" i="5"/>
  <c r="B106" i="5"/>
  <c r="B107" i="5"/>
  <c r="B83" i="5"/>
  <c r="B84" i="5"/>
  <c r="B85" i="5"/>
  <c r="B86" i="5"/>
  <c r="B87" i="5"/>
  <c r="B88" i="5"/>
  <c r="B89" i="5"/>
  <c r="B90" i="5"/>
  <c r="B91" i="5"/>
  <c r="B92" i="5"/>
  <c r="B93" i="5"/>
  <c r="B94" i="5"/>
  <c r="B95" i="5"/>
  <c r="B96" i="5"/>
  <c r="B97" i="5"/>
  <c r="B98" i="5"/>
  <c r="B99" i="5"/>
  <c r="B100" i="5"/>
  <c r="B101" i="5"/>
  <c r="B102" i="5"/>
  <c r="B103" i="5"/>
  <c r="B82" i="5"/>
  <c r="E68" i="5"/>
  <c r="E67" i="5"/>
  <c r="E66" i="5"/>
  <c r="F63" i="5"/>
  <c r="F64" i="5"/>
  <c r="F65" i="5"/>
  <c r="F62" i="5"/>
  <c r="E63" i="5"/>
  <c r="E64" i="5"/>
  <c r="E65" i="5"/>
  <c r="E62" i="5"/>
  <c r="B63" i="5"/>
  <c r="B64" i="5"/>
  <c r="B65" i="5"/>
  <c r="B62" i="5"/>
  <c r="B53" i="5"/>
  <c r="B54" i="5" s="1"/>
  <c r="B58" i="5"/>
  <c r="B50" i="5"/>
  <c r="B44" i="5"/>
  <c r="B25" i="5"/>
  <c r="C25" i="5" s="1"/>
  <c r="B24" i="5"/>
  <c r="B23" i="5"/>
  <c r="F66" i="3"/>
  <c r="G66" i="3" s="1"/>
  <c r="G77" i="3"/>
  <c r="F77" i="3"/>
  <c r="F88" i="3"/>
  <c r="J71" i="3"/>
  <c r="K71" i="3"/>
  <c r="K70" i="3"/>
  <c r="J70" i="3"/>
  <c r="J34" i="3"/>
  <c r="K34" i="3" s="1"/>
  <c r="J35" i="3"/>
  <c r="K35" i="3" s="1"/>
  <c r="J36" i="3"/>
  <c r="K36" i="3" s="1"/>
  <c r="J33" i="3"/>
  <c r="K33" i="3" s="1"/>
  <c r="K19" i="3"/>
  <c r="K20" i="3"/>
  <c r="K24" i="3"/>
  <c r="K26" i="3"/>
  <c r="K27" i="3"/>
  <c r="K28" i="3"/>
  <c r="J19" i="3"/>
  <c r="J20" i="3"/>
  <c r="J21" i="3"/>
  <c r="K21" i="3" s="1"/>
  <c r="J22" i="3"/>
  <c r="K22" i="3" s="1"/>
  <c r="J23" i="3"/>
  <c r="K23" i="3" s="1"/>
  <c r="J24" i="3"/>
  <c r="J25" i="3"/>
  <c r="K25" i="3" s="1"/>
  <c r="J26" i="3"/>
  <c r="J27" i="3"/>
  <c r="J28" i="3"/>
  <c r="J18" i="3"/>
  <c r="K18" i="3" s="1"/>
  <c r="K4" i="3"/>
  <c r="K5" i="3"/>
  <c r="K6" i="3"/>
  <c r="K7" i="3"/>
  <c r="K3" i="3"/>
  <c r="J4" i="3"/>
  <c r="J5" i="3"/>
  <c r="J6" i="3"/>
  <c r="J7" i="3"/>
  <c r="J3" i="3"/>
  <c r="F115" i="2"/>
  <c r="G114" i="2"/>
  <c r="F114" i="2"/>
  <c r="R67" i="4"/>
  <c r="R71" i="4" s="1"/>
  <c r="S13" i="4"/>
  <c r="S15" i="4"/>
  <c r="R28" i="4"/>
  <c r="O28" i="4" s="1"/>
  <c r="S28" i="4" s="1"/>
  <c r="R43" i="4"/>
  <c r="O43" i="4" s="1"/>
  <c r="R16" i="4"/>
  <c r="O16" i="4" s="1"/>
  <c r="S16" i="4" s="1"/>
  <c r="R14" i="4"/>
  <c r="O14" i="4" s="1"/>
  <c r="S14" i="4" s="1"/>
  <c r="R12" i="4"/>
  <c r="M6" i="4"/>
  <c r="M7" i="4"/>
  <c r="M8" i="4"/>
  <c r="L6" i="4"/>
  <c r="L7" i="4"/>
  <c r="L8" i="4"/>
  <c r="L12" i="4"/>
  <c r="L9" i="4"/>
  <c r="L10" i="4"/>
  <c r="L11" i="4"/>
  <c r="L13" i="4"/>
  <c r="L14" i="4"/>
  <c r="L15" i="4"/>
  <c r="L16" i="4"/>
  <c r="L17" i="4"/>
  <c r="L18" i="4"/>
  <c r="L19" i="4"/>
  <c r="L20" i="4"/>
  <c r="L21" i="4"/>
  <c r="L22" i="4"/>
  <c r="L23" i="4"/>
  <c r="L24" i="4"/>
  <c r="L25" i="4"/>
  <c r="L26" i="4"/>
  <c r="L27" i="4"/>
  <c r="L28" i="4"/>
  <c r="L5" i="4"/>
  <c r="M12" i="4"/>
  <c r="M17" i="4"/>
  <c r="M18" i="4"/>
  <c r="M19" i="4"/>
  <c r="M20" i="4"/>
  <c r="M21" i="4"/>
  <c r="M22" i="4"/>
  <c r="M23" i="4"/>
  <c r="M24" i="4"/>
  <c r="M25" i="4"/>
  <c r="M26" i="4"/>
  <c r="M27" i="4"/>
  <c r="M9" i="4"/>
  <c r="M10" i="4"/>
  <c r="M11" i="4"/>
  <c r="M13" i="4"/>
  <c r="M14" i="4"/>
  <c r="M15" i="4"/>
  <c r="M16" i="4"/>
  <c r="M28" i="4"/>
  <c r="M67" i="4"/>
  <c r="M5" i="4"/>
  <c r="O14" i="11"/>
  <c r="O15" i="11"/>
  <c r="O12" i="11"/>
  <c r="I13" i="11"/>
  <c r="B3" i="11"/>
  <c r="C3" i="11"/>
  <c r="K13" i="11"/>
  <c r="N13" i="11"/>
  <c r="N14" i="11"/>
  <c r="N15" i="11"/>
  <c r="N12" i="11"/>
  <c r="L14" i="11"/>
  <c r="L15" i="11"/>
  <c r="L12" i="11"/>
  <c r="J14" i="11"/>
  <c r="I14" i="11"/>
  <c r="J13" i="11"/>
  <c r="D13" i="11"/>
  <c r="C13" i="11"/>
  <c r="K14" i="11"/>
  <c r="K15" i="11"/>
  <c r="K12" i="11"/>
  <c r="E14" i="11"/>
  <c r="E15" i="11"/>
  <c r="E12" i="11"/>
  <c r="J12" i="11"/>
  <c r="I12" i="11"/>
  <c r="B14" i="11"/>
  <c r="B15" i="11"/>
  <c r="B12" i="11"/>
  <c r="I4" i="11"/>
  <c r="I5" i="11"/>
  <c r="I2" i="11"/>
  <c r="G3" i="11"/>
  <c r="E3" i="11"/>
  <c r="B2" i="11"/>
  <c r="G2" i="11" s="1"/>
  <c r="G4" i="11"/>
  <c r="G5" i="11"/>
  <c r="F72" i="3"/>
  <c r="G73" i="3" s="1"/>
  <c r="F64" i="3"/>
  <c r="F62" i="3"/>
  <c r="F52" i="3"/>
  <c r="F54" i="3" s="1"/>
  <c r="F53" i="3"/>
  <c r="F37" i="3"/>
  <c r="F39" i="3" s="1"/>
  <c r="F38" i="3"/>
  <c r="F30" i="3"/>
  <c r="G31" i="3" s="1"/>
  <c r="F29" i="3"/>
  <c r="F10" i="3"/>
  <c r="F12" i="3" s="1"/>
  <c r="G12" i="3" s="1"/>
  <c r="G110" i="2"/>
  <c r="F53" i="2"/>
  <c r="F55" i="2" s="1"/>
  <c r="G55" i="2" s="1"/>
  <c r="F25" i="2"/>
  <c r="F16" i="2"/>
  <c r="G17" i="2" s="1"/>
  <c r="G5" i="2"/>
  <c r="F89" i="3" l="1"/>
  <c r="J37" i="3"/>
  <c r="K37" i="3" s="1"/>
  <c r="F91" i="3" s="1"/>
  <c r="B47" i="5" s="1"/>
  <c r="G54" i="3"/>
  <c r="R31" i="4"/>
  <c r="O67" i="4"/>
  <c r="O12" i="4"/>
  <c r="S12" i="4" s="1"/>
  <c r="R63" i="4"/>
  <c r="B7" i="11"/>
  <c r="B13" i="11"/>
  <c r="I3" i="11"/>
  <c r="L13" i="11"/>
  <c r="E13" i="11"/>
  <c r="G39" i="3"/>
  <c r="G89" i="3" l="1"/>
  <c r="B45" i="5"/>
  <c r="B49" i="5" s="1"/>
  <c r="F90" i="3"/>
  <c r="B46" i="5" s="1"/>
  <c r="B57" i="5" l="1"/>
  <c r="C58" i="5" s="1"/>
  <c r="C5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1" authorId="0" shapeId="0" xr:uid="{317B48D3-EA80-8A44-B1C5-B361286339C0}">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9E0B8C3C-C613-8A4C-8018-B3EAA697CC53}">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D28EFEB9-97A8-0242-A6D4-D7200B47C17E}">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<sst xmlns="http://schemas.openxmlformats.org/spreadsheetml/2006/main" count="1391" uniqueCount="607">
  <si>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</si>
  <si>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</si>
  <si>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</si>
  <si>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</si>
  <si>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</si>
  <si>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</si>
  <si>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</si>
  <si>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</si>
  <si>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</si>
  <si>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</si>
  <si>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</si>
  <si>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</si>
  <si>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</si>
  <si>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</si>
  <si>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</si>
  <si>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</si>
  <si>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Quarters 3</t>
  </si>
  <si>
    <t>Bushels 3</t>
  </si>
  <si>
    <t>Quarters 4</t>
  </si>
  <si>
    <t>Bushels 4</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</si>
  <si>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</si>
  <si>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</si>
  <si>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</si>
  <si>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</si>
  <si>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</si>
  <si>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</si>
  <si>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</si>
  <si>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</si>
  <si>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</si>
  <si>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</si>
  <si>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</si>
  <si>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</si>
  <si>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</si>
  <si>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</si>
  <si>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</si>
  <si>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</si>
  <si>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</si>
  <si>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James de Northon', bailiff, and William le Stynt', reeve, render account for £9 18 shilling 9.5pence of arrears from the previous year.</t>
  </si>
  <si>
    <t>All delivered to Sir Geoffrey, treasurer of Wolvesey, and they are quit.</t>
  </si>
  <si>
    <t>Rents of assize</t>
  </si>
  <si>
    <t>The same render account for £8 16 shilling 10.25pence for all rents of assize at Easter (22 April).</t>
  </si>
  <si>
    <t>£8 16 shilling 10.25pence at Michaelmas (29 September).</t>
  </si>
  <si>
    <t>Total, £17 13 shilling 9pence</t>
  </si>
  <si>
    <t>Quittances</t>
  </si>
  <si>
    <t>In quittance of 1 reeve for the year 5 shilling.</t>
  </si>
  <si>
    <t>1 shepherd for the year 3 shilling.</t>
  </si>
  <si>
    <t>3 ploughmen for the year 6 shilling.</t>
  </si>
  <si>
    <t>1 smith for the year 2 shilling Total, 16 shilling</t>
  </si>
  <si>
    <t>Defaults of rent</t>
  </si>
  <si>
    <t>In default of 2 acres of Sampson drawn into demesne 1 shilling 3pence.</t>
  </si>
  <si>
    <t>2.5 acres in Costouue 4 shilling 9pence.</t>
  </si>
  <si>
    <t>certain land of Gundevyl' drawn into demesne 6pence.</t>
  </si>
  <si>
    <t>1.5 acres and 1 perch which belonged to John Edward drawn into demesne 10pence.</t>
  </si>
  <si>
    <t>2 acres of land of Thomas de Camera drawn into demesne 2 shilling.</t>
  </si>
  <si>
    <t>1 house of Joan de la Forde which was pulled down on account of the king's highway 1pence Total of defaults of rent, 9 shilling 5pence Total of quittances and defaults of rent, £1 5 shilling 5pence</t>
  </si>
  <si>
    <t>Total of rents remaining, £16 8 shilling 4pence</t>
  </si>
  <si>
    <t>Annual recognizance</t>
  </si>
  <si>
    <t>The same render account for 6pence from the annual recognizance of the relict of Thomas de Badely, for the term of 13 years which John le Commongare granted her to hold the land of Richard Vassal.</t>
  </si>
  <si>
    <t>She thus pays 6pence yearly, and this will be the second year.</t>
  </si>
  <si>
    <t>Total, 6pence</t>
  </si>
  <si>
    <t>Issues of the manor</t>
  </si>
  <si>
    <t>The same render account for 14 shilling 1pence from common pannage of 114 pigs and 106 piglets, at 1pence a pig over a year old, 0.5pence a piglet.</t>
  </si>
  <si>
    <t>6 shilling from pannage of Luxegrove and Woodgarston, of 36 pigs of Robert Archyr, Richard atte Ford', William Duk' and other men of Bentley, at 2pence a pig.</t>
  </si>
  <si>
    <t>1 shilling 6pence from the pasturage of la Rygg' sold to the men of Crondall.</t>
  </si>
  <si>
    <t>1 shilling from the pasturage of Woodgarston sold.</t>
  </si>
  <si>
    <t>2 shilling from the pasturage of Coleford'.</t>
  </si>
  <si>
    <t>1 shilling from the pasturage of la Brodemed' sold.</t>
  </si>
  <si>
    <t>4 shilling from the pasturage of Midelfeld' sold.</t>
  </si>
  <si>
    <t>nothing from the pasturage of la Den' and Westssend' because it was reserved for the lord's oxen.</t>
  </si>
  <si>
    <t>nothing from the pasturage of Luxegrove this year for the lord's oxen.</t>
  </si>
  <si>
    <t>£1 10 shilling from 3 oxen sold, at 10 shilling each.</t>
  </si>
  <si>
    <t>4 shilling 6pence from an old feeble ox sold.</t>
  </si>
  <si>
    <t>6 shilling from 1 cow from the heriot of John ate Pull' sold.</t>
  </si>
  <si>
    <t>4 shilling from 1 bullock sold.</t>
  </si>
  <si>
    <t>2 shilling 3pence from the hide sold of 1 ox in murrain.</t>
  </si>
  <si>
    <t>8pence from 1 piglet from a heriot sold.</t>
  </si>
  <si>
    <t>1 shilling 3pence from 10 hens from churchscot sold.</t>
  </si>
  <si>
    <t>3 shilling 10.25pence from 19 quarters of wheat from Rikestreth'.</t>
  </si>
  <si>
    <t>wheat</t>
  </si>
  <si>
    <t>6 shilling 9pence from customary tenants for release from harrowing which is called `Dustsegynge'.</t>
  </si>
  <si>
    <t>£1 6 shilling 8pence from 2 casks of cider remaining from the previous year sold without the wood.</t>
  </si>
  <si>
    <t>5 shilling from .5 cask of cider solpence Total, £6 6.25pence</t>
  </si>
  <si>
    <t>Sale of corn</t>
  </si>
  <si>
    <t>The same render account for £25 4 shilling from 84 quarters of wheat sold, at 6 shilling a quarters.</t>
  </si>
  <si>
    <t>8 shilling 1.5pence from 3 quarters 3 bushels of curall sold, at 2 shilling 4pence a quarters.</t>
  </si>
  <si>
    <t>curall</t>
  </si>
  <si>
    <t>3 shilling from 1 quarters of barley sold at the audit.</t>
  </si>
  <si>
    <t>barley</t>
  </si>
  <si>
    <t>£1 8 shilling from 12 quarters of oats sold, at 2 shilling 4pence a quarters.</t>
  </si>
  <si>
    <t>oats</t>
  </si>
  <si>
    <t>Total, £27 3 shilling 1.5pence</t>
  </si>
  <si>
    <t>Entry and marriage fines</t>
  </si>
  <si>
    <t>The same render account for 2 shilling from Peter Burel for 5 acres of purpresture which he recovered from Joan de Marisco.</t>
  </si>
  <si>
    <t>£1 6 shilling 8pence from Richard, son of Richard le Hyne, and Margaret his wife, daughter of John ate Pull', for 1 messuage and .5 virgate of land which belonged to John ate Pull' by quitclaim of Hugh ate Slade and Richard le Hyne.</t>
  </si>
  <si>
    <t>13 shilling 4pence from William ate Hole to have 1 messuage and 1 ferling of land which belonged to Robert ate Hole his father.</t>
  </si>
  <si>
    <t>£1 13 shilling 4pence from John Knygt' to have 1 messuage 8 acres of land which he recovered from Robert de Tymbeden' by inquest taken in the absence of the said Robert for his many defaults.</t>
  </si>
  <si>
    <t>13 shilling 4pence from Robert Babbe and Emma his wife to have 1 messuage and 1 curtilage and 4 acres of land which belonged to Blyssot', relict of Sampson.</t>
  </si>
  <si>
    <t>Total, £4 8 shilling 8pence</t>
  </si>
  <si>
    <t>Perquisites</t>
  </si>
  <si>
    <t>The same render account for 6pence from the reeve of Bentley because he put himself on an inquest.</t>
  </si>
  <si>
    <t>2 shilling from Robert de Tettemoll' for false complaint.</t>
  </si>
  <si>
    <t>2 shilling from the tithing of Bentley because it did not produce in court Richard Babb' and William Archyr.</t>
  </si>
  <si>
    <t>3pence from Richard Vassal for default.</t>
  </si>
  <si>
    <t>6pence from Peter Sweyn for the hue.</t>
  </si>
  <si>
    <t>1 shilling from John de Wuly for the same.</t>
  </si>
  <si>
    <t>6pence from Blyssiot', daughter of Gylemyn, for breaking the assize.</t>
  </si>
  <si>
    <t>1 shilling from Robert Stel for the same.</t>
  </si>
  <si>
    <t>3pence from Robert ate Hacch' for the same.</t>
  </si>
  <si>
    <t>3pence from the relict of Laurence for the same.</t>
  </si>
  <si>
    <t>1 shilling from Joan de Marisco for false complaint.</t>
  </si>
  <si>
    <t>6pence from the tithing of Bentley because it did not produce in court Richard Babb'.</t>
  </si>
  <si>
    <t>3pence from Aunor', servant of Joan de Marisco, for default.</t>
  </si>
  <si>
    <t>3pence from William Hayward' for trespass.</t>
  </si>
  <si>
    <t>6pence from John Burnyf' to have a view.</t>
  </si>
  <si>
    <t>3pence from John Certayn for trespass.</t>
  </si>
  <si>
    <t>6pence from John ate Pleystouue for trespass.</t>
  </si>
  <si>
    <t>1 shilling from Avice de Wuly because she sowed the land of the vill.</t>
  </si>
  <si>
    <t>3pence from Matilda ate Slad' for trespass.</t>
  </si>
  <si>
    <t>3pence from the same for the same.</t>
  </si>
  <si>
    <t>2pence from John de Tymbed' for the same.</t>
  </si>
  <si>
    <t>6pence from William Hayward' for unjustly withholding.</t>
  </si>
  <si>
    <t>3pence from Robert Pyletayl for trespass.</t>
  </si>
  <si>
    <t>3pence from John le Careter for the same.</t>
  </si>
  <si>
    <t>3pence from Richard le Hyn' for trespass.</t>
  </si>
  <si>
    <t>3pence from Richard Harold because he leased his land.</t>
  </si>
  <si>
    <t>3pence from Robert de Cruce for trespass.</t>
  </si>
  <si>
    <t>6pence from Hugh ate Slade for confirming an agreement.</t>
  </si>
  <si>
    <t>3pence from John Ustrad for trespass.</t>
  </si>
  <si>
    <t>3pence from John le Careter for trespass.</t>
  </si>
  <si>
    <t>3pence from Richard Hyn' for trespass.</t>
  </si>
  <si>
    <t>6pence from John Slad' for the same.</t>
  </si>
  <si>
    <t>6pence from John Gundewyle for trespass.</t>
  </si>
  <si>
    <t>3pence from Nicholas de Ysenhurst for trespass.</t>
  </si>
  <si>
    <t>6pence from William Ydwyn' for trespass.</t>
  </si>
  <si>
    <t>3pence from Richard ate Ford' for trespass.</t>
  </si>
  <si>
    <t>Total, 18 shilling 2pence</t>
  </si>
  <si>
    <t>Total of both, £5 6 shilling 10pence</t>
  </si>
  <si>
    <t xml:space="preserve">Total of all receipts </t>
  </si>
  <si>
    <t>Total of all receipts, £54 19 shilling 3.75pence</t>
  </si>
  <si>
    <t>Expenses of ploughs</t>
  </si>
  <si>
    <t>In steel bought for 3 ploughs for the year 11 shilling 5pence.</t>
  </si>
  <si>
    <t>3 ploughshares bought 2 shilling 6pence.</t>
  </si>
  <si>
    <t>3 pairs of wheels bought 1 shilling.</t>
  </si>
  <si>
    <t>2 ploughs made anew 6pence.</t>
  </si>
  <si>
    <t>3 ploughs fitted with iron tyres 7.5pence.</t>
  </si>
  <si>
    <t>8 oxen bought £4 5 shilling 11pence, at l 1 shilling 5pence each for 3, 10 shilling 7pence each for 2, 10 shilling 6pence for 1, and 10 shilling each for 2..</t>
  </si>
  <si>
    <t>stipend of 3 drovers for the year 9 shilling.</t>
  </si>
  <si>
    <t>forage' bought for oxen 8 shilling Total, £5 18 shilling 11.5pence</t>
  </si>
  <si>
    <t>Purchase of seed and liveries</t>
  </si>
  <si>
    <t>In 20.5 quarters of barley bought for the liveries of the manorial servants £2 16 shilling 4pence, at 3 shilling 4pence a quarters for 7 quarters, 2 shilling 8pence a quarters for 4.5 quarters, and 2 shilling 4pence a quarters for 9 quarters.</t>
  </si>
  <si>
    <t>Total, £2 16 shilling 4pence</t>
  </si>
  <si>
    <t>Carts</t>
  </si>
  <si>
    <t>In 1 pair of wheels bought 2 shilling .5pence.</t>
  </si>
  <si>
    <t>clouts with nails bought 8pence.</t>
  </si>
  <si>
    <t>grease bought 3.5pence.</t>
  </si>
  <si>
    <t>2 new collars 8.25pence.</t>
  </si>
  <si>
    <t>1 pair of saddle-pads bought 4.5pence.</t>
  </si>
  <si>
    <t>1 pair of traces bought 3pence.</t>
  </si>
  <si>
    <t>girths and cruppers bought 1.5pence.</t>
  </si>
  <si>
    <t>white leather bought for mending harnesses 2pence.</t>
  </si>
  <si>
    <t>a cart made anew and another mended for dung 6pence.</t>
  </si>
  <si>
    <t>fitting the said carts with axles 2pence.</t>
  </si>
  <si>
    <t>shoeing 2 cart-horses for the year 2 shilling 6pence.</t>
  </si>
  <si>
    <t>stipend of 1 carter for the year 3 shilling Total, 10 shilling 9.25pence</t>
  </si>
  <si>
    <t>Cost of buildings</t>
  </si>
  <si>
    <t>In roofing the great barn and hay-barn in places 2 shilling 4pence.</t>
  </si>
  <si>
    <t>mending the granary with tiles and lime bought for the same 1 shilling 8.5pence.</t>
  </si>
  <si>
    <t>1 barrow bought 4.5pence.</t>
  </si>
  <si>
    <t>making 1 gate for the enclosure between the king's highway and the lord's field 4.5pence.</t>
  </si>
  <si>
    <t>sawing boards 10.5pence Total, 5 shilling 8pence</t>
  </si>
  <si>
    <t>Threshing and winnowing</t>
  </si>
  <si>
    <t>{henceforth 1.75pence should always be owed for threshing and winnowing 10 struck bushels of barley and the same for vetches and .75pence for threshing 10 bushels of oats, 1pence for winnowing 8 quarters}</t>
  </si>
  <si>
    <t>barley, vetches, oats</t>
  </si>
  <si>
    <t>In threshing and winnowing 118 quarters 2 bushels of wheat by piece-work £1 1 shilling 8.25pence, at 2pence a quarters threshed and 1pence per 5 quarters winnowepence.</t>
  </si>
  <si>
    <t>threshing and winnowing 7.5 quarters 2 bushels of winter barley and 4 quarters 2 bushels of barley by piece-work 1 shilling 9.75pence, at 1.75pence a quarters.</t>
  </si>
  <si>
    <t>.</t>
  </si>
  <si>
    <t>threshing and winnowing 61.5 quarters 1 bushels of oats by piece-work 3 shilling 2.5pence, at 0.75pence a quarters threshed and 1 pence per 8 quarters winnowepence.</t>
  </si>
  <si>
    <t>threshing and winnowing 2 quarters 2 bushels of vetches by piece-work 3.75pence, at 1.75pence a quarters.</t>
  </si>
  <si>
    <t>vetches</t>
  </si>
  <si>
    <t>Total, £1 7 shilling 0.25pence</t>
  </si>
  <si>
    <t>Weeding and customary payments</t>
  </si>
  <si>
    <t>In cheese bought for the weeders 5pence.</t>
  </si>
  <si>
    <t>mowing 14 acres and 1 perch of meadow 3 shilling 6.75pence.</t>
  </si>
  <si>
    <t>spreading the same 3pence.</t>
  </si>
  <si>
    <t>mowing and tossing the meadow of Auedemere by piece-work 6pence Total, 4 shilling 8.25pence</t>
  </si>
  <si>
    <t>Harvest-time</t>
  </si>
  <si>
    <t>In 350 herrings bought for 138 men with 9 officials of the curia 2 shilling 4pence, at 8pence a 100, because they ought not to have other relish, and 2 men are owed 5 herrings a day according to custom.</t>
  </si>
  <si>
    <t>meat bought for 2 boon-works 6 shilling.</t>
  </si>
  <si>
    <t>ale bought for 4 boon-works 9 shilling 10pence.</t>
  </si>
  <si>
    <t>cheese bought for 37 carters carrying the lord's corn 1 shilling 3pence.</t>
  </si>
  <si>
    <t>salt bought 3pence.</t>
  </si>
  <si>
    <t>reaping corn and oats which remained beyond the boon-works £1 11 shilling 10pence.</t>
  </si>
  <si>
    <t>stipend of 1 overseer of the harvest for the year 55..</t>
  </si>
  <si>
    <t>expenses of 1 reap-reeve, who oversaw the reapers and who kept the corn at night until the end of the harvest, 3 shilling.</t>
  </si>
  <si>
    <t>stipend of the same 3 shilling Total, £3 2 shilling 6pence</t>
  </si>
  <si>
    <t>Expenses for cider</t>
  </si>
  <si>
    <t>In expenses of 1 man who helped make 4 casks of cider and who oversaw thecollection of apples 1 shilling 4pence.</t>
  </si>
  <si>
    <t>repairing and re-hooping 2 casks with hoops and boards bought for the same, with the stipend of the cooper, 2 shilling 4pence.</t>
  </si>
  <si>
    <t>grease bought for the cider-press 2pence Given by order of the lord 2 shilling Total, 5 shilling 10pence</t>
  </si>
  <si>
    <t>Total of all expenses</t>
  </si>
  <si>
    <t>Total of all expenses, £14 11 shilling 9.25pence</t>
  </si>
  <si>
    <t>And he owes</t>
  </si>
  <si>
    <t>And he owes, £40 7 shilling 6.5pence</t>
  </si>
  <si>
    <t xml:space="preserve">Cash deliveries </t>
  </si>
  <si>
    <t>Delivered to Sir Geoffrey, treasurer of Wolvesey, by 1 tally, £23 10 shilling</t>
  </si>
  <si>
    <t>And thus he owes clear</t>
  </si>
  <si>
    <t>And thus he owes clear, £16 17 shilling 6.5pence</t>
  </si>
  <si>
    <t>Wheat</t>
  </si>
  <si>
    <t>{yield: 4.5-fold plus 3.5 quarters}</t>
  </si>
  <si>
    <t>The same render account for 118 quarters 2 bushels from the whole issue of wheat and curall from the grange with the increment of the granary.</t>
  </si>
  <si>
    <t>curall, wheat</t>
  </si>
  <si>
    <t>Sown over 75 acres measured by the perch which lie in the fields of Quidacr' and la Estdon', 23.5 quarters 1 bushels.</t>
  </si>
  <si>
    <t>that is, 2.5 bushels an acre, plus 7 bushels in all.</t>
  </si>
  <si>
    <t>Delivered to 1 sergeant for the year, 4 quarters 2 bushels, because he takes the rest in barley.</t>
  </si>
  <si>
    <t>bread made for the weeders and carriers of hay, 1 quarters.</t>
  </si>
  <si>
    <t>provision of 4 harvest boon-works, 3 quarters.</t>
  </si>
  <si>
    <t>Sold, 87 quarters 3 bushels, of which 3 quarters 3 bushels are curall.</t>
  </si>
  <si>
    <t>Winter barley</t>
  </si>
  <si>
    <t>{yield: 4-fold plus 2 bushels}</t>
  </si>
  <si>
    <t>The same render account for 7.5 quarters 2 bushels from the whole issue of winter barley from the grange with the increment of the granary.</t>
  </si>
  <si>
    <t>Sown over 4 acres measured by the perch which lie in the field of ..., 1 quarters 2 bushels Mixed below with barley for the liveries of the manorial servants, 6.5 quarters.</t>
  </si>
  <si>
    <t>Barley</t>
  </si>
  <si>
    <t>(yield: three-fold plus 2 bushels)</t>
  </si>
  <si>
    <t>The same render account for 4.5 quarters 2 bushels from the whole issue of barley from the grange with the increment of the granary.</t>
  </si>
  <si>
    <t>6.5 quarters received above from winter barley.</t>
  </si>
  <si>
    <t>1.5 quarters [received] below from vetches.</t>
  </si>
  <si>
    <t>20.5 quarters bought as noted above.</t>
  </si>
  <si>
    <t>Total, 33 quarters 2 bushels</t>
  </si>
  <si>
    <t>Sown over 6 acres measured by the perch which lie in the field of Westssend', 3 quarters.</t>
  </si>
  <si>
    <t>that is, 4 bushels an acre.</t>
  </si>
  <si>
    <t>Delivered to 1 sergeant for the year, 3 quarters 2 bushels, because he takes the rest in wheat.</t>
  </si>
  <si>
    <t>Delivered to 1 carter and 3 drovers for the year, 26 quarters.</t>
  </si>
  <si>
    <t>Sold at the audit, 1 quarters.</t>
  </si>
  <si>
    <t>Oats</t>
  </si>
  <si>
    <t>(Yield: 26 quarters more than sown}</t>
  </si>
  <si>
    <t>The same render account for 61.5 quarters 1 bushels from the whole issue of oats from the grange with the increment of the granary.</t>
  </si>
  <si>
    <t>13 quarters by estimation in sheaves given to oxen.</t>
  </si>
  <si>
    <t>Total, 74.5 quarters 1 bushels</t>
  </si>
  <si>
    <t>Sown over 78 acres measured by the perch which lie in the field of Westfeld', 40.5 quarters 2 bushels.</t>
  </si>
  <si>
    <t>that is, 4 bushels an acre, plus 1.5 quarters 2 bushels in all.</t>
  </si>
  <si>
    <t>fodder of 2 cart-horses for the year, 7.5 quarters.</t>
  </si>
  <si>
    <t>fodder of 1 plough-horse harrowing at the Lenten sowing, 1 quarters 3 bushels this year, because the harrowing for `dustlond' was sold, as mentioned inside (interior).</t>
  </si>
  <si>
    <t>supporting oxen by estimation in sheaves, 13 quarters.</t>
  </si>
  <si>
    <t>Sold, 12 quarters.</t>
  </si>
  <si>
    <t>Vetches</t>
  </si>
  <si>
    <t>{yield: two-fold)</t>
  </si>
  <si>
    <t>The same render account for 2 quarters 2 bushels of vetches from the whole issue of the grange with the increment of the granary.</t>
  </si>
  <si>
    <t>Sown, 6 bushels Mixed above with barley, 1.5 quarters.</t>
  </si>
  <si>
    <t>Stock</t>
  </si>
  <si>
    <t>Cart-horses: 2 remain from the previous year.</t>
  </si>
  <si>
    <t>2 remain.</t>
  </si>
  <si>
    <t>Oxen: 34 remain from the previous year.</t>
  </si>
  <si>
    <t>8 bought.</t>
  </si>
  <si>
    <t>Total, 42. 3 sold at Martinmas.</t>
  </si>
  <si>
    <t>1 enfeebled.</t>
  </si>
  <si>
    <t>1 in murrain.</t>
  </si>
  <si>
    <t>Total, 5. 37 remain.</t>
  </si>
  <si>
    <t>Cows: 1 from the heriot of John ate Pull' after calving.</t>
  </si>
  <si>
    <t>sold.</t>
  </si>
  <si>
    <t>none remain.</t>
  </si>
  <si>
    <t>Bullocks: 1 remains from the previous year.</t>
  </si>
  <si>
    <t>1 sold.</t>
  </si>
  <si>
    <t>Piglets: 1 from the heriot of Alice, who was wife of Robert ate Hole.</t>
  </si>
  <si>
    <t>Hens: 10 from churchscot.</t>
  </si>
  <si>
    <t>all sold.</t>
  </si>
  <si>
    <t>Cider: 2.5 casks remain from the previous year.</t>
  </si>
  <si>
    <t>4 casks and 2 tuns from the issue of the garden this year.</t>
  </si>
  <si>
    <t>2.5 casks sold.</t>
  </si>
  <si>
    <t>4 casks and 2 tuns remain.</t>
  </si>
  <si>
    <t>Utensils: 1 wooden cart remains from the previous year.</t>
  </si>
  <si>
    <t>1 bought.</t>
  </si>
  <si>
    <t>1 used in the manor.</t>
  </si>
  <si>
    <t>1 remains. 7 casks, 4 tubs, 2 tuns, 1 axe, 2 pruning-knives, 1 shovel, 2 iron forks, 1 hoe. 2 iron forks used in the manor.</t>
  </si>
  <si>
    <t>all other utensils remain. 6 boards, 8 feet long and 2 feet wide, sawn this year from a poplar.</t>
  </si>
  <si>
    <t>Error</t>
  </si>
  <si>
    <t>Total</t>
  </si>
  <si>
    <t>The same render account for £25 4 shilling from 84 quarters of wheat sold, at 6 shilling a qr.</t>
  </si>
  <si>
    <t>8 shilling 1.5pence from 3 quarters 3 bushels of curall sold, at 2 shilling 4pence a qr.</t>
  </si>
  <si>
    <t>3 shilling from 1 qr of barley sold at the audit.</t>
  </si>
  <si>
    <t>£1 8 shilling from 12 quarters of oats sold, at 2 shilling 4pence a qr.</t>
  </si>
  <si>
    <t>In 20.5 quarters of barley bought for the liveries of the manorial servants £2 16 shilling 4pence, at 3 shilling 4pence a qr for 7 quarters, 2 shilling 8pence a qr for 4.5 quarters, and 2 shilling 4pence a qr for 9 quarters.</t>
  </si>
  <si>
    <t>In threshing and winnowing 118 quarters 2 bushels of wheat by piece-work £1 1 shilling 8.25pence, at 2pence a qr threshed and 1pence per 5 quarters winnowepence.</t>
  </si>
  <si>
    <t>threshing and winnowing 7.5 quarters 2 bushels of winter barley and 4 quarters 2 bushels of barley by piece-work 1 shilling 9.75pence, at 1.75pence a qr.</t>
  </si>
  <si>
    <t>threshing and winnowing 61.5 quarters 1 bushels of oats by piece-work 3 shilling 2.5pence, at 0.75pence a qr threshed and 1 pence per 8 quarters winnowepence.</t>
  </si>
  <si>
    <t>threshing and winnowing 2 quarters 2 bushels of vetches by piece-work 3.75pence, at 1.75pence a qr.</t>
  </si>
  <si>
    <t>added</t>
  </si>
  <si>
    <t>sold</t>
  </si>
  <si>
    <t>Cart-horses</t>
  </si>
  <si>
    <t>Oxen</t>
  </si>
  <si>
    <t>Cows</t>
  </si>
  <si>
    <t>Bullocks</t>
  </si>
  <si>
    <t>Piglets</t>
  </si>
  <si>
    <t>Poultry stock</t>
  </si>
  <si>
    <t>Cider</t>
  </si>
  <si>
    <t>Utensils</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</si>
  <si>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</si>
  <si>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</si>
  <si>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</si>
  <si>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</si>
  <si>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</si>
  <si>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</si>
  <si>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</si>
  <si>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</si>
  <si>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</si>
  <si>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</si>
  <si>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</si>
  <si>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</si>
  <si>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</si>
  <si>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</si>
  <si>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</si>
  <si>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</si>
  <si>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</si>
  <si>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</si>
  <si>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</si>
  <si>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</si>
  <si>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</si>
  <si>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</si>
  <si>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</si>
  <si>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bread made for the weeders and carriers of hay, 1 qr.</t>
  </si>
  <si>
    <t>Sown over 4 acres measured by the perch which lie in the field of ..., 1 qr 2 bushels Mixed below with barley for the liveries of the manorial servants, 6.5 quarters.</t>
  </si>
  <si>
    <t>Sold at the audit, 1 qr.</t>
  </si>
  <si>
    <t>fodder of 1 plough-horse harrowing at the Lenten sowing, 1 qr 3 bushels this year, because the harrowing for `dustlond' was sold, as mentioned inside (interior).</t>
  </si>
  <si>
    <t>Gross Output</t>
  </si>
  <si>
    <t>Difference Produced+Bought-Sold</t>
  </si>
  <si>
    <t>Weighted Average Price per Quarter</t>
  </si>
  <si>
    <t>Non-Weighted Average Price per Quarter</t>
  </si>
  <si>
    <t>Value of Total Production weighted</t>
  </si>
  <si>
    <t>Maslin</t>
  </si>
  <si>
    <t>Oatmeal</t>
  </si>
  <si>
    <t>Quarters 0</t>
  </si>
  <si>
    <t>Bushels 0</t>
  </si>
  <si>
    <t>£ a quarter 1</t>
  </si>
  <si>
    <t>£ a quarter 2</t>
  </si>
  <si>
    <t>£ a quarter 3</t>
  </si>
  <si>
    <t>£ a quarter 4</t>
  </si>
  <si>
    <t>Quarters Sold</t>
  </si>
  <si>
    <t>Corn lowercase</t>
  </si>
  <si>
    <t>inf</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</si>
  <si>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</si>
  <si>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</si>
  <si>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</si>
  <si>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</si>
  <si>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</si>
  <si>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</si>
  <si>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</si>
  <si>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</si>
  <si>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</si>
  <si>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</si>
  <si>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</si>
  <si>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</si>
  <si>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</si>
  <si>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</si>
  <si>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</si>
  <si>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</si>
  <si>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</si>
  <si>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</si>
  <si>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</si>
  <si>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</si>
  <si>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</si>
  <si>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</si>
  <si>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</si>
  <si>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</si>
  <si>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</si>
  <si>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</si>
  <si>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</si>
  <si>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</si>
  <si>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</si>
  <si>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</si>
  <si>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</si>
  <si>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</si>
  <si>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</si>
  <si>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</si>
  <si>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</si>
  <si>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</si>
  <si>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</si>
  <si>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</si>
  <si>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</si>
  <si>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</si>
  <si>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</si>
  <si>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</si>
  <si>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</si>
  <si>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</si>
  <si>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</si>
  <si>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</si>
  <si>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</si>
  <si>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</si>
  <si>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</si>
  <si>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</si>
  <si>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</si>
  <si>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</si>
  <si>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</si>
  <si>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Grange</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</si>
  <si>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</si>
  <si>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</si>
  <si>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</si>
  <si>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</si>
  <si>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</si>
  <si>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</si>
  <si>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</si>
  <si>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</si>
  <si>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</si>
  <si>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</si>
  <si>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Mares</t>
  </si>
  <si>
    <t>Plough horses</t>
  </si>
  <si>
    <t>Colts (2 years)</t>
  </si>
  <si>
    <t>Colts (1 year)</t>
  </si>
  <si>
    <t>Foals</t>
  </si>
  <si>
    <t>Bulls</t>
  </si>
  <si>
    <t>Steers</t>
  </si>
  <si>
    <t>Yearlings</t>
  </si>
  <si>
    <t>Calves</t>
  </si>
  <si>
    <t>Wethers</t>
  </si>
  <si>
    <t>Rams</t>
  </si>
  <si>
    <t>Ewes</t>
  </si>
  <si>
    <t>Hoggs</t>
  </si>
  <si>
    <t>Lambs</t>
  </si>
  <si>
    <t>Boars</t>
  </si>
  <si>
    <t>Sows</t>
  </si>
  <si>
    <t>Pigs</t>
  </si>
  <si>
    <t>Hoggets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</si>
  <si>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</si>
  <si>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</si>
  <si>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</si>
  <si>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</si>
  <si>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</si>
  <si>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</si>
  <si>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</si>
  <si>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</si>
  <si>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</si>
  <si>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</si>
  <si>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</si>
  <si>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</si>
  <si>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</si>
  <si>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</si>
  <si>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</si>
  <si>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</si>
  <si>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</si>
  <si>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</si>
  <si>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</si>
  <si>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</si>
  <si>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</si>
  <si>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</si>
  <si>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</si>
  <si>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</si>
  <si>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</si>
  <si>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</si>
  <si>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</si>
  <si>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</si>
  <si>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</si>
  <si>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</si>
  <si>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</si>
  <si>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</si>
  <si>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</si>
  <si>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</si>
  <si>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</si>
  <si>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</si>
  <si>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</si>
  <si>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</si>
  <si>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</si>
  <si>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</si>
  <si>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</si>
  <si>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</si>
  <si>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</si>
  <si>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</si>
  <si>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</si>
  <si>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</si>
  <si>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</si>
  <si>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</si>
  <si>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</si>
  <si>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</si>
  <si>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</si>
  <si>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BENTLEY</t>
  </si>
  <si>
    <t>Total in £</t>
  </si>
  <si>
    <t>Note</t>
  </si>
  <si>
    <t>BENTLEY RECEIPTS</t>
  </si>
  <si>
    <t>£</t>
  </si>
  <si>
    <t xml:space="preserve">s </t>
  </si>
  <si>
    <t>d</t>
  </si>
  <si>
    <t>Notes</t>
  </si>
  <si>
    <t xml:space="preserve">1 smith for the year 2 shilling </t>
  </si>
  <si>
    <t>Total, 16 shilling</t>
  </si>
  <si>
    <t>Rents remaining</t>
  </si>
  <si>
    <t xml:space="preserve">5 shilling from .5 cask of cider solpence </t>
  </si>
  <si>
    <t>Total, £6 6.25pence</t>
  </si>
  <si>
    <t>BEAUWORTH EXPENSES</t>
  </si>
  <si>
    <t xml:space="preserve">forage' bought for oxen 8 shilling </t>
  </si>
  <si>
    <t>Total, £5 18 shilling 11.5pence</t>
  </si>
  <si>
    <t xml:space="preserve">stipend of 1 carter for the year 3 shilling </t>
  </si>
  <si>
    <t>Total, 10 shilling 9.25pence</t>
  </si>
  <si>
    <t xml:space="preserve">sawing boards 10.5pence </t>
  </si>
  <si>
    <t>Total, 5 shilling 8pence</t>
  </si>
  <si>
    <t xml:space="preserve">mowing and tossing the meadow of Auedemere by piece-work 6pence </t>
  </si>
  <si>
    <t>Total, 4 shilling 8.25pence</t>
  </si>
  <si>
    <t>stipend of 1 overseer of the harvest for the year 5 shilling</t>
  </si>
  <si>
    <t xml:space="preserve">stipend of the same 3 shilling </t>
  </si>
  <si>
    <t>Total, £3 2 shilling 6pence</t>
  </si>
  <si>
    <t xml:space="preserve">grease bought for the cider-press 2pence Given by order of the lord 2 shilling </t>
  </si>
  <si>
    <t>Total, 5 shilling 10pence</t>
  </si>
  <si>
    <t>Colts (unspecified years)</t>
  </si>
  <si>
    <t>Total Value</t>
  </si>
  <si>
    <t>Total wool</t>
  </si>
  <si>
    <t>Mare</t>
  </si>
  <si>
    <t>Steer</t>
  </si>
  <si>
    <t>calves</t>
  </si>
  <si>
    <t>pigs</t>
  </si>
  <si>
    <t>Woolskins (incl. 10 in tithe)</t>
  </si>
  <si>
    <t>wethers</t>
  </si>
  <si>
    <t>rams</t>
  </si>
  <si>
    <t>ewes</t>
  </si>
  <si>
    <t>hoggs</t>
  </si>
  <si>
    <t>Woolskins (excl. 10 in tithe)</t>
  </si>
  <si>
    <t>Bareskins</t>
  </si>
  <si>
    <t>Lambskins (excl. 8 in tithe)</t>
  </si>
  <si>
    <t xml:space="preserve">Total </t>
  </si>
  <si>
    <t>Total poultry stock</t>
  </si>
  <si>
    <t>Total poultry excluding churchscot</t>
  </si>
  <si>
    <t>Meat</t>
  </si>
  <si>
    <t>Beef</t>
  </si>
  <si>
    <t>Mutton</t>
  </si>
  <si>
    <t>Pork</t>
  </si>
  <si>
    <t>Cheese</t>
  </si>
  <si>
    <t>Winter cheese</t>
  </si>
  <si>
    <t>Summer cheese</t>
  </si>
  <si>
    <t>Total Dairy Sales</t>
  </si>
  <si>
    <t>Additional Information (not necessarily useful)</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</si>
  <si>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</si>
  <si>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</si>
  <si>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</si>
  <si>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</si>
  <si>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</si>
  <si>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</si>
  <si>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</si>
  <si>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</si>
  <si>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</si>
  <si>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</si>
  <si>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</si>
  <si>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</si>
  <si>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</si>
  <si>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</si>
  <si>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</si>
  <si>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</si>
  <si>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</si>
  <si>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</si>
  <si>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</si>
  <si>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</si>
  <si>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</si>
  <si>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</si>
  <si>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</si>
  <si>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</si>
  <si>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</si>
  <si>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subtracted</t>
  </si>
  <si>
    <t>Inherited stock</t>
  </si>
  <si>
    <t>strays</t>
  </si>
  <si>
    <t>herbage</t>
  </si>
  <si>
    <t>churchscot</t>
  </si>
  <si>
    <t>of which in default</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</si>
  <si>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</si>
  <si>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</si>
  <si>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</si>
  <si>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</si>
  <si>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</si>
  <si>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</si>
  <si>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</si>
  <si>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</si>
  <si>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</si>
  <si>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</si>
  <si>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</si>
  <si>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</si>
  <si>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</si>
  <si>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BENTLEY STOCK ACCOUNT</t>
  </si>
  <si>
    <t>Total Quantity</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</si>
  <si>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</si>
  <si>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</si>
  <si>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</si>
  <si>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</si>
  <si>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</si>
  <si>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</si>
  <si>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</si>
  <si>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</si>
  <si>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</si>
  <si>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</si>
  <si>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</si>
  <si>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</si>
  <si>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</si>
  <si>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</si>
  <si>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</si>
  <si>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</si>
  <si>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Total Production</t>
  </si>
  <si>
    <t>Sales of corn (as recorded in accounts)</t>
  </si>
  <si>
    <t xml:space="preserve">Received </t>
  </si>
  <si>
    <t>barley (incl. winter barley)</t>
  </si>
  <si>
    <t>must be a mistake in the accounts</t>
  </si>
  <si>
    <t>issues of manor record the sale of an additional old oxen, not recorded here</t>
  </si>
  <si>
    <t>only recoded in issues of the manor, not stock</t>
  </si>
  <si>
    <t>Total of all receipts recorded in accounts</t>
  </si>
  <si>
    <t>Total cross-check without arrears</t>
  </si>
  <si>
    <t>Total cross-check with arrears</t>
  </si>
  <si>
    <t>Total perquisites and entry fines</t>
  </si>
  <si>
    <t>Fixed investment</t>
  </si>
  <si>
    <t>Demesne fixed investment</t>
  </si>
  <si>
    <t>8 oxen bought £4 5 shilling 11pence, at 11 shilling 5pence each for 3, 10 shilling 7pence each for 2, 10 shilling 6pence for 1, and 10 shilling each for 2..</t>
  </si>
  <si>
    <t>qrs</t>
  </si>
  <si>
    <t>Value of total gross production in £</t>
  </si>
  <si>
    <t>Value of total net production in £</t>
  </si>
  <si>
    <t>Sales value in £</t>
  </si>
  <si>
    <t>Value of production at sales prices £</t>
  </si>
  <si>
    <t>nothing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</si>
</sst>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2"/>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b/>
      <sz val="12"/>
      <color rgb="FFFF0000"/>
      <name val="Calibri (Body)"/>
    </font>
    <font>
      <b/>
      <sz val="12"/>
      <name val="Calibri"/>
      <family val="2"/>
    </font>
    <font>
      <sz val="11"/>
      <color rgb="FFFF0000"/>
      <name val="Calibri"/>
      <family val="2"/>
      <scheme val="minor"/>
    </font>
    <font>
      <i/>
      <sz val="12"/>
      <color theme="1"/>
      <name val="Calibri"/>
      <family val="2"/>
      <scheme val="minor"/>
    </font>
    <font>
      <b/>
      <sz val="10"/>
      <color rgb="FF000000"/>
      <name val="Tahoma"/>
      <family val="2"/>
    </font>
    <font>
      <sz val="10"/>
      <color rgb="FF000000"/>
      <name val="Tahoma"/>
      <family val="2"/>
    </font>
    <font>
      <b/>
      <sz val="11"/>
      <color theme="1"/>
      <name val="Calibri"/>
      <family val="2"/>
      <scheme val="minor"/>
    </font>
    <font>
      <b/>
      <sz val="11"/>
      <color rgb="FF00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92">
    <xf numFmtId="0" fontId="0" fillId="0" borderId="0" xfId="0"/>
    <xf numFmtId="0" fontId="3" fillId="0" borderId="1" xfId="0" applyFont="1" applyBorder="1" applyAlignment="1">
      <alignment horizontal="center" vertical="top"/>
    </xf>
    <xf numFmtId="0" fontId="5" fillId="0" borderId="0" xfId="0" applyFont="1"/>
    <xf numFmtId="0" fontId="5" fillId="2" borderId="0" xfId="0" applyFont="1" applyFill="1"/>
    <xf numFmtId="0" fontId="6" fillId="0" borderId="0" xfId="0" applyFont="1"/>
    <xf numFmtId="0" fontId="2" fillId="0" borderId="0" xfId="0" applyFont="1"/>
    <xf numFmtId="0" fontId="7" fillId="3" borderId="2" xfId="0" applyFont="1" applyFill="1" applyBorder="1"/>
    <xf numFmtId="0" fontId="7" fillId="3" borderId="0" xfId="0" applyFont="1" applyFill="1"/>
    <xf numFmtId="0" fontId="8" fillId="2" borderId="0" xfId="0" applyFont="1" applyFill="1"/>
    <xf numFmtId="0" fontId="6" fillId="0" borderId="3" xfId="0" applyFont="1" applyBorder="1"/>
    <xf numFmtId="0" fontId="4" fillId="0" borderId="0" xfId="0" applyFont="1"/>
    <xf numFmtId="0" fontId="6" fillId="4" borderId="0" xfId="0" applyFont="1" applyFill="1"/>
    <xf numFmtId="0" fontId="9" fillId="4" borderId="0" xfId="0" applyFont="1" applyFill="1"/>
    <xf numFmtId="0" fontId="9" fillId="5" borderId="0" xfId="0" applyFont="1" applyFill="1"/>
    <xf numFmtId="0" fontId="9" fillId="2" borderId="0" xfId="0" applyFont="1" applyFill="1"/>
    <xf numFmtId="0" fontId="5" fillId="6" borderId="0" xfId="0" applyFont="1" applyFill="1"/>
    <xf numFmtId="0" fontId="5" fillId="3" borderId="0" xfId="0" applyFont="1" applyFill="1"/>
    <xf numFmtId="0" fontId="6" fillId="0" borderId="0" xfId="0" applyFont="1" applyAlignment="1">
      <alignment wrapText="1"/>
    </xf>
    <xf numFmtId="0" fontId="9" fillId="6" borderId="0" xfId="0" applyFont="1" applyFill="1"/>
    <xf numFmtId="0" fontId="6" fillId="0" borderId="4" xfId="0" applyFont="1" applyBorder="1"/>
    <xf numFmtId="0" fontId="6" fillId="0" borderId="0" xfId="0" applyFont="1" applyAlignment="1">
      <alignment horizontal="right"/>
    </xf>
    <xf numFmtId="0" fontId="6" fillId="0" borderId="4" xfId="0" applyFont="1" applyBorder="1" applyAlignment="1">
      <alignment horizontal="left"/>
    </xf>
    <xf numFmtId="0" fontId="6" fillId="3" borderId="5" xfId="0" applyFont="1" applyFill="1" applyBorder="1"/>
    <xf numFmtId="0" fontId="9" fillId="2" borderId="6" xfId="0" applyFont="1" applyFill="1" applyBorder="1"/>
    <xf numFmtId="0" fontId="9" fillId="5" borderId="6" xfId="0" applyFont="1" applyFill="1" applyBorder="1"/>
    <xf numFmtId="0" fontId="6" fillId="0" borderId="6" xfId="0" applyFont="1" applyBorder="1"/>
    <xf numFmtId="10" fontId="9" fillId="2" borderId="6" xfId="0" applyNumberFormat="1" applyFont="1" applyFill="1" applyBorder="1"/>
    <xf numFmtId="10" fontId="9" fillId="5" borderId="7" xfId="0" applyNumberFormat="1" applyFont="1" applyFill="1" applyBorder="1"/>
    <xf numFmtId="2" fontId="5" fillId="0" borderId="0" xfId="0" applyNumberFormat="1" applyFont="1" applyAlignment="1">
      <alignment horizontal="right"/>
    </xf>
    <xf numFmtId="2" fontId="10" fillId="0" borderId="0" xfId="0" applyNumberFormat="1" applyFont="1" applyAlignment="1">
      <alignment horizontal="right"/>
    </xf>
    <xf numFmtId="0" fontId="11" fillId="0" borderId="0" xfId="0" applyFont="1"/>
    <xf numFmtId="0" fontId="3" fillId="0" borderId="0" xfId="0" applyFont="1" applyAlignment="1">
      <alignment horizontal="center" vertical="top"/>
    </xf>
    <xf numFmtId="4" fontId="11" fillId="0" borderId="0" xfId="0" applyNumberFormat="1" applyFont="1" applyAlignment="1">
      <alignment horizontal="right"/>
    </xf>
    <xf numFmtId="0" fontId="11" fillId="0" borderId="0" xfId="0" applyFont="1" applyAlignment="1">
      <alignment horizontal="right"/>
    </xf>
    <xf numFmtId="4" fontId="4" fillId="0" borderId="0" xfId="0" applyNumberFormat="1" applyFont="1" applyAlignment="1">
      <alignment horizontal="center"/>
    </xf>
    <xf numFmtId="0" fontId="12" fillId="0" borderId="0" xfId="0" applyFont="1" applyAlignment="1">
      <alignment horizontal="center" vertical="top"/>
    </xf>
    <xf numFmtId="0" fontId="13" fillId="0" borderId="0" xfId="0" applyFont="1" applyAlignment="1">
      <alignment horizontal="left" vertical="top"/>
    </xf>
    <xf numFmtId="0" fontId="13" fillId="0" borderId="0" xfId="0" applyFont="1" applyAlignment="1">
      <alignment horizontal="center" vertical="top"/>
    </xf>
    <xf numFmtId="0" fontId="14" fillId="0" borderId="0" xfId="0" applyFont="1"/>
    <xf numFmtId="0" fontId="13" fillId="0" borderId="0" xfId="0" applyFont="1" applyAlignment="1">
      <alignment horizontal="center" vertical="center"/>
    </xf>
    <xf numFmtId="4" fontId="11" fillId="0" borderId="0" xfId="0" applyNumberFormat="1" applyFont="1" applyAlignment="1">
      <alignment horizontal="center" vertical="center"/>
    </xf>
    <xf numFmtId="0" fontId="11" fillId="0" borderId="0" xfId="0" applyFont="1" applyAlignment="1">
      <alignment horizontal="center" vertical="center"/>
    </xf>
    <xf numFmtId="0" fontId="2" fillId="0" borderId="0" xfId="0" applyFont="1" applyAlignment="1">
      <alignment horizontal="center" vertical="center"/>
    </xf>
    <xf numFmtId="2" fontId="4" fillId="0" borderId="0" xfId="0" applyNumberFormat="1" applyFont="1" applyAlignment="1">
      <alignment horizontal="center" vertical="center"/>
    </xf>
    <xf numFmtId="2" fontId="12" fillId="0" borderId="0" xfId="0" applyNumberFormat="1" applyFont="1" applyAlignment="1">
      <alignment horizontal="center" vertical="center"/>
    </xf>
    <xf numFmtId="2" fontId="0" fillId="0" borderId="0" xfId="0" applyNumberFormat="1"/>
    <xf numFmtId="2" fontId="14" fillId="0" borderId="0" xfId="0" applyNumberFormat="1" applyFont="1"/>
    <xf numFmtId="0" fontId="0" fillId="0" borderId="0" xfId="0" applyAlignment="1">
      <alignment wrapText="1"/>
    </xf>
    <xf numFmtId="0" fontId="4" fillId="0" borderId="0" xfId="0" applyFont="1" applyAlignment="1">
      <alignment wrapText="1"/>
    </xf>
    <xf numFmtId="0" fontId="15"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3" borderId="0" xfId="0" applyFill="1"/>
    <xf numFmtId="0" fontId="0" fillId="8" borderId="0" xfId="0" applyFill="1"/>
    <xf numFmtId="0" fontId="15" fillId="3" borderId="0" xfId="0" applyFont="1" applyFill="1"/>
    <xf numFmtId="0" fontId="15" fillId="0" borderId="0" xfId="0" applyFont="1"/>
    <xf numFmtId="2" fontId="0" fillId="0" borderId="0" xfId="0" applyNumberFormat="1" applyAlignment="1">
      <alignment wrapText="1"/>
    </xf>
    <xf numFmtId="2" fontId="5" fillId="0" borderId="0" xfId="0" applyNumberFormat="1" applyFont="1" applyAlignment="1">
      <alignment horizontal="left" vertical="center" wrapText="1"/>
    </xf>
    <xf numFmtId="0" fontId="4" fillId="0" borderId="0" xfId="0" applyFont="1" applyAlignment="1">
      <alignment horizontal="left" wrapText="1"/>
    </xf>
    <xf numFmtId="0" fontId="4" fillId="0" borderId="0" xfId="0" applyFont="1" applyAlignment="1">
      <alignment horizontal="left"/>
    </xf>
    <xf numFmtId="2" fontId="4" fillId="0" borderId="0" xfId="0" applyNumberFormat="1" applyFont="1" applyAlignment="1">
      <alignment horizontal="left" wrapText="1"/>
    </xf>
    <xf numFmtId="0" fontId="3" fillId="0" borderId="0" xfId="0" applyFont="1" applyAlignment="1">
      <alignment horizontal="center" vertical="top" wrapText="1"/>
    </xf>
    <xf numFmtId="2" fontId="3" fillId="0" borderId="0" xfId="0" applyNumberFormat="1" applyFont="1" applyAlignment="1">
      <alignment horizontal="center" vertical="top" wrapText="1"/>
    </xf>
    <xf numFmtId="0" fontId="18" fillId="0" borderId="0" xfId="0" applyFont="1"/>
    <xf numFmtId="0" fontId="18" fillId="0" borderId="0" xfId="0" applyFont="1" applyAlignment="1">
      <alignment horizontal="right" wrapText="1"/>
    </xf>
    <xf numFmtId="0" fontId="18" fillId="0" borderId="0" xfId="0" applyFont="1" applyAlignment="1">
      <alignment wrapText="1"/>
    </xf>
    <xf numFmtId="0" fontId="19" fillId="0" borderId="10" xfId="0" applyFont="1" applyBorder="1" applyAlignment="1">
      <alignment wrapText="1"/>
    </xf>
    <xf numFmtId="2" fontId="18" fillId="0" borderId="0" xfId="0" applyNumberFormat="1" applyFont="1" applyAlignment="1">
      <alignment horizontal="right" wrapText="1"/>
    </xf>
    <xf numFmtId="0" fontId="0" fillId="9" borderId="0" xfId="0" applyFill="1"/>
    <xf numFmtId="0" fontId="0" fillId="10" borderId="0" xfId="0" applyFill="1"/>
    <xf numFmtId="0" fontId="0" fillId="0" borderId="10" xfId="0" applyBorder="1"/>
    <xf numFmtId="0" fontId="0" fillId="7" borderId="0" xfId="0" applyFill="1"/>
    <xf numFmtId="0" fontId="0" fillId="0" borderId="0" xfId="0" applyAlignment="1">
      <alignment horizontal="center" wrapText="1"/>
    </xf>
    <xf numFmtId="0" fontId="0" fillId="0" borderId="9" xfId="0" applyBorder="1" applyAlignment="1">
      <alignment horizontal="center" wrapText="1"/>
    </xf>
    <xf numFmtId="0" fontId="1" fillId="0" borderId="0" xfId="0" applyFont="1"/>
    <xf numFmtId="2" fontId="4" fillId="0" borderId="0" xfId="0" applyNumberFormat="1" applyFont="1" applyAlignment="1">
      <alignment horizontal="center" vertical="center" wrapText="1"/>
    </xf>
    <xf numFmtId="0" fontId="4" fillId="3" borderId="0" xfId="0" applyFont="1" applyFill="1" applyAlignment="1">
      <alignment horizontal="center"/>
    </xf>
    <xf numFmtId="0" fontId="1" fillId="3" borderId="0" xfId="0" applyFont="1" applyFill="1"/>
    <xf numFmtId="2" fontId="1" fillId="3" borderId="0" xfId="0" applyNumberFormat="1" applyFont="1" applyFill="1"/>
    <xf numFmtId="4" fontId="4" fillId="0" borderId="0" xfId="0" applyNumberFormat="1" applyFont="1" applyAlignment="1">
      <alignment horizontal="right"/>
    </xf>
    <xf numFmtId="0" fontId="4" fillId="0" borderId="0" xfId="0" applyFont="1" applyAlignment="1">
      <alignment horizontal="right"/>
    </xf>
    <xf numFmtId="2" fontId="4" fillId="0" borderId="0" xfId="0" applyNumberFormat="1" applyFont="1"/>
    <xf numFmtId="0" fontId="14" fillId="3" borderId="0" xfId="0" applyFont="1" applyFill="1"/>
    <xf numFmtId="2" fontId="0" fillId="3" borderId="0" xfId="0" applyNumberFormat="1" applyFill="1"/>
    <xf numFmtId="0" fontId="18" fillId="3" borderId="0" xfId="0" applyFont="1" applyFill="1"/>
    <xf numFmtId="0" fontId="0" fillId="0" borderId="12" xfId="0" applyBorder="1"/>
    <xf numFmtId="0" fontId="0" fillId="0" borderId="13" xfId="0" applyBorder="1"/>
    <xf numFmtId="0" fontId="0" fillId="0" borderId="11" xfId="0" applyBorder="1"/>
    <xf numFmtId="2" fontId="0" fillId="0" borderId="12" xfId="0" applyNumberFormat="1" applyBorder="1"/>
    <xf numFmtId="10" fontId="0" fillId="0" borderId="12" xfId="0" applyNumberForma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8"/>
  <sheetViews>
    <sheetView tabSelected="1" zoomScale="115" workbookViewId="0">
      <pane xSplit="1" ySplit="2" topLeftCell="B36" activePane="bottomRight" state="frozen"/>
      <selection pane="topRight" activeCell="B1" sqref="B1"/>
      <selection pane="bottomLeft" activeCell="A3" sqref="A3"/>
      <selection pane="bottomRight" activeCell="B47" sqref="B47"/>
    </sheetView>
  </sheetViews>
  <sheetFormatPr baseColWidth="10" defaultColWidth="8.83203125" defaultRowHeight="16" x14ac:dyDescent="0.2"/>
  <cols>
    <col min="1" max="1" width="80" style="5" bestFit="1" customWidth="1"/>
    <col min="2" max="2" width="29.6640625" bestFit="1" customWidth="1"/>
    <col min="3" max="3" width="8.83203125" style="38"/>
    <col min="5" max="5" width="31.5" bestFit="1" customWidth="1"/>
    <col min="6" max="6" width="29.83203125" bestFit="1" customWidth="1"/>
  </cols>
  <sheetData>
    <row r="1" spans="1:4" x14ac:dyDescent="0.2">
      <c r="A1" s="2" t="s">
        <v>471</v>
      </c>
      <c r="B1" s="28" t="s">
        <v>472</v>
      </c>
      <c r="C1" s="29" t="s">
        <v>274</v>
      </c>
      <c r="D1" s="10" t="s">
        <v>473</v>
      </c>
    </row>
    <row r="2" spans="1:4" x14ac:dyDescent="0.2">
      <c r="A2" s="2" t="s">
        <v>338</v>
      </c>
    </row>
    <row r="3" spans="1:4" x14ac:dyDescent="0.2">
      <c r="A3" s="3" t="s">
        <v>339</v>
      </c>
    </row>
    <row r="4" spans="1:4" x14ac:dyDescent="0.2">
      <c r="A4" s="4" t="s">
        <v>340</v>
      </c>
    </row>
    <row r="5" spans="1:4" x14ac:dyDescent="0.2">
      <c r="A5" s="4" t="s">
        <v>341</v>
      </c>
    </row>
    <row r="6" spans="1:4" x14ac:dyDescent="0.2">
      <c r="A6" s="4" t="s">
        <v>342</v>
      </c>
    </row>
    <row r="7" spans="1:4" x14ac:dyDescent="0.2">
      <c r="A7" s="4" t="s">
        <v>343</v>
      </c>
    </row>
    <row r="8" spans="1:4" x14ac:dyDescent="0.2">
      <c r="A8" s="5" t="s">
        <v>344</v>
      </c>
    </row>
    <row r="9" spans="1:4" x14ac:dyDescent="0.2">
      <c r="A9" s="5" t="s">
        <v>345</v>
      </c>
    </row>
    <row r="10" spans="1:4" x14ac:dyDescent="0.2">
      <c r="A10" s="5" t="s">
        <v>346</v>
      </c>
    </row>
    <row r="11" spans="1:4" x14ac:dyDescent="0.2">
      <c r="A11" s="5" t="s">
        <v>347</v>
      </c>
    </row>
    <row r="12" spans="1:4" x14ac:dyDescent="0.2">
      <c r="A12" s="5" t="s">
        <v>348</v>
      </c>
    </row>
    <row r="13" spans="1:4" x14ac:dyDescent="0.2">
      <c r="A13" s="5" t="s">
        <v>349</v>
      </c>
    </row>
    <row r="14" spans="1:4" x14ac:dyDescent="0.2">
      <c r="A14" s="4" t="s">
        <v>350</v>
      </c>
    </row>
    <row r="15" spans="1:4" x14ac:dyDescent="0.2">
      <c r="A15" s="4" t="s">
        <v>351</v>
      </c>
    </row>
    <row r="16" spans="1:4" x14ac:dyDescent="0.2">
      <c r="A16" s="5" t="s">
        <v>352</v>
      </c>
    </row>
    <row r="17" spans="1:3" x14ac:dyDescent="0.2">
      <c r="A17" s="5" t="s">
        <v>353</v>
      </c>
    </row>
    <row r="18" spans="1:3" x14ac:dyDescent="0.2">
      <c r="A18" s="4" t="s">
        <v>354</v>
      </c>
    </row>
    <row r="19" spans="1:3" x14ac:dyDescent="0.2">
      <c r="A19" s="4" t="s">
        <v>355</v>
      </c>
    </row>
    <row r="20" spans="1:3" x14ac:dyDescent="0.2">
      <c r="A20" s="4" t="s">
        <v>356</v>
      </c>
    </row>
    <row r="21" spans="1:3" x14ac:dyDescent="0.2">
      <c r="A21" s="5" t="s">
        <v>357</v>
      </c>
    </row>
    <row r="22" spans="1:3" x14ac:dyDescent="0.2">
      <c r="A22" s="5" t="s">
        <v>358</v>
      </c>
    </row>
    <row r="23" spans="1:3" x14ac:dyDescent="0.2">
      <c r="A23" s="6" t="s">
        <v>359</v>
      </c>
      <c r="B23">
        <f>Receipts!F114</f>
        <v>55.02</v>
      </c>
    </row>
    <row r="24" spans="1:3" x14ac:dyDescent="0.2">
      <c r="A24" s="7" t="s">
        <v>360</v>
      </c>
      <c r="B24">
        <f>Receipts!F115</f>
        <v>64.960000000000008</v>
      </c>
    </row>
    <row r="25" spans="1:3" x14ac:dyDescent="0.2">
      <c r="A25" s="8" t="s">
        <v>361</v>
      </c>
      <c r="B25">
        <f>Receipts!F113</f>
        <v>54.97</v>
      </c>
      <c r="C25" s="38">
        <f>B25-B23</f>
        <v>-5.0000000000004263E-2</v>
      </c>
    </row>
    <row r="26" spans="1:3" x14ac:dyDescent="0.2">
      <c r="A26" s="8" t="s">
        <v>362</v>
      </c>
    </row>
    <row r="27" spans="1:3" x14ac:dyDescent="0.2">
      <c r="A27" s="4"/>
    </row>
    <row r="28" spans="1:3" x14ac:dyDescent="0.2">
      <c r="A28" s="4"/>
    </row>
    <row r="29" spans="1:3" x14ac:dyDescent="0.2">
      <c r="A29" s="3" t="s">
        <v>363</v>
      </c>
    </row>
    <row r="30" spans="1:3" x14ac:dyDescent="0.2">
      <c r="A30" s="4" t="s">
        <v>364</v>
      </c>
    </row>
    <row r="31" spans="1:3" x14ac:dyDescent="0.2">
      <c r="A31" s="4" t="s">
        <v>365</v>
      </c>
    </row>
    <row r="32" spans="1:3" x14ac:dyDescent="0.2">
      <c r="A32" s="4" t="s">
        <v>366</v>
      </c>
    </row>
    <row r="33" spans="1:2" x14ac:dyDescent="0.2">
      <c r="A33" s="4" t="s">
        <v>367</v>
      </c>
    </row>
    <row r="34" spans="1:2" x14ac:dyDescent="0.2">
      <c r="A34" s="4" t="s">
        <v>368</v>
      </c>
    </row>
    <row r="35" spans="1:2" x14ac:dyDescent="0.2">
      <c r="A35" s="4" t="s">
        <v>369</v>
      </c>
    </row>
    <row r="36" spans="1:2" x14ac:dyDescent="0.2">
      <c r="A36" s="4" t="s">
        <v>370</v>
      </c>
    </row>
    <row r="37" spans="1:2" x14ac:dyDescent="0.2">
      <c r="A37" s="4" t="s">
        <v>371</v>
      </c>
    </row>
    <row r="38" spans="1:2" x14ac:dyDescent="0.2">
      <c r="A38" s="4" t="s">
        <v>372</v>
      </c>
    </row>
    <row r="39" spans="1:2" x14ac:dyDescent="0.2">
      <c r="A39" s="4" t="s">
        <v>373</v>
      </c>
    </row>
    <row r="40" spans="1:2" x14ac:dyDescent="0.2">
      <c r="A40" s="4" t="s">
        <v>374</v>
      </c>
    </row>
    <row r="41" spans="1:2" x14ac:dyDescent="0.2">
      <c r="A41" s="4" t="s">
        <v>375</v>
      </c>
    </row>
    <row r="42" spans="1:2" x14ac:dyDescent="0.2">
      <c r="A42" s="4" t="s">
        <v>376</v>
      </c>
    </row>
    <row r="43" spans="1:2" x14ac:dyDescent="0.2">
      <c r="A43" s="9" t="s">
        <v>377</v>
      </c>
    </row>
    <row r="44" spans="1:2" x14ac:dyDescent="0.2">
      <c r="A44" s="7" t="s">
        <v>378</v>
      </c>
      <c r="B44">
        <f>Expenses!F88</f>
        <v>14.59</v>
      </c>
    </row>
    <row r="45" spans="1:2" x14ac:dyDescent="0.2">
      <c r="A45" s="7" t="s">
        <v>379</v>
      </c>
      <c r="B45" s="45">
        <f>Expenses!F89</f>
        <v>14.668749999999999</v>
      </c>
    </row>
    <row r="46" spans="1:2" x14ac:dyDescent="0.2">
      <c r="A46" s="7" t="s">
        <v>380</v>
      </c>
      <c r="B46" s="45">
        <f>Expenses!F90</f>
        <v>1.7237500000000006</v>
      </c>
    </row>
    <row r="47" spans="1:2" x14ac:dyDescent="0.2">
      <c r="A47" s="7" t="s">
        <v>381</v>
      </c>
      <c r="B47" s="45">
        <f>Expenses!F91</f>
        <v>1.7237500000000006</v>
      </c>
    </row>
    <row r="48" spans="1:2" x14ac:dyDescent="0.2">
      <c r="A48" s="10"/>
    </row>
    <row r="49" spans="1:6" x14ac:dyDescent="0.2">
      <c r="A49" s="11" t="s">
        <v>382</v>
      </c>
      <c r="B49" s="45">
        <f>B23-B45</f>
        <v>40.351250000000007</v>
      </c>
    </row>
    <row r="50" spans="1:6" x14ac:dyDescent="0.2">
      <c r="A50" s="11" t="s">
        <v>383</v>
      </c>
      <c r="B50">
        <f>Expenses!F81</f>
        <v>40.380000000000003</v>
      </c>
      <c r="C50" s="46">
        <f>B50-B49</f>
        <v>2.8749999999995168E-2</v>
      </c>
    </row>
    <row r="51" spans="1:6" x14ac:dyDescent="0.2">
      <c r="A51" s="4"/>
    </row>
    <row r="52" spans="1:6" x14ac:dyDescent="0.2">
      <c r="A52" s="11" t="s">
        <v>384</v>
      </c>
    </row>
    <row r="53" spans="1:6" x14ac:dyDescent="0.2">
      <c r="A53" s="11" t="s">
        <v>385</v>
      </c>
      <c r="B53">
        <f>Expenses!F83</f>
        <v>23.5</v>
      </c>
    </row>
    <row r="54" spans="1:6" x14ac:dyDescent="0.2">
      <c r="A54" s="12" t="s">
        <v>386</v>
      </c>
      <c r="B54">
        <f>SUM(B52:B53)</f>
        <v>23.5</v>
      </c>
    </row>
    <row r="55" spans="1:6" x14ac:dyDescent="0.2">
      <c r="A55" s="13" t="s">
        <v>387</v>
      </c>
    </row>
    <row r="56" spans="1:6" x14ac:dyDescent="0.2">
      <c r="A56" s="4"/>
    </row>
    <row r="57" spans="1:6" x14ac:dyDescent="0.2">
      <c r="A57" s="11" t="s">
        <v>388</v>
      </c>
      <c r="B57" s="45">
        <f>B49-B54</f>
        <v>16.851250000000007</v>
      </c>
    </row>
    <row r="58" spans="1:6" x14ac:dyDescent="0.2">
      <c r="A58" s="11" t="s">
        <v>389</v>
      </c>
      <c r="B58">
        <f>Expenses!F85</f>
        <v>16.88</v>
      </c>
      <c r="C58" s="46">
        <f>B58-B57</f>
        <v>2.8749999999991616E-2</v>
      </c>
    </row>
    <row r="59" spans="1:6" x14ac:dyDescent="0.2">
      <c r="A59" s="4"/>
    </row>
    <row r="60" spans="1:6" x14ac:dyDescent="0.2">
      <c r="A60" s="3" t="s">
        <v>390</v>
      </c>
      <c r="B60" s="78" t="s">
        <v>587</v>
      </c>
      <c r="C60" s="78"/>
      <c r="D60" s="79"/>
      <c r="E60" s="79"/>
      <c r="F60" s="80"/>
    </row>
    <row r="61" spans="1:6" x14ac:dyDescent="0.2">
      <c r="A61" s="2" t="s">
        <v>391</v>
      </c>
      <c r="B61" s="81" t="s">
        <v>601</v>
      </c>
      <c r="C61" s="82"/>
      <c r="D61" s="76"/>
      <c r="E61" s="83" t="s">
        <v>602</v>
      </c>
      <c r="F61" s="83" t="s">
        <v>603</v>
      </c>
    </row>
    <row r="62" spans="1:6" ht="15" x14ac:dyDescent="0.2">
      <c r="A62" t="s">
        <v>78</v>
      </c>
      <c r="B62">
        <f>'Issues of the Grange'!B2</f>
        <v>118.25</v>
      </c>
      <c r="E62" s="45">
        <f>'Issues of the Grange'!I2</f>
        <v>35.475000000000001</v>
      </c>
      <c r="F62" s="45">
        <f>'Issues of the Grange'!O12</f>
        <v>25.912499999999998</v>
      </c>
    </row>
    <row r="63" spans="1:6" ht="15" x14ac:dyDescent="0.2">
      <c r="A63" t="s">
        <v>590</v>
      </c>
      <c r="B63">
        <f>'Issues of the Grange'!B3</f>
        <v>33.25</v>
      </c>
      <c r="E63" s="45">
        <f>'Issues of the Grange'!I3</f>
        <v>3.8791666666666678</v>
      </c>
      <c r="F63" s="45">
        <f>'Issues of the Grange'!O13</f>
        <v>0</v>
      </c>
    </row>
    <row r="64" spans="1:6" ht="15" x14ac:dyDescent="0.2">
      <c r="A64" t="s">
        <v>89</v>
      </c>
      <c r="B64">
        <f>'Issues of the Grange'!B4</f>
        <v>74.625</v>
      </c>
      <c r="E64" s="45">
        <f>'Issues of the Grange'!I4</f>
        <v>11.19375</v>
      </c>
      <c r="F64" s="45">
        <f>'Issues of the Grange'!O14</f>
        <v>1.7999999999999998</v>
      </c>
    </row>
    <row r="65" spans="1:6" ht="15" x14ac:dyDescent="0.2">
      <c r="A65" t="s">
        <v>178</v>
      </c>
      <c r="B65">
        <f>'Issues of the Grange'!B5</f>
        <v>2.25</v>
      </c>
      <c r="E65" s="45">
        <f>'Issues of the Grange'!I5</f>
        <v>0.26250000000000007</v>
      </c>
      <c r="F65" s="45">
        <f>'Issues of the Grange'!O15</f>
        <v>0</v>
      </c>
    </row>
    <row r="66" spans="1:6" x14ac:dyDescent="0.2">
      <c r="A66" s="14" t="s">
        <v>392</v>
      </c>
      <c r="B66" s="54"/>
      <c r="C66" s="84"/>
      <c r="D66" s="54"/>
      <c r="E66" s="85">
        <f>SUM(E62:E65)</f>
        <v>50.810416666666676</v>
      </c>
      <c r="F66" s="85"/>
    </row>
    <row r="67" spans="1:6" x14ac:dyDescent="0.2">
      <c r="A67" s="14" t="s">
        <v>393</v>
      </c>
      <c r="B67" s="54"/>
      <c r="C67" s="84"/>
      <c r="D67" s="54"/>
      <c r="E67" s="85">
        <f>SUM(F62:F65)</f>
        <v>27.712499999999999</v>
      </c>
      <c r="F67" s="85"/>
    </row>
    <row r="68" spans="1:6" x14ac:dyDescent="0.2">
      <c r="A68" s="14" t="s">
        <v>394</v>
      </c>
      <c r="B68" s="54"/>
      <c r="C68" s="84"/>
      <c r="D68" s="54"/>
      <c r="E68" s="85">
        <f>Receipts!F62</f>
        <v>27.16</v>
      </c>
      <c r="F68" s="85"/>
    </row>
    <row r="69" spans="1:6" x14ac:dyDescent="0.2">
      <c r="A69" s="4"/>
    </row>
    <row r="70" spans="1:6" x14ac:dyDescent="0.2">
      <c r="A70" s="3" t="s">
        <v>395</v>
      </c>
    </row>
    <row r="71" spans="1:6" x14ac:dyDescent="0.2">
      <c r="A71" s="2" t="s">
        <v>396</v>
      </c>
    </row>
    <row r="72" spans="1:6" x14ac:dyDescent="0.2">
      <c r="A72" s="4" t="s">
        <v>207</v>
      </c>
    </row>
    <row r="73" spans="1:6" x14ac:dyDescent="0.2">
      <c r="A73" s="4" t="s">
        <v>328</v>
      </c>
    </row>
    <row r="74" spans="1:6" x14ac:dyDescent="0.2">
      <c r="A74" s="4" t="s">
        <v>397</v>
      </c>
    </row>
    <row r="75" spans="1:6" x14ac:dyDescent="0.2">
      <c r="A75" s="4" t="s">
        <v>398</v>
      </c>
    </row>
    <row r="76" spans="1:6" x14ac:dyDescent="0.2">
      <c r="A76" s="4" t="s">
        <v>327</v>
      </c>
    </row>
    <row r="77" spans="1:6" x14ac:dyDescent="0.2">
      <c r="A77" s="14" t="s">
        <v>399</v>
      </c>
    </row>
    <row r="78" spans="1:6" x14ac:dyDescent="0.2">
      <c r="A78" s="14" t="s">
        <v>394</v>
      </c>
    </row>
    <row r="79" spans="1:6" x14ac:dyDescent="0.2">
      <c r="A79" s="4"/>
    </row>
    <row r="80" spans="1:6" x14ac:dyDescent="0.2">
      <c r="A80" s="15" t="s">
        <v>400</v>
      </c>
      <c r="B80" s="54"/>
    </row>
    <row r="81" spans="1:2" x14ac:dyDescent="0.2">
      <c r="A81" s="16" t="s">
        <v>401</v>
      </c>
      <c r="B81" s="86" t="s">
        <v>604</v>
      </c>
    </row>
    <row r="82" spans="1:2" ht="17" x14ac:dyDescent="0.2">
      <c r="A82" s="17" t="s">
        <v>287</v>
      </c>
      <c r="B82">
        <f>Stock!R5</f>
        <v>0</v>
      </c>
    </row>
    <row r="83" spans="1:2" ht="17" x14ac:dyDescent="0.2">
      <c r="A83" s="17" t="s">
        <v>402</v>
      </c>
      <c r="B83">
        <f>Stock!R6</f>
        <v>0</v>
      </c>
    </row>
    <row r="84" spans="1:2" x14ac:dyDescent="0.2">
      <c r="A84" s="4" t="s">
        <v>403</v>
      </c>
      <c r="B84">
        <f>Stock!R7</f>
        <v>0</v>
      </c>
    </row>
    <row r="85" spans="1:2" x14ac:dyDescent="0.2">
      <c r="A85" s="4" t="s">
        <v>404</v>
      </c>
      <c r="B85">
        <f>Stock!R8</f>
        <v>0</v>
      </c>
    </row>
    <row r="86" spans="1:2" x14ac:dyDescent="0.2">
      <c r="A86" s="4" t="s">
        <v>404</v>
      </c>
      <c r="B86">
        <f>Stock!R9</f>
        <v>0</v>
      </c>
    </row>
    <row r="87" spans="1:2" x14ac:dyDescent="0.2">
      <c r="A87" s="4" t="s">
        <v>405</v>
      </c>
      <c r="B87">
        <f>Stock!R10</f>
        <v>0</v>
      </c>
    </row>
    <row r="88" spans="1:2" x14ac:dyDescent="0.2">
      <c r="A88" s="4" t="s">
        <v>406</v>
      </c>
      <c r="B88">
        <f>Stock!R11</f>
        <v>0</v>
      </c>
    </row>
    <row r="89" spans="1:2" x14ac:dyDescent="0.2">
      <c r="A89" s="4" t="s">
        <v>288</v>
      </c>
      <c r="B89">
        <f>Stock!R12</f>
        <v>1.5</v>
      </c>
    </row>
    <row r="90" spans="1:2" x14ac:dyDescent="0.2">
      <c r="A90" s="4" t="s">
        <v>407</v>
      </c>
      <c r="B90">
        <f>Stock!R13</f>
        <v>0</v>
      </c>
    </row>
    <row r="91" spans="1:2" x14ac:dyDescent="0.2">
      <c r="A91" s="4" t="s">
        <v>289</v>
      </c>
      <c r="B91">
        <f>Stock!R14</f>
        <v>0.3</v>
      </c>
    </row>
    <row r="92" spans="1:2" x14ac:dyDescent="0.2">
      <c r="A92" s="4" t="s">
        <v>408</v>
      </c>
      <c r="B92">
        <f>Stock!R15</f>
        <v>0</v>
      </c>
    </row>
    <row r="93" spans="1:2" x14ac:dyDescent="0.2">
      <c r="A93" s="4" t="s">
        <v>290</v>
      </c>
      <c r="B93">
        <f>Stock!R16</f>
        <v>0.2</v>
      </c>
    </row>
    <row r="94" spans="1:2" x14ac:dyDescent="0.2">
      <c r="A94" s="4" t="s">
        <v>409</v>
      </c>
      <c r="B94">
        <f>Stock!R17</f>
        <v>0</v>
      </c>
    </row>
    <row r="95" spans="1:2" x14ac:dyDescent="0.2">
      <c r="A95" s="4" t="s">
        <v>410</v>
      </c>
      <c r="B95">
        <f>Stock!R18</f>
        <v>0</v>
      </c>
    </row>
    <row r="96" spans="1:2" x14ac:dyDescent="0.2">
      <c r="A96" s="4" t="s">
        <v>411</v>
      </c>
      <c r="B96">
        <f>Stock!R19</f>
        <v>0</v>
      </c>
    </row>
    <row r="97" spans="1:2" x14ac:dyDescent="0.2">
      <c r="A97" s="4" t="s">
        <v>412</v>
      </c>
      <c r="B97">
        <f>Stock!R20</f>
        <v>0</v>
      </c>
    </row>
    <row r="98" spans="1:2" x14ac:dyDescent="0.2">
      <c r="A98" s="4" t="s">
        <v>413</v>
      </c>
      <c r="B98">
        <f>Stock!R21</f>
        <v>0</v>
      </c>
    </row>
    <row r="99" spans="1:2" x14ac:dyDescent="0.2">
      <c r="A99" s="4" t="s">
        <v>414</v>
      </c>
      <c r="B99">
        <f>Stock!R22</f>
        <v>0</v>
      </c>
    </row>
    <row r="100" spans="1:2" x14ac:dyDescent="0.2">
      <c r="A100" s="4" t="s">
        <v>415</v>
      </c>
      <c r="B100">
        <f>Stock!R23</f>
        <v>0</v>
      </c>
    </row>
    <row r="101" spans="1:2" x14ac:dyDescent="0.2">
      <c r="A101" s="4" t="s">
        <v>416</v>
      </c>
      <c r="B101">
        <f>Stock!R24</f>
        <v>0</v>
      </c>
    </row>
    <row r="102" spans="1:2" x14ac:dyDescent="0.2">
      <c r="A102" s="4" t="s">
        <v>417</v>
      </c>
      <c r="B102">
        <f>Stock!R25</f>
        <v>0</v>
      </c>
    </row>
    <row r="103" spans="1:2" x14ac:dyDescent="0.2">
      <c r="A103" s="4" t="s">
        <v>418</v>
      </c>
      <c r="B103">
        <f>Stock!R26</f>
        <v>0</v>
      </c>
    </row>
    <row r="104" spans="1:2" x14ac:dyDescent="0.2">
      <c r="A104" s="4" t="s">
        <v>419</v>
      </c>
      <c r="B104">
        <f>Stock!R27</f>
        <v>0</v>
      </c>
    </row>
    <row r="105" spans="1:2" x14ac:dyDescent="0.2">
      <c r="A105" s="4" t="s">
        <v>291</v>
      </c>
      <c r="B105">
        <f>Stock!R28</f>
        <v>0.03</v>
      </c>
    </row>
    <row r="106" spans="1:2" x14ac:dyDescent="0.2">
      <c r="A106" s="4" t="s">
        <v>420</v>
      </c>
      <c r="B106">
        <f>Stock!R29</f>
        <v>0</v>
      </c>
    </row>
    <row r="107" spans="1:2" x14ac:dyDescent="0.2">
      <c r="A107" s="4" t="s">
        <v>421</v>
      </c>
      <c r="B107">
        <f>Stock!R30</f>
        <v>0</v>
      </c>
    </row>
    <row r="108" spans="1:2" x14ac:dyDescent="0.2">
      <c r="A108" s="14" t="s">
        <v>422</v>
      </c>
      <c r="B108" s="54"/>
    </row>
    <row r="109" spans="1:2" x14ac:dyDescent="0.2">
      <c r="A109" s="14" t="s">
        <v>423</v>
      </c>
      <c r="B109" s="54"/>
    </row>
    <row r="110" spans="1:2" x14ac:dyDescent="0.2">
      <c r="A110" s="14" t="s">
        <v>394</v>
      </c>
      <c r="B110" s="54">
        <f>Stock!R31</f>
        <v>2.0299999999999998</v>
      </c>
    </row>
    <row r="111" spans="1:2" x14ac:dyDescent="0.2">
      <c r="A111" s="4"/>
    </row>
    <row r="112" spans="1:2" x14ac:dyDescent="0.2">
      <c r="A112" s="3" t="s">
        <v>424</v>
      </c>
      <c r="B112" s="86" t="s">
        <v>605</v>
      </c>
    </row>
    <row r="113" spans="1:4" ht="17" x14ac:dyDescent="0.2">
      <c r="A113" s="17" t="s">
        <v>425</v>
      </c>
      <c r="D113" t="s">
        <v>606</v>
      </c>
    </row>
    <row r="114" spans="1:4" x14ac:dyDescent="0.2">
      <c r="A114" s="4" t="s">
        <v>426</v>
      </c>
    </row>
    <row r="115" spans="1:4" x14ac:dyDescent="0.2">
      <c r="A115" s="4" t="s">
        <v>427</v>
      </c>
    </row>
    <row r="116" spans="1:4" x14ac:dyDescent="0.2">
      <c r="A116" s="4" t="s">
        <v>428</v>
      </c>
    </row>
    <row r="117" spans="1:4" x14ac:dyDescent="0.2">
      <c r="A117" s="4" t="s">
        <v>429</v>
      </c>
    </row>
    <row r="118" spans="1:4" x14ac:dyDescent="0.2">
      <c r="A118" s="18" t="s">
        <v>399</v>
      </c>
      <c r="B118" s="54"/>
    </row>
    <row r="119" spans="1:4" x14ac:dyDescent="0.2">
      <c r="A119" s="18" t="s">
        <v>394</v>
      </c>
      <c r="B119" s="54"/>
    </row>
    <row r="120" spans="1:4" x14ac:dyDescent="0.2">
      <c r="A120" s="2"/>
    </row>
    <row r="121" spans="1:4" x14ac:dyDescent="0.2">
      <c r="A121" s="3" t="s">
        <v>430</v>
      </c>
      <c r="B121" s="86" t="s">
        <v>605</v>
      </c>
    </row>
    <row r="122" spans="1:4" x14ac:dyDescent="0.2">
      <c r="A122" s="4" t="s">
        <v>431</v>
      </c>
      <c r="B122">
        <f>Stock!T43</f>
        <v>0.11</v>
      </c>
    </row>
    <row r="123" spans="1:4" x14ac:dyDescent="0.2">
      <c r="A123" s="4" t="s">
        <v>432</v>
      </c>
      <c r="B123">
        <f>Stock!T44</f>
        <v>0</v>
      </c>
    </row>
    <row r="124" spans="1:4" x14ac:dyDescent="0.2">
      <c r="A124" s="4" t="s">
        <v>433</v>
      </c>
      <c r="B124">
        <f>Stock!T45</f>
        <v>0</v>
      </c>
    </row>
    <row r="125" spans="1:4" x14ac:dyDescent="0.2">
      <c r="A125" s="4" t="s">
        <v>434</v>
      </c>
      <c r="B125">
        <f>Stock!T46</f>
        <v>0</v>
      </c>
    </row>
    <row r="126" spans="1:4" x14ac:dyDescent="0.2">
      <c r="A126" s="4" t="s">
        <v>435</v>
      </c>
      <c r="B126">
        <f>Stock!T47</f>
        <v>0</v>
      </c>
    </row>
    <row r="127" spans="1:4" x14ac:dyDescent="0.2">
      <c r="A127" s="4" t="s">
        <v>436</v>
      </c>
      <c r="B127">
        <f>Stock!T48</f>
        <v>0</v>
      </c>
    </row>
    <row r="128" spans="1:4" x14ac:dyDescent="0.2">
      <c r="A128" s="19" t="s">
        <v>437</v>
      </c>
      <c r="B128">
        <f>Stock!T49</f>
        <v>0</v>
      </c>
    </row>
    <row r="129" spans="1:2" x14ac:dyDescent="0.2">
      <c r="A129" s="20" t="s">
        <v>438</v>
      </c>
      <c r="B129">
        <f>Stock!T50</f>
        <v>0</v>
      </c>
    </row>
    <row r="130" spans="1:2" x14ac:dyDescent="0.2">
      <c r="A130" s="20" t="s">
        <v>439</v>
      </c>
      <c r="B130">
        <f>Stock!T51</f>
        <v>0</v>
      </c>
    </row>
    <row r="131" spans="1:2" x14ac:dyDescent="0.2">
      <c r="A131" s="20" t="s">
        <v>440</v>
      </c>
      <c r="B131">
        <f>Stock!T52</f>
        <v>0</v>
      </c>
    </row>
    <row r="132" spans="1:2" x14ac:dyDescent="0.2">
      <c r="A132" s="20" t="s">
        <v>441</v>
      </c>
      <c r="B132">
        <f>Stock!T53</f>
        <v>0</v>
      </c>
    </row>
    <row r="133" spans="1:2" x14ac:dyDescent="0.2">
      <c r="A133" s="21" t="s">
        <v>442</v>
      </c>
      <c r="B133">
        <f>Stock!T54</f>
        <v>0</v>
      </c>
    </row>
    <row r="134" spans="1:2" x14ac:dyDescent="0.2">
      <c r="A134" s="20" t="s">
        <v>443</v>
      </c>
      <c r="B134">
        <f>Stock!T55</f>
        <v>0</v>
      </c>
    </row>
    <row r="135" spans="1:2" x14ac:dyDescent="0.2">
      <c r="A135" s="20" t="s">
        <v>444</v>
      </c>
      <c r="B135">
        <f>Stock!T56</f>
        <v>0</v>
      </c>
    </row>
    <row r="136" spans="1:2" x14ac:dyDescent="0.2">
      <c r="A136" s="20" t="s">
        <v>445</v>
      </c>
      <c r="B136">
        <f>Stock!T57</f>
        <v>0</v>
      </c>
    </row>
    <row r="137" spans="1:2" x14ac:dyDescent="0.2">
      <c r="A137" s="20" t="s">
        <v>446</v>
      </c>
      <c r="B137">
        <f>Stock!T58</f>
        <v>0</v>
      </c>
    </row>
    <row r="138" spans="1:2" x14ac:dyDescent="0.2">
      <c r="A138" s="21" t="s">
        <v>447</v>
      </c>
      <c r="B138">
        <f>Stock!T59</f>
        <v>0</v>
      </c>
    </row>
    <row r="139" spans="1:2" x14ac:dyDescent="0.2">
      <c r="A139" s="4" t="s">
        <v>448</v>
      </c>
      <c r="B139">
        <f>Stock!T60</f>
        <v>0</v>
      </c>
    </row>
    <row r="140" spans="1:2" x14ac:dyDescent="0.2">
      <c r="A140" s="4" t="s">
        <v>449</v>
      </c>
      <c r="B140">
        <f>Stock!T61</f>
        <v>0</v>
      </c>
    </row>
    <row r="141" spans="1:2" x14ac:dyDescent="0.2">
      <c r="A141" s="4" t="s">
        <v>450</v>
      </c>
      <c r="B141">
        <f>Stock!T62</f>
        <v>0</v>
      </c>
    </row>
    <row r="142" spans="1:2" x14ac:dyDescent="0.2">
      <c r="A142" s="14" t="s">
        <v>399</v>
      </c>
      <c r="B142" s="54">
        <f>Stock!T63</f>
        <v>0.11</v>
      </c>
    </row>
    <row r="143" spans="1:2" x14ac:dyDescent="0.2">
      <c r="A143" s="14" t="s">
        <v>394</v>
      </c>
      <c r="B143" s="54"/>
    </row>
    <row r="144" spans="1:2" x14ac:dyDescent="0.2">
      <c r="A144" s="4"/>
    </row>
    <row r="145" spans="1:4" x14ac:dyDescent="0.2">
      <c r="A145" s="3" t="s">
        <v>292</v>
      </c>
      <c r="B145" s="86" t="s">
        <v>605</v>
      </c>
    </row>
    <row r="146" spans="1:4" ht="17" x14ac:dyDescent="0.2">
      <c r="A146" s="17" t="s">
        <v>451</v>
      </c>
      <c r="B146">
        <f>Stock!T67</f>
        <v>0.06</v>
      </c>
    </row>
    <row r="147" spans="1:4" x14ac:dyDescent="0.2">
      <c r="A147" s="4" t="s">
        <v>452</v>
      </c>
      <c r="B147">
        <f>Stock!T68</f>
        <v>0</v>
      </c>
    </row>
    <row r="148" spans="1:4" x14ac:dyDescent="0.2">
      <c r="A148" s="4" t="s">
        <v>453</v>
      </c>
      <c r="B148">
        <f>Stock!T69</f>
        <v>0</v>
      </c>
    </row>
    <row r="149" spans="1:4" x14ac:dyDescent="0.2">
      <c r="A149" s="4" t="s">
        <v>454</v>
      </c>
      <c r="B149">
        <f>Stock!T70</f>
        <v>0</v>
      </c>
    </row>
    <row r="150" spans="1:4" x14ac:dyDescent="0.2">
      <c r="A150" s="18" t="s">
        <v>399</v>
      </c>
      <c r="B150" s="54">
        <f>SUM(B146:B149)</f>
        <v>0.06</v>
      </c>
    </row>
    <row r="151" spans="1:4" x14ac:dyDescent="0.2">
      <c r="A151" s="18" t="s">
        <v>394</v>
      </c>
      <c r="B151" s="54"/>
    </row>
    <row r="152" spans="1:4" x14ac:dyDescent="0.2">
      <c r="A152" s="4"/>
    </row>
    <row r="153" spans="1:4" x14ac:dyDescent="0.2">
      <c r="A153" s="3" t="s">
        <v>455</v>
      </c>
      <c r="B153" s="86" t="s">
        <v>605</v>
      </c>
    </row>
    <row r="154" spans="1:4" x14ac:dyDescent="0.2">
      <c r="A154" s="4" t="s">
        <v>456</v>
      </c>
      <c r="D154" t="s">
        <v>606</v>
      </c>
    </row>
    <row r="155" spans="1:4" x14ac:dyDescent="0.2">
      <c r="A155" s="4" t="s">
        <v>457</v>
      </c>
    </row>
    <row r="156" spans="1:4" x14ac:dyDescent="0.2">
      <c r="A156" s="4" t="s">
        <v>458</v>
      </c>
    </row>
    <row r="157" spans="1:4" x14ac:dyDescent="0.2">
      <c r="A157" s="14" t="s">
        <v>459</v>
      </c>
    </row>
    <row r="158" spans="1:4" x14ac:dyDescent="0.2">
      <c r="A158" s="14" t="s">
        <v>394</v>
      </c>
    </row>
    <row r="159" spans="1:4" x14ac:dyDescent="0.2">
      <c r="A159" s="4"/>
    </row>
    <row r="160" spans="1:4" x14ac:dyDescent="0.2">
      <c r="A160" s="3" t="s">
        <v>460</v>
      </c>
      <c r="B160" s="86" t="s">
        <v>605</v>
      </c>
    </row>
    <row r="161" spans="1:4" x14ac:dyDescent="0.2">
      <c r="A161" s="4" t="s">
        <v>461</v>
      </c>
      <c r="D161" t="s">
        <v>606</v>
      </c>
    </row>
    <row r="162" spans="1:4" x14ac:dyDescent="0.2">
      <c r="A162" s="4" t="s">
        <v>462</v>
      </c>
    </row>
    <row r="163" spans="1:4" x14ac:dyDescent="0.2">
      <c r="A163" s="4" t="s">
        <v>463</v>
      </c>
    </row>
    <row r="164" spans="1:4" x14ac:dyDescent="0.2">
      <c r="A164" s="14" t="s">
        <v>399</v>
      </c>
    </row>
    <row r="165" spans="1:4" x14ac:dyDescent="0.2">
      <c r="A165" s="14" t="s">
        <v>394</v>
      </c>
    </row>
    <row r="166" spans="1:4" x14ac:dyDescent="0.2">
      <c r="A166" s="4"/>
    </row>
    <row r="167" spans="1:4" x14ac:dyDescent="0.2">
      <c r="A167" s="4"/>
    </row>
    <row r="168" spans="1:4" ht="17" thickBot="1" x14ac:dyDescent="0.25"/>
    <row r="169" spans="1:4" ht="17" thickBot="1" x14ac:dyDescent="0.25">
      <c r="A169" s="22"/>
      <c r="B169" s="89"/>
    </row>
    <row r="170" spans="1:4" x14ac:dyDescent="0.2">
      <c r="A170" s="23" t="s">
        <v>464</v>
      </c>
      <c r="B170" s="90">
        <f>B150+B142+B118+B110+E67</f>
        <v>29.912499999999998</v>
      </c>
    </row>
    <row r="171" spans="1:4" x14ac:dyDescent="0.2">
      <c r="A171" s="24" t="s">
        <v>465</v>
      </c>
      <c r="B171" s="90">
        <f>B151+B143+B119+E68</f>
        <v>27.16</v>
      </c>
    </row>
    <row r="172" spans="1:4" x14ac:dyDescent="0.2">
      <c r="A172" s="24" t="s">
        <v>466</v>
      </c>
      <c r="B172" s="87">
        <f>Receipts!F62+Receipts!F55</f>
        <v>33.19</v>
      </c>
    </row>
    <row r="173" spans="1:4" x14ac:dyDescent="0.2">
      <c r="A173" s="24" t="s">
        <v>467</v>
      </c>
      <c r="B173" s="90">
        <f>B170+Receipts!F27+Receipts!F70+Receipts!F108</f>
        <v>51.68249999999999</v>
      </c>
    </row>
    <row r="174" spans="1:4" x14ac:dyDescent="0.2">
      <c r="A174" s="25"/>
      <c r="B174" s="87"/>
    </row>
    <row r="175" spans="1:4" x14ac:dyDescent="0.2">
      <c r="A175" s="26" t="s">
        <v>468</v>
      </c>
      <c r="B175" s="91">
        <f>B46/B170</f>
        <v>5.7626410363560407E-2</v>
      </c>
    </row>
    <row r="176" spans="1:4" x14ac:dyDescent="0.2">
      <c r="A176" s="24" t="s">
        <v>469</v>
      </c>
      <c r="B176" s="91">
        <f>B46/B173</f>
        <v>3.3352682242538595E-2</v>
      </c>
    </row>
    <row r="177" spans="1:2" x14ac:dyDescent="0.2">
      <c r="A177" s="25"/>
      <c r="B177" s="87"/>
    </row>
    <row r="178" spans="1:2" ht="17" thickBot="1" x14ac:dyDescent="0.25">
      <c r="A178" s="27" t="s">
        <v>470</v>
      </c>
      <c r="B178" s="88"/>
    </row>
  </sheetData>
  <mergeCells count="1">
    <mergeCell ref="B60:C6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5"/>
  <sheetViews>
    <sheetView workbookViewId="0">
      <pane xSplit="1" ySplit="2" topLeftCell="B93" activePane="bottomRight" state="frozen"/>
      <selection pane="topRight" activeCell="B1" sqref="B1"/>
      <selection pane="bottomLeft" activeCell="A3" sqref="A3"/>
      <selection pane="bottomRight" activeCell="G115" sqref="G115"/>
    </sheetView>
  </sheetViews>
  <sheetFormatPr baseColWidth="10" defaultColWidth="8.83203125" defaultRowHeight="15" x14ac:dyDescent="0.2"/>
  <cols>
    <col min="1" max="1" width="32.83203125" bestFit="1" customWidth="1"/>
    <col min="7" max="7" width="8.83203125" style="38"/>
  </cols>
  <sheetData>
    <row r="1" spans="1:8" ht="16" x14ac:dyDescent="0.2">
      <c r="A1" s="30" t="s">
        <v>474</v>
      </c>
    </row>
    <row r="2" spans="1:8" ht="16" x14ac:dyDescent="0.2">
      <c r="A2" s="37" t="s">
        <v>0</v>
      </c>
      <c r="B2" s="32" t="s">
        <v>475</v>
      </c>
      <c r="C2" s="33" t="s">
        <v>476</v>
      </c>
      <c r="D2" s="33" t="s">
        <v>477</v>
      </c>
      <c r="E2" s="33"/>
      <c r="F2" s="34" t="s">
        <v>472</v>
      </c>
      <c r="G2" s="35" t="s">
        <v>274</v>
      </c>
      <c r="H2" s="36" t="s">
        <v>478</v>
      </c>
    </row>
    <row r="3" spans="1:8" x14ac:dyDescent="0.2">
      <c r="A3" t="s">
        <v>36</v>
      </c>
      <c r="B3">
        <v>9</v>
      </c>
      <c r="C3">
        <v>18</v>
      </c>
      <c r="D3">
        <v>9.5</v>
      </c>
      <c r="F3">
        <v>9.94</v>
      </c>
      <c r="H3" t="s">
        <v>37</v>
      </c>
    </row>
    <row r="4" spans="1:8" x14ac:dyDescent="0.2">
      <c r="A4" t="s">
        <v>36</v>
      </c>
      <c r="B4">
        <v>0</v>
      </c>
      <c r="C4">
        <v>0</v>
      </c>
      <c r="D4">
        <v>0</v>
      </c>
      <c r="F4">
        <v>0</v>
      </c>
      <c r="H4" t="s">
        <v>38</v>
      </c>
    </row>
    <row r="5" spans="1:8" x14ac:dyDescent="0.2">
      <c r="A5" t="s">
        <v>36</v>
      </c>
      <c r="F5">
        <v>9.94</v>
      </c>
      <c r="G5" s="38">
        <f>F5-F3</f>
        <v>0</v>
      </c>
      <c r="H5" t="s">
        <v>275</v>
      </c>
    </row>
    <row r="7" spans="1:8" x14ac:dyDescent="0.2">
      <c r="A7" t="s">
        <v>39</v>
      </c>
      <c r="B7">
        <v>8</v>
      </c>
      <c r="C7">
        <v>16</v>
      </c>
      <c r="D7">
        <v>10.25</v>
      </c>
      <c r="F7">
        <v>8.84</v>
      </c>
      <c r="H7" t="s">
        <v>40</v>
      </c>
    </row>
    <row r="8" spans="1:8" x14ac:dyDescent="0.2">
      <c r="A8" t="s">
        <v>39</v>
      </c>
      <c r="B8">
        <v>8</v>
      </c>
      <c r="C8">
        <v>16</v>
      </c>
      <c r="D8">
        <v>10.25</v>
      </c>
      <c r="F8">
        <v>8.84</v>
      </c>
      <c r="H8" t="s">
        <v>41</v>
      </c>
    </row>
    <row r="9" spans="1:8" x14ac:dyDescent="0.2">
      <c r="A9" t="s">
        <v>39</v>
      </c>
      <c r="B9">
        <v>17</v>
      </c>
      <c r="C9">
        <v>13</v>
      </c>
      <c r="D9">
        <v>9</v>
      </c>
      <c r="F9">
        <v>17.690000000000001</v>
      </c>
      <c r="H9" t="s">
        <v>42</v>
      </c>
    </row>
    <row r="10" spans="1:8" x14ac:dyDescent="0.2">
      <c r="A10" t="s">
        <v>39</v>
      </c>
      <c r="F10">
        <v>17.68</v>
      </c>
      <c r="G10" s="38">
        <v>-1.000000000000156E-2</v>
      </c>
      <c r="H10" t="s">
        <v>275</v>
      </c>
    </row>
    <row r="12" spans="1:8" x14ac:dyDescent="0.2">
      <c r="A12" t="s">
        <v>43</v>
      </c>
      <c r="B12">
        <v>0</v>
      </c>
      <c r="C12">
        <v>5</v>
      </c>
      <c r="D12">
        <v>0</v>
      </c>
      <c r="F12">
        <v>0.25</v>
      </c>
      <c r="H12" t="s">
        <v>44</v>
      </c>
    </row>
    <row r="13" spans="1:8" x14ac:dyDescent="0.2">
      <c r="A13" t="s">
        <v>43</v>
      </c>
      <c r="B13">
        <v>0</v>
      </c>
      <c r="C13">
        <v>3</v>
      </c>
      <c r="D13">
        <v>0</v>
      </c>
      <c r="F13">
        <v>0.15</v>
      </c>
      <c r="H13" t="s">
        <v>45</v>
      </c>
    </row>
    <row r="14" spans="1:8" x14ac:dyDescent="0.2">
      <c r="A14" t="s">
        <v>43</v>
      </c>
      <c r="B14">
        <v>0</v>
      </c>
      <c r="C14">
        <v>6</v>
      </c>
      <c r="D14">
        <v>0</v>
      </c>
      <c r="F14">
        <v>0.3</v>
      </c>
      <c r="H14" t="s">
        <v>46</v>
      </c>
    </row>
    <row r="15" spans="1:8" x14ac:dyDescent="0.2">
      <c r="A15" t="s">
        <v>43</v>
      </c>
      <c r="B15">
        <v>0</v>
      </c>
      <c r="C15">
        <v>2</v>
      </c>
      <c r="D15">
        <v>0</v>
      </c>
      <c r="F15">
        <v>0.1</v>
      </c>
      <c r="H15" t="s">
        <v>479</v>
      </c>
    </row>
    <row r="16" spans="1:8" x14ac:dyDescent="0.2">
      <c r="A16" t="s">
        <v>43</v>
      </c>
      <c r="B16">
        <v>0</v>
      </c>
      <c r="C16">
        <v>16</v>
      </c>
      <c r="D16">
        <v>0</v>
      </c>
      <c r="F16">
        <f>B16+C16/20+D16/240</f>
        <v>0.8</v>
      </c>
      <c r="H16" t="s">
        <v>480</v>
      </c>
    </row>
    <row r="17" spans="1:8" x14ac:dyDescent="0.2">
      <c r="A17" t="s">
        <v>43</v>
      </c>
      <c r="F17">
        <v>0.79999999999999993</v>
      </c>
      <c r="G17" s="38">
        <f>F17-F16</f>
        <v>0</v>
      </c>
      <c r="H17" t="s">
        <v>275</v>
      </c>
    </row>
    <row r="19" spans="1:8" x14ac:dyDescent="0.2">
      <c r="A19" t="s">
        <v>48</v>
      </c>
      <c r="B19">
        <v>0</v>
      </c>
      <c r="C19">
        <v>1</v>
      </c>
      <c r="D19">
        <v>3</v>
      </c>
      <c r="F19">
        <v>0.06</v>
      </c>
      <c r="H19" t="s">
        <v>49</v>
      </c>
    </row>
    <row r="20" spans="1:8" x14ac:dyDescent="0.2">
      <c r="A20" t="s">
        <v>48</v>
      </c>
      <c r="B20">
        <v>0</v>
      </c>
      <c r="C20">
        <v>4</v>
      </c>
      <c r="D20">
        <v>9</v>
      </c>
      <c r="F20">
        <v>0.24</v>
      </c>
      <c r="H20" t="s">
        <v>50</v>
      </c>
    </row>
    <row r="21" spans="1:8" x14ac:dyDescent="0.2">
      <c r="A21" t="s">
        <v>48</v>
      </c>
      <c r="B21">
        <v>0</v>
      </c>
      <c r="C21">
        <v>0</v>
      </c>
      <c r="D21">
        <v>6</v>
      </c>
      <c r="F21">
        <v>0.03</v>
      </c>
      <c r="H21" t="s">
        <v>51</v>
      </c>
    </row>
    <row r="22" spans="1:8" x14ac:dyDescent="0.2">
      <c r="A22" t="s">
        <v>48</v>
      </c>
      <c r="B22">
        <v>0</v>
      </c>
      <c r="C22">
        <v>0</v>
      </c>
      <c r="D22">
        <v>10</v>
      </c>
      <c r="F22">
        <v>0.04</v>
      </c>
      <c r="H22" t="s">
        <v>52</v>
      </c>
    </row>
    <row r="23" spans="1:8" x14ac:dyDescent="0.2">
      <c r="A23" t="s">
        <v>48</v>
      </c>
      <c r="B23">
        <v>0</v>
      </c>
      <c r="C23">
        <v>2</v>
      </c>
      <c r="D23">
        <v>0</v>
      </c>
      <c r="F23">
        <v>0.1</v>
      </c>
      <c r="H23" t="s">
        <v>53</v>
      </c>
    </row>
    <row r="24" spans="1:8" x14ac:dyDescent="0.2">
      <c r="A24" t="s">
        <v>48</v>
      </c>
      <c r="B24">
        <v>1</v>
      </c>
      <c r="C24">
        <v>5</v>
      </c>
      <c r="D24">
        <v>5</v>
      </c>
      <c r="F24">
        <v>1.27</v>
      </c>
      <c r="H24" t="s">
        <v>54</v>
      </c>
    </row>
    <row r="25" spans="1:8" x14ac:dyDescent="0.2">
      <c r="A25" t="s">
        <v>48</v>
      </c>
      <c r="F25">
        <f>SUM(F19:F24)</f>
        <v>1.74</v>
      </c>
      <c r="H25" t="s">
        <v>275</v>
      </c>
    </row>
    <row r="27" spans="1:8" x14ac:dyDescent="0.2">
      <c r="A27" t="s">
        <v>481</v>
      </c>
      <c r="B27">
        <v>16</v>
      </c>
      <c r="C27">
        <v>8</v>
      </c>
      <c r="D27">
        <v>4</v>
      </c>
      <c r="F27">
        <v>16.420000000000002</v>
      </c>
      <c r="H27" t="s">
        <v>55</v>
      </c>
    </row>
    <row r="29" spans="1:8" x14ac:dyDescent="0.2">
      <c r="A29" t="s">
        <v>56</v>
      </c>
      <c r="B29">
        <v>0</v>
      </c>
      <c r="C29">
        <v>0</v>
      </c>
      <c r="D29">
        <v>6</v>
      </c>
      <c r="F29">
        <v>0.03</v>
      </c>
      <c r="H29" t="s">
        <v>57</v>
      </c>
    </row>
    <row r="30" spans="1:8" x14ac:dyDescent="0.2">
      <c r="A30" t="s">
        <v>56</v>
      </c>
      <c r="B30">
        <v>0</v>
      </c>
      <c r="C30">
        <v>0</v>
      </c>
      <c r="D30">
        <v>6</v>
      </c>
      <c r="F30">
        <v>0.03</v>
      </c>
      <c r="H30" t="s">
        <v>58</v>
      </c>
    </row>
    <row r="31" spans="1:8" x14ac:dyDescent="0.2">
      <c r="A31" t="s">
        <v>56</v>
      </c>
      <c r="B31">
        <v>0</v>
      </c>
      <c r="C31">
        <v>0</v>
      </c>
      <c r="D31">
        <v>6</v>
      </c>
      <c r="F31">
        <v>0.03</v>
      </c>
      <c r="H31" t="s">
        <v>59</v>
      </c>
    </row>
    <row r="32" spans="1:8" x14ac:dyDescent="0.2">
      <c r="A32" t="s">
        <v>56</v>
      </c>
      <c r="F32">
        <v>0.06</v>
      </c>
      <c r="G32" s="38">
        <v>0.03</v>
      </c>
      <c r="H32" t="s">
        <v>275</v>
      </c>
    </row>
    <row r="34" spans="1:8" x14ac:dyDescent="0.2">
      <c r="A34" t="s">
        <v>60</v>
      </c>
      <c r="B34">
        <v>0</v>
      </c>
      <c r="C34">
        <v>14</v>
      </c>
      <c r="D34">
        <v>1</v>
      </c>
      <c r="F34">
        <v>0.7</v>
      </c>
      <c r="H34" t="s">
        <v>61</v>
      </c>
    </row>
    <row r="35" spans="1:8" x14ac:dyDescent="0.2">
      <c r="A35" t="s">
        <v>60</v>
      </c>
      <c r="B35">
        <v>0</v>
      </c>
      <c r="C35">
        <v>6</v>
      </c>
      <c r="D35">
        <v>2</v>
      </c>
      <c r="F35">
        <v>0.31</v>
      </c>
      <c r="H35" t="s">
        <v>62</v>
      </c>
    </row>
    <row r="36" spans="1:8" x14ac:dyDescent="0.2">
      <c r="A36" t="s">
        <v>60</v>
      </c>
      <c r="B36">
        <v>0</v>
      </c>
      <c r="C36">
        <v>1</v>
      </c>
      <c r="D36">
        <v>6</v>
      </c>
      <c r="F36">
        <v>0.08</v>
      </c>
      <c r="H36" t="s">
        <v>63</v>
      </c>
    </row>
    <row r="37" spans="1:8" x14ac:dyDescent="0.2">
      <c r="A37" t="s">
        <v>60</v>
      </c>
      <c r="B37">
        <v>0</v>
      </c>
      <c r="C37">
        <v>1</v>
      </c>
      <c r="D37">
        <v>0</v>
      </c>
      <c r="F37">
        <v>0.05</v>
      </c>
      <c r="H37" t="s">
        <v>64</v>
      </c>
    </row>
    <row r="38" spans="1:8" x14ac:dyDescent="0.2">
      <c r="A38" t="s">
        <v>60</v>
      </c>
      <c r="B38">
        <v>0</v>
      </c>
      <c r="C38">
        <v>2</v>
      </c>
      <c r="D38">
        <v>0</v>
      </c>
      <c r="F38">
        <v>0.1</v>
      </c>
      <c r="H38" t="s">
        <v>65</v>
      </c>
    </row>
    <row r="39" spans="1:8" x14ac:dyDescent="0.2">
      <c r="A39" t="s">
        <v>60</v>
      </c>
      <c r="B39">
        <v>0</v>
      </c>
      <c r="C39">
        <v>1</v>
      </c>
      <c r="D39">
        <v>0</v>
      </c>
      <c r="F39">
        <v>0.05</v>
      </c>
      <c r="H39" t="s">
        <v>66</v>
      </c>
    </row>
    <row r="40" spans="1:8" x14ac:dyDescent="0.2">
      <c r="A40" t="s">
        <v>60</v>
      </c>
      <c r="B40">
        <v>0</v>
      </c>
      <c r="C40">
        <v>4</v>
      </c>
      <c r="D40">
        <v>0</v>
      </c>
      <c r="F40">
        <v>0.2</v>
      </c>
      <c r="H40" t="s">
        <v>67</v>
      </c>
    </row>
    <row r="41" spans="1:8" x14ac:dyDescent="0.2">
      <c r="A41" t="s">
        <v>60</v>
      </c>
      <c r="B41">
        <v>0</v>
      </c>
      <c r="C41">
        <v>0</v>
      </c>
      <c r="D41">
        <v>0</v>
      </c>
      <c r="F41">
        <v>0</v>
      </c>
      <c r="H41" t="s">
        <v>68</v>
      </c>
    </row>
    <row r="42" spans="1:8" x14ac:dyDescent="0.2">
      <c r="A42" t="s">
        <v>60</v>
      </c>
      <c r="B42">
        <v>0</v>
      </c>
      <c r="C42">
        <v>0</v>
      </c>
      <c r="D42">
        <v>0</v>
      </c>
      <c r="F42">
        <v>0</v>
      </c>
      <c r="H42" t="s">
        <v>69</v>
      </c>
    </row>
    <row r="43" spans="1:8" x14ac:dyDescent="0.2">
      <c r="A43" t="s">
        <v>60</v>
      </c>
      <c r="B43">
        <v>1</v>
      </c>
      <c r="C43">
        <v>10</v>
      </c>
      <c r="D43">
        <v>0</v>
      </c>
      <c r="F43">
        <v>1.5</v>
      </c>
      <c r="H43" t="s">
        <v>70</v>
      </c>
    </row>
    <row r="44" spans="1:8" x14ac:dyDescent="0.2">
      <c r="A44" t="s">
        <v>60</v>
      </c>
      <c r="B44">
        <v>0</v>
      </c>
      <c r="C44">
        <v>4</v>
      </c>
      <c r="D44">
        <v>6</v>
      </c>
      <c r="F44">
        <v>0.23</v>
      </c>
      <c r="H44" t="s">
        <v>71</v>
      </c>
    </row>
    <row r="45" spans="1:8" x14ac:dyDescent="0.2">
      <c r="A45" t="s">
        <v>60</v>
      </c>
      <c r="B45">
        <v>0</v>
      </c>
      <c r="C45">
        <v>6</v>
      </c>
      <c r="D45">
        <v>0</v>
      </c>
      <c r="F45">
        <v>0.3</v>
      </c>
      <c r="H45" t="s">
        <v>72</v>
      </c>
    </row>
    <row r="46" spans="1:8" x14ac:dyDescent="0.2">
      <c r="A46" t="s">
        <v>60</v>
      </c>
      <c r="B46">
        <v>0</v>
      </c>
      <c r="C46">
        <v>4</v>
      </c>
      <c r="D46">
        <v>0</v>
      </c>
      <c r="F46">
        <v>0.2</v>
      </c>
      <c r="H46" t="s">
        <v>73</v>
      </c>
    </row>
    <row r="47" spans="1:8" x14ac:dyDescent="0.2">
      <c r="A47" t="s">
        <v>60</v>
      </c>
      <c r="B47">
        <v>0</v>
      </c>
      <c r="C47">
        <v>2</v>
      </c>
      <c r="D47">
        <v>3</v>
      </c>
      <c r="F47">
        <v>0.11</v>
      </c>
      <c r="H47" t="s">
        <v>74</v>
      </c>
    </row>
    <row r="48" spans="1:8" x14ac:dyDescent="0.2">
      <c r="A48" t="s">
        <v>60</v>
      </c>
      <c r="B48">
        <v>0</v>
      </c>
      <c r="C48">
        <v>0</v>
      </c>
      <c r="D48">
        <v>8</v>
      </c>
      <c r="F48">
        <v>0.03</v>
      </c>
      <c r="H48" t="s">
        <v>75</v>
      </c>
    </row>
    <row r="49" spans="1:8" x14ac:dyDescent="0.2">
      <c r="A49" t="s">
        <v>60</v>
      </c>
      <c r="B49">
        <v>0</v>
      </c>
      <c r="C49">
        <v>1</v>
      </c>
      <c r="D49">
        <v>3</v>
      </c>
      <c r="F49">
        <v>0.06</v>
      </c>
      <c r="H49" t="s">
        <v>76</v>
      </c>
    </row>
    <row r="50" spans="1:8" x14ac:dyDescent="0.2">
      <c r="A50" t="s">
        <v>60</v>
      </c>
      <c r="B50">
        <v>0</v>
      </c>
      <c r="C50">
        <v>3</v>
      </c>
      <c r="D50">
        <v>10.25</v>
      </c>
      <c r="F50">
        <v>0.19</v>
      </c>
      <c r="H50" t="s">
        <v>77</v>
      </c>
    </row>
    <row r="51" spans="1:8" x14ac:dyDescent="0.2">
      <c r="A51" t="s">
        <v>60</v>
      </c>
      <c r="B51">
        <v>0</v>
      </c>
      <c r="C51">
        <v>6</v>
      </c>
      <c r="D51">
        <v>9</v>
      </c>
      <c r="F51">
        <v>0.34</v>
      </c>
      <c r="H51" t="s">
        <v>79</v>
      </c>
    </row>
    <row r="52" spans="1:8" x14ac:dyDescent="0.2">
      <c r="A52" t="s">
        <v>60</v>
      </c>
      <c r="B52">
        <v>1</v>
      </c>
      <c r="C52">
        <v>6</v>
      </c>
      <c r="D52">
        <v>8</v>
      </c>
      <c r="F52">
        <v>1.33</v>
      </c>
      <c r="H52" t="s">
        <v>80</v>
      </c>
    </row>
    <row r="53" spans="1:8" x14ac:dyDescent="0.2">
      <c r="A53" t="s">
        <v>60</v>
      </c>
      <c r="B53">
        <v>0</v>
      </c>
      <c r="C53">
        <v>5</v>
      </c>
      <c r="D53">
        <v>0</v>
      </c>
      <c r="F53">
        <f>B53+C53/20+D53/240</f>
        <v>0.25</v>
      </c>
      <c r="H53" t="s">
        <v>482</v>
      </c>
    </row>
    <row r="54" spans="1:8" x14ac:dyDescent="0.2">
      <c r="A54" t="s">
        <v>60</v>
      </c>
      <c r="B54">
        <v>6</v>
      </c>
      <c r="C54">
        <v>0</v>
      </c>
      <c r="D54">
        <v>6.25</v>
      </c>
      <c r="F54">
        <v>6.03</v>
      </c>
      <c r="H54" t="s">
        <v>483</v>
      </c>
    </row>
    <row r="55" spans="1:8" x14ac:dyDescent="0.2">
      <c r="A55" t="s">
        <v>60</v>
      </c>
      <c r="F55">
        <f>SUM(F34:F53)</f>
        <v>6.03</v>
      </c>
      <c r="G55" s="38">
        <f>F55-F54</f>
        <v>0</v>
      </c>
      <c r="H55" t="s">
        <v>275</v>
      </c>
    </row>
    <row r="57" spans="1:8" x14ac:dyDescent="0.2">
      <c r="A57" t="s">
        <v>82</v>
      </c>
      <c r="B57">
        <v>25</v>
      </c>
      <c r="C57">
        <v>4</v>
      </c>
      <c r="D57">
        <v>0</v>
      </c>
      <c r="F57">
        <v>25.2</v>
      </c>
      <c r="H57" t="s">
        <v>276</v>
      </c>
    </row>
    <row r="58" spans="1:8" x14ac:dyDescent="0.2">
      <c r="A58" t="s">
        <v>82</v>
      </c>
      <c r="B58">
        <v>0</v>
      </c>
      <c r="C58">
        <v>8</v>
      </c>
      <c r="D58">
        <v>1.5</v>
      </c>
      <c r="F58">
        <v>0.41</v>
      </c>
      <c r="H58" t="s">
        <v>277</v>
      </c>
    </row>
    <row r="59" spans="1:8" x14ac:dyDescent="0.2">
      <c r="A59" t="s">
        <v>82</v>
      </c>
      <c r="B59">
        <v>0</v>
      </c>
      <c r="C59">
        <v>3</v>
      </c>
      <c r="D59">
        <v>0</v>
      </c>
      <c r="F59">
        <v>0.15</v>
      </c>
      <c r="H59" t="s">
        <v>278</v>
      </c>
    </row>
    <row r="60" spans="1:8" x14ac:dyDescent="0.2">
      <c r="A60" t="s">
        <v>82</v>
      </c>
      <c r="B60">
        <v>1</v>
      </c>
      <c r="C60">
        <v>8</v>
      </c>
      <c r="D60">
        <v>0</v>
      </c>
      <c r="F60">
        <v>1.4</v>
      </c>
      <c r="H60" t="s">
        <v>279</v>
      </c>
    </row>
    <row r="61" spans="1:8" x14ac:dyDescent="0.2">
      <c r="A61" t="s">
        <v>82</v>
      </c>
      <c r="B61">
        <v>27</v>
      </c>
      <c r="C61">
        <v>3</v>
      </c>
      <c r="D61">
        <v>1.5</v>
      </c>
      <c r="F61">
        <v>27.16</v>
      </c>
      <c r="H61" t="s">
        <v>90</v>
      </c>
    </row>
    <row r="62" spans="1:8" x14ac:dyDescent="0.2">
      <c r="A62" t="s">
        <v>82</v>
      </c>
      <c r="F62">
        <v>27.16</v>
      </c>
      <c r="G62" s="38">
        <v>0</v>
      </c>
      <c r="H62" t="s">
        <v>275</v>
      </c>
    </row>
    <row r="64" spans="1:8" x14ac:dyDescent="0.2">
      <c r="A64" t="s">
        <v>91</v>
      </c>
      <c r="B64">
        <v>0</v>
      </c>
      <c r="C64">
        <v>2</v>
      </c>
      <c r="D64">
        <v>0</v>
      </c>
      <c r="F64">
        <v>0.1</v>
      </c>
      <c r="H64" t="s">
        <v>92</v>
      </c>
    </row>
    <row r="65" spans="1:8" x14ac:dyDescent="0.2">
      <c r="A65" t="s">
        <v>91</v>
      </c>
      <c r="B65">
        <v>1</v>
      </c>
      <c r="C65">
        <v>6</v>
      </c>
      <c r="D65">
        <v>8</v>
      </c>
      <c r="F65">
        <v>1.33</v>
      </c>
      <c r="H65" t="s">
        <v>93</v>
      </c>
    </row>
    <row r="66" spans="1:8" x14ac:dyDescent="0.2">
      <c r="A66" t="s">
        <v>91</v>
      </c>
      <c r="B66">
        <v>0</v>
      </c>
      <c r="C66">
        <v>13</v>
      </c>
      <c r="D66">
        <v>4</v>
      </c>
      <c r="F66">
        <v>0.67</v>
      </c>
      <c r="H66" t="s">
        <v>94</v>
      </c>
    </row>
    <row r="67" spans="1:8" x14ac:dyDescent="0.2">
      <c r="A67" t="s">
        <v>91</v>
      </c>
      <c r="B67">
        <v>1</v>
      </c>
      <c r="C67">
        <v>13</v>
      </c>
      <c r="D67">
        <v>4</v>
      </c>
      <c r="F67">
        <v>1.67</v>
      </c>
      <c r="H67" t="s">
        <v>95</v>
      </c>
    </row>
    <row r="68" spans="1:8" x14ac:dyDescent="0.2">
      <c r="A68" t="s">
        <v>91</v>
      </c>
      <c r="B68">
        <v>0</v>
      </c>
      <c r="C68">
        <v>13</v>
      </c>
      <c r="D68">
        <v>4</v>
      </c>
      <c r="F68">
        <v>0.67</v>
      </c>
      <c r="H68" t="s">
        <v>96</v>
      </c>
    </row>
    <row r="69" spans="1:8" x14ac:dyDescent="0.2">
      <c r="A69" t="s">
        <v>91</v>
      </c>
      <c r="B69">
        <v>4</v>
      </c>
      <c r="C69">
        <v>8</v>
      </c>
      <c r="D69">
        <v>8</v>
      </c>
      <c r="F69">
        <v>4.43</v>
      </c>
      <c r="H69" t="s">
        <v>97</v>
      </c>
    </row>
    <row r="70" spans="1:8" x14ac:dyDescent="0.2">
      <c r="A70" t="s">
        <v>91</v>
      </c>
      <c r="F70">
        <v>4.4400000000000004</v>
      </c>
      <c r="G70" s="38">
        <v>1.000000000000068E-2</v>
      </c>
      <c r="H70" t="s">
        <v>275</v>
      </c>
    </row>
    <row r="72" spans="1:8" x14ac:dyDescent="0.2">
      <c r="A72" t="s">
        <v>98</v>
      </c>
      <c r="B72">
        <v>0</v>
      </c>
      <c r="C72">
        <v>0</v>
      </c>
      <c r="D72">
        <v>6</v>
      </c>
      <c r="F72">
        <v>0.03</v>
      </c>
      <c r="H72" t="s">
        <v>99</v>
      </c>
    </row>
    <row r="73" spans="1:8" x14ac:dyDescent="0.2">
      <c r="A73" t="s">
        <v>98</v>
      </c>
      <c r="B73">
        <v>0</v>
      </c>
      <c r="C73">
        <v>2</v>
      </c>
      <c r="D73">
        <v>0</v>
      </c>
      <c r="F73">
        <v>0.1</v>
      </c>
      <c r="H73" t="s">
        <v>100</v>
      </c>
    </row>
    <row r="74" spans="1:8" x14ac:dyDescent="0.2">
      <c r="A74" t="s">
        <v>98</v>
      </c>
      <c r="B74">
        <v>0</v>
      </c>
      <c r="C74">
        <v>2</v>
      </c>
      <c r="D74">
        <v>0</v>
      </c>
      <c r="F74">
        <v>0.1</v>
      </c>
      <c r="H74" t="s">
        <v>101</v>
      </c>
    </row>
    <row r="75" spans="1:8" x14ac:dyDescent="0.2">
      <c r="A75" t="s">
        <v>98</v>
      </c>
      <c r="B75">
        <v>0</v>
      </c>
      <c r="C75">
        <v>0</v>
      </c>
      <c r="D75">
        <v>3</v>
      </c>
      <c r="F75">
        <v>0.01</v>
      </c>
      <c r="H75" t="s">
        <v>102</v>
      </c>
    </row>
    <row r="76" spans="1:8" x14ac:dyDescent="0.2">
      <c r="A76" t="s">
        <v>98</v>
      </c>
      <c r="B76">
        <v>0</v>
      </c>
      <c r="C76">
        <v>0</v>
      </c>
      <c r="D76">
        <v>6</v>
      </c>
      <c r="F76">
        <v>0.03</v>
      </c>
      <c r="H76" t="s">
        <v>103</v>
      </c>
    </row>
    <row r="77" spans="1:8" x14ac:dyDescent="0.2">
      <c r="A77" t="s">
        <v>98</v>
      </c>
      <c r="B77">
        <v>0</v>
      </c>
      <c r="C77">
        <v>1</v>
      </c>
      <c r="D77">
        <v>0</v>
      </c>
      <c r="F77">
        <v>0.05</v>
      </c>
      <c r="H77" t="s">
        <v>104</v>
      </c>
    </row>
    <row r="78" spans="1:8" x14ac:dyDescent="0.2">
      <c r="A78" t="s">
        <v>98</v>
      </c>
      <c r="B78">
        <v>0</v>
      </c>
      <c r="C78">
        <v>0</v>
      </c>
      <c r="D78">
        <v>6</v>
      </c>
      <c r="F78">
        <v>0.03</v>
      </c>
      <c r="H78" t="s">
        <v>105</v>
      </c>
    </row>
    <row r="79" spans="1:8" x14ac:dyDescent="0.2">
      <c r="A79" t="s">
        <v>98</v>
      </c>
      <c r="B79">
        <v>0</v>
      </c>
      <c r="C79">
        <v>1</v>
      </c>
      <c r="D79">
        <v>0</v>
      </c>
      <c r="F79">
        <v>0.05</v>
      </c>
      <c r="H79" t="s">
        <v>106</v>
      </c>
    </row>
    <row r="80" spans="1:8" x14ac:dyDescent="0.2">
      <c r="A80" t="s">
        <v>98</v>
      </c>
      <c r="B80">
        <v>0</v>
      </c>
      <c r="C80">
        <v>0</v>
      </c>
      <c r="D80">
        <v>3</v>
      </c>
      <c r="F80">
        <v>0.01</v>
      </c>
      <c r="H80" t="s">
        <v>107</v>
      </c>
    </row>
    <row r="81" spans="1:8" x14ac:dyDescent="0.2">
      <c r="A81" t="s">
        <v>98</v>
      </c>
      <c r="B81">
        <v>0</v>
      </c>
      <c r="C81">
        <v>0</v>
      </c>
      <c r="D81">
        <v>3</v>
      </c>
      <c r="F81">
        <v>0.01</v>
      </c>
      <c r="H81" t="s">
        <v>108</v>
      </c>
    </row>
    <row r="82" spans="1:8" x14ac:dyDescent="0.2">
      <c r="A82" t="s">
        <v>98</v>
      </c>
      <c r="B82">
        <v>0</v>
      </c>
      <c r="C82">
        <v>1</v>
      </c>
      <c r="D82">
        <v>0</v>
      </c>
      <c r="F82">
        <v>0.05</v>
      </c>
      <c r="H82" t="s">
        <v>109</v>
      </c>
    </row>
    <row r="83" spans="1:8" x14ac:dyDescent="0.2">
      <c r="A83" t="s">
        <v>98</v>
      </c>
      <c r="B83">
        <v>0</v>
      </c>
      <c r="C83">
        <v>0</v>
      </c>
      <c r="D83">
        <v>6</v>
      </c>
      <c r="F83">
        <v>0.03</v>
      </c>
      <c r="H83" t="s">
        <v>110</v>
      </c>
    </row>
    <row r="84" spans="1:8" x14ac:dyDescent="0.2">
      <c r="A84" t="s">
        <v>98</v>
      </c>
      <c r="B84">
        <v>0</v>
      </c>
      <c r="C84">
        <v>0</v>
      </c>
      <c r="D84">
        <v>3</v>
      </c>
      <c r="F84">
        <v>0.01</v>
      </c>
      <c r="H84" t="s">
        <v>111</v>
      </c>
    </row>
    <row r="85" spans="1:8" x14ac:dyDescent="0.2">
      <c r="A85" t="s">
        <v>98</v>
      </c>
      <c r="B85">
        <v>0</v>
      </c>
      <c r="C85">
        <v>0</v>
      </c>
      <c r="D85">
        <v>3</v>
      </c>
      <c r="F85">
        <v>0.01</v>
      </c>
      <c r="H85" t="s">
        <v>112</v>
      </c>
    </row>
    <row r="86" spans="1:8" x14ac:dyDescent="0.2">
      <c r="A86" t="s">
        <v>98</v>
      </c>
      <c r="B86">
        <v>0</v>
      </c>
      <c r="C86">
        <v>0</v>
      </c>
      <c r="D86">
        <v>6</v>
      </c>
      <c r="F86">
        <v>0.03</v>
      </c>
      <c r="H86" t="s">
        <v>113</v>
      </c>
    </row>
    <row r="87" spans="1:8" x14ac:dyDescent="0.2">
      <c r="A87" t="s">
        <v>98</v>
      </c>
      <c r="B87">
        <v>0</v>
      </c>
      <c r="C87">
        <v>0</v>
      </c>
      <c r="D87">
        <v>3</v>
      </c>
      <c r="F87">
        <v>0.01</v>
      </c>
      <c r="H87" t="s">
        <v>114</v>
      </c>
    </row>
    <row r="88" spans="1:8" x14ac:dyDescent="0.2">
      <c r="A88" t="s">
        <v>98</v>
      </c>
      <c r="B88">
        <v>0</v>
      </c>
      <c r="C88">
        <v>0</v>
      </c>
      <c r="D88">
        <v>6</v>
      </c>
      <c r="F88">
        <v>0.03</v>
      </c>
      <c r="H88" t="s">
        <v>115</v>
      </c>
    </row>
    <row r="89" spans="1:8" x14ac:dyDescent="0.2">
      <c r="A89" t="s">
        <v>98</v>
      </c>
      <c r="B89">
        <v>0</v>
      </c>
      <c r="C89">
        <v>1</v>
      </c>
      <c r="D89">
        <v>0</v>
      </c>
      <c r="F89">
        <v>0.05</v>
      </c>
      <c r="H89" t="s">
        <v>116</v>
      </c>
    </row>
    <row r="90" spans="1:8" x14ac:dyDescent="0.2">
      <c r="A90" t="s">
        <v>98</v>
      </c>
      <c r="B90">
        <v>0</v>
      </c>
      <c r="C90">
        <v>0</v>
      </c>
      <c r="D90">
        <v>3</v>
      </c>
      <c r="F90">
        <v>0.01</v>
      </c>
      <c r="H90" t="s">
        <v>117</v>
      </c>
    </row>
    <row r="91" spans="1:8" x14ac:dyDescent="0.2">
      <c r="A91" t="s">
        <v>98</v>
      </c>
      <c r="B91">
        <v>0</v>
      </c>
      <c r="C91">
        <v>0</v>
      </c>
      <c r="D91">
        <v>3</v>
      </c>
      <c r="F91">
        <v>0.01</v>
      </c>
      <c r="H91" t="s">
        <v>118</v>
      </c>
    </row>
    <row r="92" spans="1:8" x14ac:dyDescent="0.2">
      <c r="A92" t="s">
        <v>98</v>
      </c>
      <c r="B92">
        <v>0</v>
      </c>
      <c r="C92">
        <v>0</v>
      </c>
      <c r="D92">
        <v>2</v>
      </c>
      <c r="F92">
        <v>0.01</v>
      </c>
      <c r="H92" t="s">
        <v>119</v>
      </c>
    </row>
    <row r="93" spans="1:8" x14ac:dyDescent="0.2">
      <c r="A93" t="s">
        <v>98</v>
      </c>
      <c r="B93">
        <v>0</v>
      </c>
      <c r="C93">
        <v>0</v>
      </c>
      <c r="D93">
        <v>6</v>
      </c>
      <c r="F93">
        <v>0.03</v>
      </c>
      <c r="H93" t="s">
        <v>120</v>
      </c>
    </row>
    <row r="94" spans="1:8" x14ac:dyDescent="0.2">
      <c r="A94" t="s">
        <v>98</v>
      </c>
      <c r="B94">
        <v>0</v>
      </c>
      <c r="C94">
        <v>0</v>
      </c>
      <c r="D94">
        <v>3</v>
      </c>
      <c r="F94">
        <v>0.01</v>
      </c>
      <c r="H94" t="s">
        <v>121</v>
      </c>
    </row>
    <row r="95" spans="1:8" x14ac:dyDescent="0.2">
      <c r="A95" t="s">
        <v>98</v>
      </c>
      <c r="B95">
        <v>0</v>
      </c>
      <c r="C95">
        <v>0</v>
      </c>
      <c r="D95">
        <v>3</v>
      </c>
      <c r="F95">
        <v>0.01</v>
      </c>
      <c r="H95" t="s">
        <v>122</v>
      </c>
    </row>
    <row r="96" spans="1:8" x14ac:dyDescent="0.2">
      <c r="A96" t="s">
        <v>98</v>
      </c>
      <c r="B96">
        <v>0</v>
      </c>
      <c r="C96">
        <v>0</v>
      </c>
      <c r="D96">
        <v>3</v>
      </c>
      <c r="F96">
        <v>0.01</v>
      </c>
      <c r="H96" t="s">
        <v>123</v>
      </c>
    </row>
    <row r="97" spans="1:8" x14ac:dyDescent="0.2">
      <c r="A97" t="s">
        <v>98</v>
      </c>
      <c r="B97">
        <v>0</v>
      </c>
      <c r="C97">
        <v>0</v>
      </c>
      <c r="D97">
        <v>3</v>
      </c>
      <c r="F97">
        <v>0.01</v>
      </c>
      <c r="H97" t="s">
        <v>124</v>
      </c>
    </row>
    <row r="98" spans="1:8" x14ac:dyDescent="0.2">
      <c r="A98" t="s">
        <v>98</v>
      </c>
      <c r="B98">
        <v>0</v>
      </c>
      <c r="C98">
        <v>0</v>
      </c>
      <c r="D98">
        <v>3</v>
      </c>
      <c r="F98">
        <v>0.01</v>
      </c>
      <c r="H98" t="s">
        <v>125</v>
      </c>
    </row>
    <row r="99" spans="1:8" x14ac:dyDescent="0.2">
      <c r="A99" t="s">
        <v>98</v>
      </c>
      <c r="B99">
        <v>0</v>
      </c>
      <c r="C99">
        <v>0</v>
      </c>
      <c r="D99">
        <v>6</v>
      </c>
      <c r="F99">
        <v>0.03</v>
      </c>
      <c r="H99" t="s">
        <v>126</v>
      </c>
    </row>
    <row r="100" spans="1:8" x14ac:dyDescent="0.2">
      <c r="A100" t="s">
        <v>98</v>
      </c>
      <c r="B100">
        <v>0</v>
      </c>
      <c r="C100">
        <v>0</v>
      </c>
      <c r="D100">
        <v>3</v>
      </c>
      <c r="F100">
        <v>0.01</v>
      </c>
      <c r="H100" t="s">
        <v>127</v>
      </c>
    </row>
    <row r="101" spans="1:8" x14ac:dyDescent="0.2">
      <c r="A101" t="s">
        <v>98</v>
      </c>
      <c r="B101">
        <v>0</v>
      </c>
      <c r="C101">
        <v>0</v>
      </c>
      <c r="D101">
        <v>3</v>
      </c>
      <c r="F101">
        <v>0.01</v>
      </c>
      <c r="H101" t="s">
        <v>128</v>
      </c>
    </row>
    <row r="102" spans="1:8" x14ac:dyDescent="0.2">
      <c r="A102" t="s">
        <v>98</v>
      </c>
      <c r="B102">
        <v>0</v>
      </c>
      <c r="C102">
        <v>0</v>
      </c>
      <c r="D102">
        <v>3</v>
      </c>
      <c r="F102">
        <v>0.01</v>
      </c>
      <c r="H102" t="s">
        <v>129</v>
      </c>
    </row>
    <row r="103" spans="1:8" x14ac:dyDescent="0.2">
      <c r="A103" t="s">
        <v>98</v>
      </c>
      <c r="B103">
        <v>0</v>
      </c>
      <c r="C103">
        <v>0</v>
      </c>
      <c r="D103">
        <v>6</v>
      </c>
      <c r="F103">
        <v>0.03</v>
      </c>
      <c r="H103" t="s">
        <v>130</v>
      </c>
    </row>
    <row r="104" spans="1:8" x14ac:dyDescent="0.2">
      <c r="A104" t="s">
        <v>98</v>
      </c>
      <c r="B104">
        <v>0</v>
      </c>
      <c r="C104">
        <v>0</v>
      </c>
      <c r="D104">
        <v>6</v>
      </c>
      <c r="F104">
        <v>0.03</v>
      </c>
      <c r="H104" t="s">
        <v>131</v>
      </c>
    </row>
    <row r="105" spans="1:8" x14ac:dyDescent="0.2">
      <c r="A105" t="s">
        <v>98</v>
      </c>
      <c r="B105">
        <v>0</v>
      </c>
      <c r="C105">
        <v>0</v>
      </c>
      <c r="D105">
        <v>3</v>
      </c>
      <c r="F105">
        <v>0.01</v>
      </c>
      <c r="H105" t="s">
        <v>132</v>
      </c>
    </row>
    <row r="106" spans="1:8" x14ac:dyDescent="0.2">
      <c r="A106" t="s">
        <v>98</v>
      </c>
      <c r="B106">
        <v>0</v>
      </c>
      <c r="C106">
        <v>0</v>
      </c>
      <c r="D106">
        <v>6</v>
      </c>
      <c r="F106">
        <v>0.03</v>
      </c>
      <c r="H106" t="s">
        <v>133</v>
      </c>
    </row>
    <row r="107" spans="1:8" x14ac:dyDescent="0.2">
      <c r="A107" t="s">
        <v>98</v>
      </c>
      <c r="B107">
        <v>0</v>
      </c>
      <c r="C107">
        <v>0</v>
      </c>
      <c r="D107">
        <v>3</v>
      </c>
      <c r="F107">
        <v>0.01</v>
      </c>
      <c r="H107" t="s">
        <v>134</v>
      </c>
    </row>
    <row r="108" spans="1:8" x14ac:dyDescent="0.2">
      <c r="A108" t="s">
        <v>98</v>
      </c>
      <c r="B108">
        <v>0</v>
      </c>
      <c r="C108">
        <v>18</v>
      </c>
      <c r="D108">
        <v>2</v>
      </c>
      <c r="F108">
        <v>0.91</v>
      </c>
      <c r="H108" t="s">
        <v>135</v>
      </c>
    </row>
    <row r="110" spans="1:8" x14ac:dyDescent="0.2">
      <c r="A110" t="s">
        <v>597</v>
      </c>
      <c r="B110">
        <v>5</v>
      </c>
      <c r="C110">
        <v>6</v>
      </c>
      <c r="D110">
        <v>10</v>
      </c>
      <c r="F110">
        <v>5.34</v>
      </c>
      <c r="G110" s="38">
        <f>(F108+F70)-F110</f>
        <v>1.0000000000000675E-2</v>
      </c>
      <c r="H110" t="s">
        <v>136</v>
      </c>
    </row>
    <row r="113" spans="1:8" x14ac:dyDescent="0.2">
      <c r="A113" s="65" t="s">
        <v>594</v>
      </c>
      <c r="B113">
        <v>54</v>
      </c>
      <c r="C113">
        <v>19</v>
      </c>
      <c r="D113">
        <v>3.75</v>
      </c>
      <c r="F113">
        <v>54.97</v>
      </c>
      <c r="H113" t="s">
        <v>275</v>
      </c>
    </row>
    <row r="114" spans="1:8" ht="16" x14ac:dyDescent="0.2">
      <c r="A114" s="76" t="s">
        <v>595</v>
      </c>
      <c r="F114">
        <f>F108+F70+F62+F55+F32+F27</f>
        <v>55.02</v>
      </c>
      <c r="G114" s="38">
        <f>F114-F113</f>
        <v>5.0000000000004263E-2</v>
      </c>
    </row>
    <row r="115" spans="1:8" ht="16" x14ac:dyDescent="0.2">
      <c r="A115" s="76" t="s">
        <v>596</v>
      </c>
      <c r="F115">
        <f>F114+F5</f>
        <v>64.960000000000008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1"/>
  <sheetViews>
    <sheetView workbookViewId="0">
      <pane xSplit="1" ySplit="2" topLeftCell="B58" activePane="bottomRight" state="frozen"/>
      <selection pane="topRight" activeCell="B1" sqref="B1"/>
      <selection pane="bottomLeft" activeCell="A3" sqref="A3"/>
      <selection pane="bottomRight" activeCell="G83" sqref="G83"/>
    </sheetView>
  </sheetViews>
  <sheetFormatPr baseColWidth="10" defaultColWidth="8.83203125" defaultRowHeight="15" x14ac:dyDescent="0.2"/>
  <cols>
    <col min="1" max="1" width="33.1640625" bestFit="1" customWidth="1"/>
    <col min="5" max="5" width="8.83203125" customWidth="1"/>
    <col min="7" max="7" width="8.83203125" style="46"/>
    <col min="8" max="8" width="24.5" customWidth="1"/>
    <col min="10" max="10" width="15" customWidth="1"/>
    <col min="11" max="11" width="15.6640625" customWidth="1"/>
  </cols>
  <sheetData>
    <row r="1" spans="1:11" ht="16" x14ac:dyDescent="0.2">
      <c r="A1" s="30" t="s">
        <v>484</v>
      </c>
    </row>
    <row r="2" spans="1:11" ht="34" x14ac:dyDescent="0.2">
      <c r="A2" s="39" t="s">
        <v>0</v>
      </c>
      <c r="B2" s="40" t="s">
        <v>475</v>
      </c>
      <c r="C2" s="41" t="s">
        <v>476</v>
      </c>
      <c r="D2" s="41" t="s">
        <v>477</v>
      </c>
      <c r="E2" s="42"/>
      <c r="F2" s="43" t="s">
        <v>472</v>
      </c>
      <c r="G2" s="44" t="s">
        <v>274</v>
      </c>
      <c r="H2" s="39" t="s">
        <v>478</v>
      </c>
      <c r="J2" s="77" t="s">
        <v>598</v>
      </c>
      <c r="K2" s="77" t="s">
        <v>599</v>
      </c>
    </row>
    <row r="3" spans="1:11" x14ac:dyDescent="0.2">
      <c r="A3" t="s">
        <v>139</v>
      </c>
      <c r="B3">
        <v>0</v>
      </c>
      <c r="C3">
        <v>11</v>
      </c>
      <c r="D3">
        <v>5</v>
      </c>
      <c r="F3">
        <v>0.56999999999999995</v>
      </c>
      <c r="H3" t="s">
        <v>140</v>
      </c>
      <c r="J3">
        <f>F3</f>
        <v>0.56999999999999995</v>
      </c>
      <c r="K3">
        <f>F3</f>
        <v>0.56999999999999995</v>
      </c>
    </row>
    <row r="4" spans="1:11" x14ac:dyDescent="0.2">
      <c r="A4" t="s">
        <v>139</v>
      </c>
      <c r="B4">
        <v>0</v>
      </c>
      <c r="C4">
        <v>2</v>
      </c>
      <c r="D4">
        <v>6</v>
      </c>
      <c r="F4">
        <v>0.12</v>
      </c>
      <c r="H4" t="s">
        <v>141</v>
      </c>
      <c r="J4">
        <f t="shared" ref="J4:J7" si="0">F4</f>
        <v>0.12</v>
      </c>
      <c r="K4">
        <f t="shared" ref="K4:K7" si="1">F4</f>
        <v>0.12</v>
      </c>
    </row>
    <row r="5" spans="1:11" x14ac:dyDescent="0.2">
      <c r="A5" t="s">
        <v>139</v>
      </c>
      <c r="B5">
        <v>0</v>
      </c>
      <c r="C5">
        <v>1</v>
      </c>
      <c r="D5">
        <v>0</v>
      </c>
      <c r="F5">
        <v>0.05</v>
      </c>
      <c r="H5" t="s">
        <v>142</v>
      </c>
      <c r="J5">
        <f t="shared" si="0"/>
        <v>0.05</v>
      </c>
      <c r="K5">
        <f t="shared" si="1"/>
        <v>0.05</v>
      </c>
    </row>
    <row r="6" spans="1:11" x14ac:dyDescent="0.2">
      <c r="A6" t="s">
        <v>139</v>
      </c>
      <c r="B6">
        <v>0</v>
      </c>
      <c r="C6">
        <v>0</v>
      </c>
      <c r="D6">
        <v>6</v>
      </c>
      <c r="F6">
        <v>0.03</v>
      </c>
      <c r="H6" t="s">
        <v>143</v>
      </c>
      <c r="J6">
        <f t="shared" si="0"/>
        <v>0.03</v>
      </c>
      <c r="K6">
        <f t="shared" si="1"/>
        <v>0.03</v>
      </c>
    </row>
    <row r="7" spans="1:11" x14ac:dyDescent="0.2">
      <c r="A7" t="s">
        <v>139</v>
      </c>
      <c r="B7">
        <v>0</v>
      </c>
      <c r="C7">
        <v>0</v>
      </c>
      <c r="D7">
        <v>7.5</v>
      </c>
      <c r="F7">
        <v>0.03</v>
      </c>
      <c r="H7" t="s">
        <v>144</v>
      </c>
      <c r="J7">
        <f t="shared" si="0"/>
        <v>0.03</v>
      </c>
      <c r="K7">
        <f t="shared" si="1"/>
        <v>0.03</v>
      </c>
    </row>
    <row r="8" spans="1:11" x14ac:dyDescent="0.2">
      <c r="A8" t="s">
        <v>139</v>
      </c>
      <c r="B8">
        <v>4</v>
      </c>
      <c r="C8">
        <v>5</v>
      </c>
      <c r="D8">
        <v>11</v>
      </c>
      <c r="F8">
        <v>4.3</v>
      </c>
      <c r="H8" t="s">
        <v>600</v>
      </c>
    </row>
    <row r="9" spans="1:11" x14ac:dyDescent="0.2">
      <c r="A9" t="s">
        <v>139</v>
      </c>
      <c r="B9">
        <v>0</v>
      </c>
      <c r="C9">
        <v>9</v>
      </c>
      <c r="D9">
        <v>0</v>
      </c>
      <c r="F9">
        <v>0.45</v>
      </c>
      <c r="H9" t="s">
        <v>146</v>
      </c>
    </row>
    <row r="10" spans="1:11" x14ac:dyDescent="0.2">
      <c r="A10" t="s">
        <v>139</v>
      </c>
      <c r="B10">
        <v>0</v>
      </c>
      <c r="C10">
        <v>8</v>
      </c>
      <c r="D10">
        <v>0</v>
      </c>
      <c r="F10">
        <f>B10+C10/20+D10/240</f>
        <v>0.4</v>
      </c>
      <c r="H10" t="s">
        <v>485</v>
      </c>
    </row>
    <row r="11" spans="1:11" x14ac:dyDescent="0.2">
      <c r="A11" t="s">
        <v>139</v>
      </c>
      <c r="B11">
        <v>5</v>
      </c>
      <c r="C11">
        <v>18</v>
      </c>
      <c r="D11">
        <v>11.5</v>
      </c>
      <c r="F11">
        <v>5.95</v>
      </c>
      <c r="H11" t="s">
        <v>486</v>
      </c>
    </row>
    <row r="12" spans="1:11" x14ac:dyDescent="0.2">
      <c r="A12" t="s">
        <v>139</v>
      </c>
      <c r="F12">
        <f>SUM(F3:F10)</f>
        <v>5.95</v>
      </c>
      <c r="G12" s="46">
        <f>F12-F11</f>
        <v>0</v>
      </c>
      <c r="H12" t="s">
        <v>275</v>
      </c>
    </row>
    <row r="14" spans="1:11" x14ac:dyDescent="0.2">
      <c r="A14" t="s">
        <v>148</v>
      </c>
      <c r="B14">
        <v>2</v>
      </c>
      <c r="C14">
        <v>16</v>
      </c>
      <c r="D14">
        <v>4</v>
      </c>
      <c r="F14">
        <v>2.82</v>
      </c>
      <c r="H14" t="s">
        <v>280</v>
      </c>
    </row>
    <row r="15" spans="1:11" x14ac:dyDescent="0.2">
      <c r="A15" t="s">
        <v>148</v>
      </c>
      <c r="B15">
        <v>2</v>
      </c>
      <c r="C15">
        <v>16</v>
      </c>
      <c r="D15">
        <v>4</v>
      </c>
      <c r="F15">
        <v>2.82</v>
      </c>
      <c r="H15" t="s">
        <v>150</v>
      </c>
    </row>
    <row r="16" spans="1:11" x14ac:dyDescent="0.2">
      <c r="A16" t="s">
        <v>148</v>
      </c>
      <c r="F16">
        <v>2.82</v>
      </c>
      <c r="G16" s="46">
        <v>0</v>
      </c>
      <c r="H16" t="s">
        <v>275</v>
      </c>
    </row>
    <row r="18" spans="1:11" x14ac:dyDescent="0.2">
      <c r="A18" t="s">
        <v>151</v>
      </c>
      <c r="B18">
        <v>0</v>
      </c>
      <c r="C18">
        <v>2</v>
      </c>
      <c r="D18">
        <v>5</v>
      </c>
      <c r="F18" s="45">
        <v>0.12</v>
      </c>
      <c r="H18" t="s">
        <v>152</v>
      </c>
      <c r="J18" s="45">
        <f>F18</f>
        <v>0.12</v>
      </c>
      <c r="K18" s="45">
        <f>J18</f>
        <v>0.12</v>
      </c>
    </row>
    <row r="19" spans="1:11" x14ac:dyDescent="0.2">
      <c r="A19" t="s">
        <v>151</v>
      </c>
      <c r="B19">
        <v>0</v>
      </c>
      <c r="C19">
        <v>0</v>
      </c>
      <c r="D19">
        <v>8</v>
      </c>
      <c r="F19" s="45">
        <v>0.03</v>
      </c>
      <c r="H19" t="s">
        <v>153</v>
      </c>
      <c r="J19" s="45">
        <f t="shared" ref="J19:J28" si="2">F19</f>
        <v>0.03</v>
      </c>
      <c r="K19" s="45">
        <f t="shared" ref="K19:K28" si="3">J19</f>
        <v>0.03</v>
      </c>
    </row>
    <row r="20" spans="1:11" x14ac:dyDescent="0.2">
      <c r="A20" t="s">
        <v>151</v>
      </c>
      <c r="B20">
        <v>0</v>
      </c>
      <c r="C20">
        <v>0</v>
      </c>
      <c r="D20">
        <v>3.5</v>
      </c>
      <c r="F20" s="45">
        <v>0.01</v>
      </c>
      <c r="H20" t="s">
        <v>154</v>
      </c>
      <c r="J20" s="45">
        <f t="shared" si="2"/>
        <v>0.01</v>
      </c>
      <c r="K20" s="45">
        <f t="shared" si="3"/>
        <v>0.01</v>
      </c>
    </row>
    <row r="21" spans="1:11" x14ac:dyDescent="0.2">
      <c r="A21" t="s">
        <v>151</v>
      </c>
      <c r="B21">
        <v>0</v>
      </c>
      <c r="C21">
        <v>0</v>
      </c>
      <c r="D21">
        <v>8.25</v>
      </c>
      <c r="F21" s="45">
        <v>0.03</v>
      </c>
      <c r="H21" t="s">
        <v>155</v>
      </c>
      <c r="J21" s="45">
        <f t="shared" si="2"/>
        <v>0.03</v>
      </c>
      <c r="K21" s="45">
        <f t="shared" si="3"/>
        <v>0.03</v>
      </c>
    </row>
    <row r="22" spans="1:11" x14ac:dyDescent="0.2">
      <c r="A22" t="s">
        <v>151</v>
      </c>
      <c r="B22">
        <v>0</v>
      </c>
      <c r="C22">
        <v>0</v>
      </c>
      <c r="D22">
        <v>4.5</v>
      </c>
      <c r="F22" s="45">
        <v>0.02</v>
      </c>
      <c r="H22" t="s">
        <v>156</v>
      </c>
      <c r="J22" s="45">
        <f t="shared" si="2"/>
        <v>0.02</v>
      </c>
      <c r="K22" s="45">
        <f t="shared" si="3"/>
        <v>0.02</v>
      </c>
    </row>
    <row r="23" spans="1:11" x14ac:dyDescent="0.2">
      <c r="A23" t="s">
        <v>151</v>
      </c>
      <c r="B23">
        <v>0</v>
      </c>
      <c r="C23">
        <v>0</v>
      </c>
      <c r="D23">
        <v>3</v>
      </c>
      <c r="F23" s="45">
        <v>0.01</v>
      </c>
      <c r="H23" t="s">
        <v>157</v>
      </c>
      <c r="J23" s="45">
        <f t="shared" si="2"/>
        <v>0.01</v>
      </c>
      <c r="K23" s="45">
        <f t="shared" si="3"/>
        <v>0.01</v>
      </c>
    </row>
    <row r="24" spans="1:11" x14ac:dyDescent="0.2">
      <c r="A24" t="s">
        <v>151</v>
      </c>
      <c r="B24">
        <v>0</v>
      </c>
      <c r="C24">
        <v>0</v>
      </c>
      <c r="D24">
        <v>1.5</v>
      </c>
      <c r="F24" s="45">
        <v>0.01</v>
      </c>
      <c r="H24" t="s">
        <v>158</v>
      </c>
      <c r="J24" s="45">
        <f t="shared" si="2"/>
        <v>0.01</v>
      </c>
      <c r="K24" s="45">
        <f t="shared" si="3"/>
        <v>0.01</v>
      </c>
    </row>
    <row r="25" spans="1:11" x14ac:dyDescent="0.2">
      <c r="A25" t="s">
        <v>151</v>
      </c>
      <c r="B25">
        <v>0</v>
      </c>
      <c r="C25">
        <v>0</v>
      </c>
      <c r="D25">
        <v>2</v>
      </c>
      <c r="F25" s="45">
        <v>0.01</v>
      </c>
      <c r="H25" t="s">
        <v>159</v>
      </c>
      <c r="J25" s="45">
        <f t="shared" si="2"/>
        <v>0.01</v>
      </c>
      <c r="K25" s="45">
        <f t="shared" si="3"/>
        <v>0.01</v>
      </c>
    </row>
    <row r="26" spans="1:11" x14ac:dyDescent="0.2">
      <c r="A26" t="s">
        <v>151</v>
      </c>
      <c r="B26">
        <v>0</v>
      </c>
      <c r="C26">
        <v>0</v>
      </c>
      <c r="D26">
        <v>6</v>
      </c>
      <c r="F26" s="45">
        <v>0.03</v>
      </c>
      <c r="H26" t="s">
        <v>160</v>
      </c>
      <c r="J26" s="45">
        <f t="shared" si="2"/>
        <v>0.03</v>
      </c>
      <c r="K26" s="45">
        <f t="shared" si="3"/>
        <v>0.03</v>
      </c>
    </row>
    <row r="27" spans="1:11" x14ac:dyDescent="0.2">
      <c r="A27" t="s">
        <v>151</v>
      </c>
      <c r="B27">
        <v>0</v>
      </c>
      <c r="C27">
        <v>0</v>
      </c>
      <c r="D27">
        <v>2</v>
      </c>
      <c r="F27" s="45">
        <v>0.01</v>
      </c>
      <c r="H27" t="s">
        <v>161</v>
      </c>
      <c r="J27" s="45">
        <f t="shared" si="2"/>
        <v>0.01</v>
      </c>
      <c r="K27" s="45">
        <f t="shared" si="3"/>
        <v>0.01</v>
      </c>
    </row>
    <row r="28" spans="1:11" x14ac:dyDescent="0.2">
      <c r="A28" t="s">
        <v>151</v>
      </c>
      <c r="B28">
        <v>0</v>
      </c>
      <c r="C28">
        <v>2</v>
      </c>
      <c r="D28">
        <v>6</v>
      </c>
      <c r="F28" s="45">
        <v>0.12</v>
      </c>
      <c r="H28" t="s">
        <v>162</v>
      </c>
      <c r="J28" s="45">
        <f t="shared" si="2"/>
        <v>0.12</v>
      </c>
      <c r="K28" s="45">
        <f t="shared" si="3"/>
        <v>0.12</v>
      </c>
    </row>
    <row r="29" spans="1:11" x14ac:dyDescent="0.2">
      <c r="A29" t="s">
        <v>151</v>
      </c>
      <c r="B29">
        <v>0</v>
      </c>
      <c r="C29">
        <v>3</v>
      </c>
      <c r="D29">
        <v>0</v>
      </c>
      <c r="F29" s="45">
        <f>B29+C29/20+D29/240</f>
        <v>0.15</v>
      </c>
      <c r="H29" t="s">
        <v>487</v>
      </c>
    </row>
    <row r="30" spans="1:11" x14ac:dyDescent="0.2">
      <c r="A30" t="s">
        <v>151</v>
      </c>
      <c r="B30">
        <v>0</v>
      </c>
      <c r="C30">
        <v>10</v>
      </c>
      <c r="D30">
        <v>9.25</v>
      </c>
      <c r="F30" s="45">
        <f>B30+C30/20+D30/240</f>
        <v>0.5385416666666667</v>
      </c>
      <c r="H30" t="s">
        <v>488</v>
      </c>
    </row>
    <row r="31" spans="1:11" x14ac:dyDescent="0.2">
      <c r="A31" t="s">
        <v>151</v>
      </c>
      <c r="F31">
        <v>0.59000000000000008</v>
      </c>
      <c r="G31" s="46">
        <f>F31-F30</f>
        <v>5.1458333333333384E-2</v>
      </c>
      <c r="H31" t="s">
        <v>275</v>
      </c>
    </row>
    <row r="33" spans="1:11" x14ac:dyDescent="0.2">
      <c r="A33" t="s">
        <v>164</v>
      </c>
      <c r="B33">
        <v>0</v>
      </c>
      <c r="C33">
        <v>2</v>
      </c>
      <c r="D33">
        <v>4</v>
      </c>
      <c r="F33">
        <v>0.12</v>
      </c>
      <c r="H33" t="s">
        <v>165</v>
      </c>
      <c r="J33">
        <f>F33</f>
        <v>0.12</v>
      </c>
      <c r="K33">
        <f>J33</f>
        <v>0.12</v>
      </c>
    </row>
    <row r="34" spans="1:11" x14ac:dyDescent="0.2">
      <c r="A34" t="s">
        <v>164</v>
      </c>
      <c r="B34">
        <v>0</v>
      </c>
      <c r="C34">
        <v>1</v>
      </c>
      <c r="D34">
        <v>8.5</v>
      </c>
      <c r="F34">
        <v>0.09</v>
      </c>
      <c r="H34" t="s">
        <v>166</v>
      </c>
      <c r="J34">
        <f t="shared" ref="J34:J37" si="4">F34</f>
        <v>0.09</v>
      </c>
      <c r="K34">
        <f t="shared" ref="K34:K37" si="5">J34</f>
        <v>0.09</v>
      </c>
    </row>
    <row r="35" spans="1:11" x14ac:dyDescent="0.2">
      <c r="A35" t="s">
        <v>164</v>
      </c>
      <c r="B35">
        <v>0</v>
      </c>
      <c r="C35">
        <v>0</v>
      </c>
      <c r="D35">
        <v>4.5</v>
      </c>
      <c r="F35">
        <v>0.02</v>
      </c>
      <c r="H35" t="s">
        <v>167</v>
      </c>
      <c r="J35">
        <f t="shared" si="4"/>
        <v>0.02</v>
      </c>
      <c r="K35">
        <f t="shared" si="5"/>
        <v>0.02</v>
      </c>
    </row>
    <row r="36" spans="1:11" x14ac:dyDescent="0.2">
      <c r="A36" t="s">
        <v>164</v>
      </c>
      <c r="B36">
        <v>0</v>
      </c>
      <c r="C36">
        <v>0</v>
      </c>
      <c r="D36">
        <v>4.5</v>
      </c>
      <c r="F36">
        <v>0.02</v>
      </c>
      <c r="H36" t="s">
        <v>168</v>
      </c>
      <c r="J36">
        <f t="shared" si="4"/>
        <v>0.02</v>
      </c>
      <c r="K36">
        <f t="shared" si="5"/>
        <v>0.02</v>
      </c>
    </row>
    <row r="37" spans="1:11" x14ac:dyDescent="0.2">
      <c r="A37" t="s">
        <v>164</v>
      </c>
      <c r="B37">
        <v>0</v>
      </c>
      <c r="C37">
        <v>0</v>
      </c>
      <c r="D37">
        <v>10.5</v>
      </c>
      <c r="F37" s="45">
        <f>B37+C37/20+D37/240</f>
        <v>4.3749999999999997E-2</v>
      </c>
      <c r="H37" t="s">
        <v>489</v>
      </c>
      <c r="J37">
        <f t="shared" si="4"/>
        <v>4.3749999999999997E-2</v>
      </c>
      <c r="K37">
        <f t="shared" si="5"/>
        <v>4.3749999999999997E-2</v>
      </c>
    </row>
    <row r="38" spans="1:11" x14ac:dyDescent="0.2">
      <c r="A38" t="s">
        <v>164</v>
      </c>
      <c r="B38">
        <v>0</v>
      </c>
      <c r="C38">
        <v>5</v>
      </c>
      <c r="D38">
        <v>8</v>
      </c>
      <c r="F38" s="45">
        <f>B38+C38/20+D38/240</f>
        <v>0.28333333333333333</v>
      </c>
      <c r="H38" t="s">
        <v>490</v>
      </c>
    </row>
    <row r="39" spans="1:11" x14ac:dyDescent="0.2">
      <c r="A39" t="s">
        <v>164</v>
      </c>
      <c r="F39" s="45">
        <f>SUM(F33:F37)</f>
        <v>0.29374999999999996</v>
      </c>
      <c r="G39" s="46">
        <f>F39-F38</f>
        <v>1.041666666666663E-2</v>
      </c>
      <c r="H39" t="s">
        <v>275</v>
      </c>
    </row>
    <row r="41" spans="1:11" x14ac:dyDescent="0.2">
      <c r="A41" t="s">
        <v>170</v>
      </c>
      <c r="H41" t="s">
        <v>171</v>
      </c>
    </row>
    <row r="42" spans="1:11" x14ac:dyDescent="0.2">
      <c r="A42" t="s">
        <v>170</v>
      </c>
      <c r="B42">
        <v>1</v>
      </c>
      <c r="C42">
        <v>1</v>
      </c>
      <c r="D42">
        <v>8.25</v>
      </c>
      <c r="F42">
        <v>1.08</v>
      </c>
      <c r="H42" t="s">
        <v>281</v>
      </c>
    </row>
    <row r="43" spans="1:11" x14ac:dyDescent="0.2">
      <c r="A43" t="s">
        <v>170</v>
      </c>
      <c r="B43">
        <v>0</v>
      </c>
      <c r="C43">
        <v>1</v>
      </c>
      <c r="D43">
        <v>9.75</v>
      </c>
      <c r="F43">
        <v>0.09</v>
      </c>
      <c r="H43" t="s">
        <v>282</v>
      </c>
    </row>
    <row r="44" spans="1:11" x14ac:dyDescent="0.2">
      <c r="A44" t="s">
        <v>170</v>
      </c>
      <c r="B44">
        <v>0</v>
      </c>
      <c r="C44">
        <v>3</v>
      </c>
      <c r="D44">
        <v>2.5</v>
      </c>
      <c r="F44">
        <v>0.16</v>
      </c>
      <c r="H44" t="s">
        <v>283</v>
      </c>
    </row>
    <row r="45" spans="1:11" x14ac:dyDescent="0.2">
      <c r="A45" t="s">
        <v>170</v>
      </c>
      <c r="B45">
        <v>0</v>
      </c>
      <c r="C45">
        <v>0</v>
      </c>
      <c r="D45">
        <v>3.75</v>
      </c>
      <c r="F45">
        <v>0.02</v>
      </c>
      <c r="H45" t="s">
        <v>284</v>
      </c>
    </row>
    <row r="46" spans="1:11" x14ac:dyDescent="0.2">
      <c r="A46" t="s">
        <v>170</v>
      </c>
      <c r="B46">
        <v>1</v>
      </c>
      <c r="C46">
        <v>7</v>
      </c>
      <c r="D46">
        <v>0.25</v>
      </c>
      <c r="F46">
        <v>1.35</v>
      </c>
      <c r="H46" t="s">
        <v>179</v>
      </c>
    </row>
    <row r="47" spans="1:11" x14ac:dyDescent="0.2">
      <c r="A47" t="s">
        <v>170</v>
      </c>
      <c r="F47">
        <v>1.36</v>
      </c>
      <c r="G47" s="46">
        <v>1.0000000000000011E-2</v>
      </c>
      <c r="H47" t="s">
        <v>275</v>
      </c>
    </row>
    <row r="49" spans="1:8" x14ac:dyDescent="0.2">
      <c r="A49" t="s">
        <v>180</v>
      </c>
      <c r="B49">
        <v>0</v>
      </c>
      <c r="C49">
        <v>0</v>
      </c>
      <c r="D49">
        <v>5</v>
      </c>
      <c r="F49">
        <v>0.02</v>
      </c>
      <c r="H49" t="s">
        <v>181</v>
      </c>
    </row>
    <row r="50" spans="1:8" x14ac:dyDescent="0.2">
      <c r="A50" t="s">
        <v>180</v>
      </c>
      <c r="B50">
        <v>0</v>
      </c>
      <c r="C50">
        <v>3</v>
      </c>
      <c r="D50">
        <v>6.75</v>
      </c>
      <c r="F50">
        <v>0.18</v>
      </c>
      <c r="H50" t="s">
        <v>182</v>
      </c>
    </row>
    <row r="51" spans="1:8" x14ac:dyDescent="0.2">
      <c r="A51" t="s">
        <v>180</v>
      </c>
      <c r="B51">
        <v>0</v>
      </c>
      <c r="C51">
        <v>0</v>
      </c>
      <c r="D51">
        <v>3</v>
      </c>
      <c r="F51">
        <v>0.01</v>
      </c>
      <c r="H51" t="s">
        <v>183</v>
      </c>
    </row>
    <row r="52" spans="1:8" x14ac:dyDescent="0.2">
      <c r="A52" t="s">
        <v>180</v>
      </c>
      <c r="B52">
        <v>0</v>
      </c>
      <c r="C52">
        <v>0</v>
      </c>
      <c r="D52">
        <v>6</v>
      </c>
      <c r="F52" s="45">
        <f>B52+C52/20+D52/240</f>
        <v>2.5000000000000001E-2</v>
      </c>
      <c r="H52" t="s">
        <v>491</v>
      </c>
    </row>
    <row r="53" spans="1:8" x14ac:dyDescent="0.2">
      <c r="A53" t="s">
        <v>180</v>
      </c>
      <c r="B53">
        <v>0</v>
      </c>
      <c r="C53">
        <v>4</v>
      </c>
      <c r="D53">
        <v>8.25</v>
      </c>
      <c r="F53" s="45">
        <f>B53+C53/20+D53/240</f>
        <v>0.234375</v>
      </c>
      <c r="H53" t="s">
        <v>492</v>
      </c>
    </row>
    <row r="54" spans="1:8" x14ac:dyDescent="0.2">
      <c r="A54" t="s">
        <v>180</v>
      </c>
      <c r="F54" s="45">
        <f>SUM(F49:F52)</f>
        <v>0.23499999999999999</v>
      </c>
      <c r="G54" s="46">
        <f>F54-F53</f>
        <v>6.2499999999998668E-4</v>
      </c>
      <c r="H54" t="s">
        <v>275</v>
      </c>
    </row>
    <row r="56" spans="1:8" x14ac:dyDescent="0.2">
      <c r="A56" t="s">
        <v>185</v>
      </c>
      <c r="B56">
        <v>0</v>
      </c>
      <c r="C56">
        <v>2</v>
      </c>
      <c r="D56">
        <v>4</v>
      </c>
      <c r="F56">
        <v>0.12</v>
      </c>
      <c r="H56" t="s">
        <v>186</v>
      </c>
    </row>
    <row r="57" spans="1:8" x14ac:dyDescent="0.2">
      <c r="A57" t="s">
        <v>185</v>
      </c>
      <c r="B57">
        <v>0</v>
      </c>
      <c r="C57">
        <v>6</v>
      </c>
      <c r="D57">
        <v>0</v>
      </c>
      <c r="F57">
        <v>0.3</v>
      </c>
      <c r="H57" t="s">
        <v>187</v>
      </c>
    </row>
    <row r="58" spans="1:8" x14ac:dyDescent="0.2">
      <c r="A58" t="s">
        <v>185</v>
      </c>
      <c r="B58">
        <v>0</v>
      </c>
      <c r="C58">
        <v>9</v>
      </c>
      <c r="D58">
        <v>10</v>
      </c>
      <c r="F58">
        <v>0.49</v>
      </c>
      <c r="H58" t="s">
        <v>188</v>
      </c>
    </row>
    <row r="59" spans="1:8" x14ac:dyDescent="0.2">
      <c r="A59" t="s">
        <v>185</v>
      </c>
      <c r="B59">
        <v>0</v>
      </c>
      <c r="C59">
        <v>1</v>
      </c>
      <c r="D59">
        <v>3</v>
      </c>
      <c r="F59">
        <v>0.06</v>
      </c>
      <c r="H59" t="s">
        <v>189</v>
      </c>
    </row>
    <row r="60" spans="1:8" x14ac:dyDescent="0.2">
      <c r="A60" t="s">
        <v>185</v>
      </c>
      <c r="B60">
        <v>0</v>
      </c>
      <c r="C60">
        <v>0</v>
      </c>
      <c r="D60">
        <v>3</v>
      </c>
      <c r="F60">
        <v>0.01</v>
      </c>
      <c r="H60" t="s">
        <v>190</v>
      </c>
    </row>
    <row r="61" spans="1:8" x14ac:dyDescent="0.2">
      <c r="A61" t="s">
        <v>185</v>
      </c>
      <c r="B61">
        <v>1</v>
      </c>
      <c r="C61">
        <v>11</v>
      </c>
      <c r="D61">
        <v>10</v>
      </c>
      <c r="F61">
        <v>1.59</v>
      </c>
      <c r="H61" t="s">
        <v>191</v>
      </c>
    </row>
    <row r="62" spans="1:8" x14ac:dyDescent="0.2">
      <c r="A62" t="s">
        <v>185</v>
      </c>
      <c r="B62">
        <v>0</v>
      </c>
      <c r="C62">
        <v>5</v>
      </c>
      <c r="D62">
        <v>0</v>
      </c>
      <c r="F62">
        <f>B62+C62/20+D62/240</f>
        <v>0.25</v>
      </c>
      <c r="H62" t="s">
        <v>493</v>
      </c>
    </row>
    <row r="63" spans="1:8" x14ac:dyDescent="0.2">
      <c r="A63" t="s">
        <v>185</v>
      </c>
      <c r="B63">
        <v>0</v>
      </c>
      <c r="C63">
        <v>3</v>
      </c>
      <c r="D63">
        <v>0</v>
      </c>
      <c r="F63">
        <v>0.15</v>
      </c>
      <c r="H63" t="s">
        <v>193</v>
      </c>
    </row>
    <row r="64" spans="1:8" x14ac:dyDescent="0.2">
      <c r="A64" t="s">
        <v>185</v>
      </c>
      <c r="B64">
        <v>0</v>
      </c>
      <c r="C64">
        <v>3</v>
      </c>
      <c r="D64">
        <v>0</v>
      </c>
      <c r="F64">
        <f>B64+C64/20+D64/240</f>
        <v>0.15</v>
      </c>
      <c r="H64" t="s">
        <v>494</v>
      </c>
    </row>
    <row r="65" spans="1:11" x14ac:dyDescent="0.2">
      <c r="A65" t="s">
        <v>185</v>
      </c>
      <c r="B65">
        <v>3</v>
      </c>
      <c r="C65">
        <v>2</v>
      </c>
      <c r="D65">
        <v>6</v>
      </c>
      <c r="F65">
        <v>3.12</v>
      </c>
      <c r="H65" t="s">
        <v>495</v>
      </c>
    </row>
    <row r="66" spans="1:11" x14ac:dyDescent="0.2">
      <c r="A66" t="s">
        <v>185</v>
      </c>
      <c r="F66">
        <f>SUM(F56:F64)</f>
        <v>3.12</v>
      </c>
      <c r="G66" s="46">
        <f>F66-F65</f>
        <v>0</v>
      </c>
      <c r="H66" t="s">
        <v>275</v>
      </c>
    </row>
    <row r="69" spans="1:11" x14ac:dyDescent="0.2">
      <c r="A69" t="s">
        <v>195</v>
      </c>
      <c r="B69">
        <v>0</v>
      </c>
      <c r="C69">
        <v>1</v>
      </c>
      <c r="D69">
        <v>4</v>
      </c>
      <c r="F69">
        <v>7.0000000000000007E-2</v>
      </c>
      <c r="H69" t="s">
        <v>196</v>
      </c>
    </row>
    <row r="70" spans="1:11" x14ac:dyDescent="0.2">
      <c r="A70" t="s">
        <v>195</v>
      </c>
      <c r="B70">
        <v>0</v>
      </c>
      <c r="C70">
        <v>2</v>
      </c>
      <c r="D70">
        <v>4</v>
      </c>
      <c r="F70" s="45">
        <v>0.12</v>
      </c>
      <c r="H70" t="s">
        <v>197</v>
      </c>
      <c r="J70" s="45">
        <f>F70</f>
        <v>0.12</v>
      </c>
      <c r="K70" s="45">
        <f>F70</f>
        <v>0.12</v>
      </c>
    </row>
    <row r="71" spans="1:11" x14ac:dyDescent="0.2">
      <c r="A71" t="s">
        <v>195</v>
      </c>
      <c r="B71">
        <v>0</v>
      </c>
      <c r="C71">
        <v>2</v>
      </c>
      <c r="D71">
        <v>2</v>
      </c>
      <c r="F71" s="45">
        <v>0.11</v>
      </c>
      <c r="H71" t="s">
        <v>496</v>
      </c>
      <c r="J71" s="45">
        <f>F71</f>
        <v>0.11</v>
      </c>
      <c r="K71" s="45">
        <f>F71</f>
        <v>0.11</v>
      </c>
    </row>
    <row r="72" spans="1:11" x14ac:dyDescent="0.2">
      <c r="A72" t="s">
        <v>195</v>
      </c>
      <c r="B72">
        <v>0</v>
      </c>
      <c r="C72">
        <v>5</v>
      </c>
      <c r="D72">
        <v>10</v>
      </c>
      <c r="F72" s="45">
        <f>B72+C72/20+D72/240</f>
        <v>0.29166666666666669</v>
      </c>
      <c r="H72" t="s">
        <v>497</v>
      </c>
    </row>
    <row r="73" spans="1:11" x14ac:dyDescent="0.2">
      <c r="A73" t="s">
        <v>195</v>
      </c>
      <c r="F73" s="45">
        <v>0.3</v>
      </c>
      <c r="G73" s="46">
        <f>F73-F72</f>
        <v>8.3333333333333037E-3</v>
      </c>
      <c r="H73" t="s">
        <v>275</v>
      </c>
    </row>
    <row r="76" spans="1:11" x14ac:dyDescent="0.2">
      <c r="A76" t="s">
        <v>199</v>
      </c>
      <c r="B76">
        <v>14</v>
      </c>
      <c r="C76">
        <v>11</v>
      </c>
      <c r="D76">
        <v>9.25</v>
      </c>
      <c r="F76">
        <v>14.59</v>
      </c>
      <c r="H76" t="s">
        <v>200</v>
      </c>
    </row>
    <row r="77" spans="1:11" x14ac:dyDescent="0.2">
      <c r="A77" t="s">
        <v>199</v>
      </c>
      <c r="F77">
        <f>F76</f>
        <v>14.59</v>
      </c>
      <c r="G77" s="46">
        <f>F77-F76</f>
        <v>0</v>
      </c>
      <c r="H77" t="s">
        <v>275</v>
      </c>
    </row>
    <row r="80" spans="1:11" x14ac:dyDescent="0.2">
      <c r="A80" t="s">
        <v>201</v>
      </c>
      <c r="B80">
        <v>40</v>
      </c>
      <c r="C80">
        <v>7</v>
      </c>
      <c r="D80">
        <v>6.5</v>
      </c>
      <c r="F80">
        <v>40.380000000000003</v>
      </c>
      <c r="H80" t="s">
        <v>202</v>
      </c>
    </row>
    <row r="81" spans="1:8" x14ac:dyDescent="0.2">
      <c r="A81" t="s">
        <v>201</v>
      </c>
      <c r="F81">
        <v>40.380000000000003</v>
      </c>
      <c r="G81" s="46">
        <v>0</v>
      </c>
      <c r="H81" t="s">
        <v>275</v>
      </c>
    </row>
    <row r="83" spans="1:8" x14ac:dyDescent="0.2">
      <c r="A83" t="s">
        <v>203</v>
      </c>
      <c r="B83">
        <v>23</v>
      </c>
      <c r="C83">
        <v>10</v>
      </c>
      <c r="D83">
        <v>0</v>
      </c>
      <c r="F83">
        <v>23.5</v>
      </c>
      <c r="H83" t="s">
        <v>204</v>
      </c>
    </row>
    <row r="85" spans="1:8" x14ac:dyDescent="0.2">
      <c r="A85" t="s">
        <v>205</v>
      </c>
      <c r="B85">
        <v>16</v>
      </c>
      <c r="C85">
        <v>17</v>
      </c>
      <c r="D85">
        <v>6.5</v>
      </c>
      <c r="F85">
        <v>16.88</v>
      </c>
      <c r="H85" t="s">
        <v>206</v>
      </c>
    </row>
    <row r="88" spans="1:8" ht="16" x14ac:dyDescent="0.2">
      <c r="A88" s="10" t="s">
        <v>378</v>
      </c>
      <c r="F88">
        <f>F76</f>
        <v>14.59</v>
      </c>
    </row>
    <row r="89" spans="1:8" ht="16" x14ac:dyDescent="0.2">
      <c r="A89" s="10" t="s">
        <v>379</v>
      </c>
      <c r="F89" s="45">
        <f>F73+F66+F54+F47+F39+F31+F16+F12</f>
        <v>14.668749999999999</v>
      </c>
      <c r="G89" s="46">
        <f>F89-F88</f>
        <v>7.8749999999999432E-2</v>
      </c>
    </row>
    <row r="90" spans="1:8" ht="16" x14ac:dyDescent="0.2">
      <c r="A90" s="10" t="s">
        <v>380</v>
      </c>
      <c r="F90" s="45">
        <f>SUM(J3:J73)</f>
        <v>1.7237500000000006</v>
      </c>
    </row>
    <row r="91" spans="1:8" ht="16" x14ac:dyDescent="0.2">
      <c r="A91" s="10" t="s">
        <v>381</v>
      </c>
      <c r="F91" s="45">
        <f>SUM(K3:K72)</f>
        <v>1.7237500000000006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17"/>
  <sheetViews>
    <sheetView workbookViewId="0">
      <pane xSplit="1" ySplit="1" topLeftCell="I2" activePane="bottomRight" state="frozen"/>
      <selection pane="topRight" activeCell="B1" sqref="B1"/>
      <selection pane="bottomLeft" activeCell="A2" sqref="A2"/>
      <selection pane="bottomRight" activeCell="K20" sqref="K20"/>
    </sheetView>
  </sheetViews>
  <sheetFormatPr baseColWidth="10" defaultColWidth="8.83203125" defaultRowHeight="15" x14ac:dyDescent="0.2"/>
  <cols>
    <col min="1" max="1" width="30" bestFit="1" customWidth="1"/>
    <col min="2" max="2" width="12.1640625" bestFit="1" customWidth="1"/>
    <col min="3" max="3" width="19.1640625" bestFit="1" customWidth="1"/>
    <col min="4" max="4" width="20" bestFit="1" customWidth="1"/>
    <col min="5" max="5" width="21.5" bestFit="1" customWidth="1"/>
    <col min="6" max="6" width="15.83203125" bestFit="1" customWidth="1"/>
    <col min="7" max="7" width="22.33203125" customWidth="1"/>
    <col min="8" max="8" width="16.5" customWidth="1"/>
    <col min="9" max="9" width="21.5" customWidth="1"/>
    <col min="10" max="10" width="13.83203125" customWidth="1"/>
    <col min="11" max="11" width="14.5" customWidth="1"/>
    <col min="12" max="12" width="21" customWidth="1"/>
    <col min="13" max="13" width="17" customWidth="1"/>
    <col min="15" max="15" width="13" customWidth="1"/>
    <col min="16" max="16" width="16.33203125" customWidth="1"/>
  </cols>
  <sheetData>
    <row r="1" spans="1:17" s="65" customFormat="1" ht="32" x14ac:dyDescent="0.2">
      <c r="A1" s="31" t="s">
        <v>322</v>
      </c>
      <c r="B1" s="31" t="s">
        <v>570</v>
      </c>
      <c r="C1" s="31" t="s">
        <v>314</v>
      </c>
      <c r="D1" s="31" t="s">
        <v>302</v>
      </c>
      <c r="E1" s="31" t="s">
        <v>589</v>
      </c>
      <c r="F1" s="31" t="s">
        <v>311</v>
      </c>
      <c r="G1" s="63" t="s">
        <v>323</v>
      </c>
      <c r="H1" s="63" t="s">
        <v>324</v>
      </c>
      <c r="I1" s="64" t="s">
        <v>326</v>
      </c>
    </row>
    <row r="2" spans="1:17" x14ac:dyDescent="0.2">
      <c r="A2" t="s">
        <v>78</v>
      </c>
      <c r="B2">
        <f>118+2/8</f>
        <v>118.25</v>
      </c>
      <c r="C2">
        <v>118.25</v>
      </c>
      <c r="D2">
        <v>0</v>
      </c>
      <c r="F2">
        <v>84</v>
      </c>
      <c r="G2">
        <f>B2-F2</f>
        <v>34.25</v>
      </c>
      <c r="H2" s="45">
        <v>0.3</v>
      </c>
      <c r="I2">
        <f>H2*B2</f>
        <v>35.475000000000001</v>
      </c>
    </row>
    <row r="3" spans="1:17" x14ac:dyDescent="0.2">
      <c r="A3" t="s">
        <v>590</v>
      </c>
      <c r="B3">
        <f>C3+D3+E3</f>
        <v>33.25</v>
      </c>
      <c r="C3">
        <f>4.75</f>
        <v>4.75</v>
      </c>
      <c r="D3">
        <v>20.5</v>
      </c>
      <c r="E3">
        <f>6.5+1.5</f>
        <v>8</v>
      </c>
      <c r="F3">
        <v>3.375</v>
      </c>
      <c r="G3">
        <f t="shared" ref="G3:G5" si="0">B3-F3</f>
        <v>29.875</v>
      </c>
      <c r="H3" s="45">
        <v>0.1166666666666667</v>
      </c>
      <c r="I3">
        <f t="shared" ref="I3:I5" si="1">H3*B3</f>
        <v>3.8791666666666678</v>
      </c>
    </row>
    <row r="4" spans="1:17" x14ac:dyDescent="0.2">
      <c r="A4" t="s">
        <v>89</v>
      </c>
      <c r="B4">
        <v>74.625</v>
      </c>
      <c r="C4">
        <v>61.625</v>
      </c>
      <c r="D4">
        <v>0</v>
      </c>
      <c r="F4">
        <v>12</v>
      </c>
      <c r="G4">
        <f t="shared" si="0"/>
        <v>62.625</v>
      </c>
      <c r="H4" s="45">
        <v>0.15</v>
      </c>
      <c r="I4">
        <f t="shared" si="1"/>
        <v>11.19375</v>
      </c>
    </row>
    <row r="5" spans="1:17" x14ac:dyDescent="0.2">
      <c r="A5" t="s">
        <v>178</v>
      </c>
      <c r="B5">
        <v>2.25</v>
      </c>
      <c r="C5">
        <v>2.25</v>
      </c>
      <c r="D5">
        <v>0</v>
      </c>
      <c r="F5">
        <v>0</v>
      </c>
      <c r="G5">
        <f t="shared" si="0"/>
        <v>2.25</v>
      </c>
      <c r="H5" s="45">
        <v>0.1166666666666667</v>
      </c>
      <c r="I5">
        <f t="shared" si="1"/>
        <v>0.26250000000000007</v>
      </c>
    </row>
    <row r="7" spans="1:17" x14ac:dyDescent="0.2">
      <c r="A7" s="70" t="s">
        <v>587</v>
      </c>
      <c r="B7" s="70">
        <f>SUM(B2:B5)</f>
        <v>228.375</v>
      </c>
    </row>
    <row r="8" spans="1:17" x14ac:dyDescent="0.2">
      <c r="A8" s="70" t="s">
        <v>588</v>
      </c>
      <c r="B8" s="70"/>
    </row>
    <row r="11" spans="1:17" ht="48" x14ac:dyDescent="0.2">
      <c r="A11" s="65" t="s">
        <v>571</v>
      </c>
      <c r="B11" s="66" t="s">
        <v>572</v>
      </c>
      <c r="C11" s="67" t="s">
        <v>573</v>
      </c>
      <c r="D11" s="67" t="s">
        <v>574</v>
      </c>
      <c r="E11" s="67" t="s">
        <v>575</v>
      </c>
      <c r="F11" s="65" t="s">
        <v>576</v>
      </c>
      <c r="G11" s="67" t="s">
        <v>577</v>
      </c>
      <c r="H11" s="67" t="s">
        <v>578</v>
      </c>
      <c r="I11" s="67" t="s">
        <v>579</v>
      </c>
      <c r="J11" s="67" t="s">
        <v>580</v>
      </c>
      <c r="K11" s="68" t="s">
        <v>581</v>
      </c>
      <c r="L11" s="67" t="s">
        <v>582</v>
      </c>
      <c r="M11" s="67" t="s">
        <v>583</v>
      </c>
      <c r="N11" s="69" t="s">
        <v>584</v>
      </c>
      <c r="O11" s="69" t="s">
        <v>585</v>
      </c>
      <c r="P11" s="66" t="s">
        <v>586</v>
      </c>
    </row>
    <row r="12" spans="1:17" x14ac:dyDescent="0.2">
      <c r="A12" t="s">
        <v>78</v>
      </c>
      <c r="B12">
        <f>B2</f>
        <v>118.25</v>
      </c>
      <c r="C12">
        <v>23.5</v>
      </c>
      <c r="D12">
        <v>1</v>
      </c>
      <c r="E12">
        <f>C12+D12/8</f>
        <v>23.625</v>
      </c>
      <c r="I12">
        <f>4+1+3</f>
        <v>8</v>
      </c>
      <c r="J12">
        <f>2</f>
        <v>2</v>
      </c>
      <c r="K12" s="72">
        <f>I12+J12/8</f>
        <v>8.25</v>
      </c>
      <c r="L12">
        <f>B12-E12-H12-K12</f>
        <v>86.375</v>
      </c>
      <c r="N12" s="45">
        <f>H2</f>
        <v>0.3</v>
      </c>
      <c r="O12">
        <f>N12*L12</f>
        <v>25.912499999999998</v>
      </c>
    </row>
    <row r="13" spans="1:17" x14ac:dyDescent="0.2">
      <c r="A13" t="s">
        <v>590</v>
      </c>
      <c r="B13">
        <f t="shared" ref="B13:B15" si="2">B3</f>
        <v>33.25</v>
      </c>
      <c r="C13">
        <f>1+3</f>
        <v>4</v>
      </c>
      <c r="D13">
        <f>2</f>
        <v>2</v>
      </c>
      <c r="E13">
        <f t="shared" ref="E13:E15" si="3">C13+D13/8</f>
        <v>4.25</v>
      </c>
      <c r="I13">
        <f>3+26</f>
        <v>29</v>
      </c>
      <c r="J13">
        <f>2</f>
        <v>2</v>
      </c>
      <c r="K13" s="72">
        <f t="shared" ref="K13:K15" si="4">I13+J13/8</f>
        <v>29.25</v>
      </c>
      <c r="L13">
        <f t="shared" ref="L13:L15" si="5">B13-E13-H13-K13</f>
        <v>-0.25</v>
      </c>
      <c r="N13" s="45">
        <f t="shared" ref="N13:N15" si="6">H3</f>
        <v>0.1166666666666667</v>
      </c>
      <c r="Q13" s="38" t="s">
        <v>591</v>
      </c>
    </row>
    <row r="14" spans="1:17" x14ac:dyDescent="0.2">
      <c r="A14" t="s">
        <v>89</v>
      </c>
      <c r="B14">
        <f t="shared" si="2"/>
        <v>74.625</v>
      </c>
      <c r="C14">
        <v>40.5</v>
      </c>
      <c r="D14">
        <v>2</v>
      </c>
      <c r="E14">
        <f t="shared" si="3"/>
        <v>40.75</v>
      </c>
      <c r="I14">
        <f>7.5+1+13</f>
        <v>21.5</v>
      </c>
      <c r="J14">
        <f>3</f>
        <v>3</v>
      </c>
      <c r="K14" s="72">
        <f t="shared" si="4"/>
        <v>21.875</v>
      </c>
      <c r="L14">
        <f t="shared" si="5"/>
        <v>12</v>
      </c>
      <c r="N14" s="45">
        <f t="shared" si="6"/>
        <v>0.15</v>
      </c>
      <c r="O14">
        <f t="shared" ref="O14:O15" si="7">N14*L14</f>
        <v>1.7999999999999998</v>
      </c>
    </row>
    <row r="15" spans="1:17" x14ac:dyDescent="0.2">
      <c r="A15" t="s">
        <v>178</v>
      </c>
      <c r="B15">
        <f t="shared" si="2"/>
        <v>2.25</v>
      </c>
      <c r="D15">
        <v>6</v>
      </c>
      <c r="E15">
        <f t="shared" si="3"/>
        <v>0.75</v>
      </c>
      <c r="I15">
        <v>1.5</v>
      </c>
      <c r="K15" s="72">
        <f t="shared" si="4"/>
        <v>1.5</v>
      </c>
      <c r="L15">
        <f t="shared" si="5"/>
        <v>0</v>
      </c>
      <c r="N15" s="45">
        <f t="shared" si="6"/>
        <v>0.1166666666666667</v>
      </c>
      <c r="O15">
        <f t="shared" si="7"/>
        <v>0</v>
      </c>
    </row>
    <row r="17" spans="1:1" x14ac:dyDescent="0.2">
      <c r="A17" s="71" t="s">
        <v>275</v>
      </c>
    </row>
  </sheetData>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8"/>
  <sheetViews>
    <sheetView workbookViewId="0">
      <pane xSplit="1" ySplit="4" topLeftCell="B75" activePane="bottomRight" state="frozen"/>
      <selection pane="topRight" activeCell="B1" sqref="B1"/>
      <selection pane="bottomLeft" activeCell="A5" sqref="A5"/>
      <selection pane="bottomRight" activeCell="T72" sqref="T72"/>
    </sheetView>
  </sheetViews>
  <sheetFormatPr baseColWidth="10" defaultColWidth="8.83203125" defaultRowHeight="15" x14ac:dyDescent="0.2"/>
  <cols>
    <col min="1" max="1" width="44.33203125" bestFit="1" customWidth="1"/>
    <col min="2" max="2" width="8.5" bestFit="1" customWidth="1"/>
    <col min="6" max="6" width="9.83203125" customWidth="1"/>
    <col min="7" max="7" width="16.6640625" bestFit="1" customWidth="1"/>
    <col min="10" max="10" width="12.5" customWidth="1"/>
    <col min="11" max="11" width="12.33203125" customWidth="1"/>
    <col min="14" max="14" width="11" customWidth="1"/>
    <col min="16" max="16" width="13.33203125" customWidth="1"/>
    <col min="17" max="17" width="13.83203125" customWidth="1"/>
    <col min="19" max="19" width="13" customWidth="1"/>
    <col min="20" max="20" width="15.1640625" customWidth="1"/>
  </cols>
  <sheetData>
    <row r="1" spans="1:21" ht="16" x14ac:dyDescent="0.2">
      <c r="A1" s="10" t="s">
        <v>569</v>
      </c>
      <c r="B1" s="31"/>
      <c r="C1" s="31"/>
      <c r="D1" s="31"/>
      <c r="E1" s="31"/>
      <c r="F1" s="31"/>
      <c r="G1" s="31"/>
      <c r="H1" s="31"/>
      <c r="I1" s="31"/>
    </row>
    <row r="2" spans="1:21" ht="16" x14ac:dyDescent="0.2">
      <c r="A2" s="10"/>
    </row>
    <row r="3" spans="1:21" ht="17" customHeight="1" x14ac:dyDescent="0.2">
      <c r="A3" s="47"/>
      <c r="B3" s="47"/>
      <c r="C3" s="74" t="s">
        <v>285</v>
      </c>
      <c r="D3" s="74"/>
      <c r="E3" s="74"/>
      <c r="F3" s="74"/>
      <c r="G3" s="75" t="s">
        <v>550</v>
      </c>
      <c r="H3" s="74"/>
      <c r="I3" s="74"/>
      <c r="J3" s="74"/>
      <c r="K3" s="47"/>
      <c r="L3" s="47"/>
      <c r="M3" s="47"/>
      <c r="N3" s="47"/>
      <c r="O3" s="47"/>
      <c r="P3" s="58"/>
      <c r="Q3" s="47"/>
      <c r="R3" s="47"/>
      <c r="S3" s="47"/>
      <c r="T3" s="47"/>
    </row>
    <row r="4" spans="1:21" s="53" customFormat="1" ht="51" x14ac:dyDescent="0.2">
      <c r="A4" s="60" t="s">
        <v>401</v>
      </c>
      <c r="B4" s="60" t="s">
        <v>551</v>
      </c>
      <c r="C4" s="60" t="s">
        <v>285</v>
      </c>
      <c r="D4" s="61" t="s">
        <v>552</v>
      </c>
      <c r="E4" s="61" t="s">
        <v>553</v>
      </c>
      <c r="F4" s="61" t="s">
        <v>554</v>
      </c>
      <c r="G4" s="61" t="s">
        <v>555</v>
      </c>
      <c r="H4" s="60" t="s">
        <v>286</v>
      </c>
      <c r="I4" s="60" t="s">
        <v>556</v>
      </c>
      <c r="J4" s="60" t="s">
        <v>557</v>
      </c>
      <c r="K4" s="60" t="s">
        <v>558</v>
      </c>
      <c r="L4" s="60" t="s">
        <v>559</v>
      </c>
      <c r="M4" s="60" t="s">
        <v>560</v>
      </c>
      <c r="N4" s="60" t="s">
        <v>561</v>
      </c>
      <c r="O4" s="60" t="s">
        <v>562</v>
      </c>
      <c r="P4" s="62" t="s">
        <v>563</v>
      </c>
      <c r="Q4" s="60" t="s">
        <v>564</v>
      </c>
      <c r="R4" s="60" t="s">
        <v>565</v>
      </c>
      <c r="S4" s="60" t="s">
        <v>566</v>
      </c>
      <c r="T4" s="59" t="s">
        <v>567</v>
      </c>
      <c r="U4" s="60" t="s">
        <v>568</v>
      </c>
    </row>
    <row r="5" spans="1:21" ht="16" x14ac:dyDescent="0.2">
      <c r="A5" s="47" t="s">
        <v>287</v>
      </c>
      <c r="B5">
        <v>2</v>
      </c>
      <c r="K5">
        <v>2</v>
      </c>
      <c r="L5">
        <f>B5+C5+D5+E5+F5-G5-H5-I5-J5</f>
        <v>2</v>
      </c>
      <c r="M5">
        <f>K5-B5</f>
        <v>0</v>
      </c>
    </row>
    <row r="6" spans="1:21" ht="16" x14ac:dyDescent="0.2">
      <c r="A6" s="47" t="s">
        <v>402</v>
      </c>
      <c r="L6">
        <f t="shared" ref="L6:L8" si="0">B6+C6+D6+E6+F6-G6-H6-I6-J6</f>
        <v>0</v>
      </c>
      <c r="M6">
        <f t="shared" ref="M6:M8" si="1">K6-B6</f>
        <v>0</v>
      </c>
    </row>
    <row r="7" spans="1:21" x14ac:dyDescent="0.2">
      <c r="A7" t="s">
        <v>403</v>
      </c>
      <c r="L7">
        <f t="shared" si="0"/>
        <v>0</v>
      </c>
      <c r="M7">
        <f t="shared" si="1"/>
        <v>0</v>
      </c>
    </row>
    <row r="8" spans="1:21" x14ac:dyDescent="0.2">
      <c r="A8" t="s">
        <v>498</v>
      </c>
      <c r="L8">
        <f t="shared" si="0"/>
        <v>0</v>
      </c>
      <c r="M8">
        <f t="shared" si="1"/>
        <v>0</v>
      </c>
    </row>
    <row r="9" spans="1:21" x14ac:dyDescent="0.2">
      <c r="A9" t="s">
        <v>404</v>
      </c>
      <c r="L9">
        <f t="shared" ref="L9:L28" si="2">B9+C9+D9+E9+F9-G9-H9-I9-J9</f>
        <v>0</v>
      </c>
      <c r="M9">
        <f t="shared" ref="M9:M28" si="3">K9-B9</f>
        <v>0</v>
      </c>
    </row>
    <row r="10" spans="1:21" x14ac:dyDescent="0.2">
      <c r="A10" t="s">
        <v>405</v>
      </c>
      <c r="L10">
        <f t="shared" si="2"/>
        <v>0</v>
      </c>
      <c r="M10">
        <f t="shared" si="3"/>
        <v>0</v>
      </c>
    </row>
    <row r="11" spans="1:21" x14ac:dyDescent="0.2">
      <c r="A11" t="s">
        <v>406</v>
      </c>
      <c r="L11">
        <f t="shared" si="2"/>
        <v>0</v>
      </c>
      <c r="M11">
        <f t="shared" si="3"/>
        <v>0</v>
      </c>
    </row>
    <row r="12" spans="1:21" x14ac:dyDescent="0.2">
      <c r="A12" t="s">
        <v>288</v>
      </c>
      <c r="B12">
        <v>34</v>
      </c>
      <c r="C12">
        <v>8</v>
      </c>
      <c r="H12">
        <v>3</v>
      </c>
      <c r="I12">
        <v>1</v>
      </c>
      <c r="J12">
        <v>1</v>
      </c>
      <c r="K12">
        <v>37</v>
      </c>
      <c r="L12">
        <f>B12+C12+D12+E12+F12-G12-H12-I12-J12</f>
        <v>37</v>
      </c>
      <c r="M12">
        <f t="shared" si="3"/>
        <v>3</v>
      </c>
      <c r="O12">
        <f>R12/H12</f>
        <v>0.5</v>
      </c>
      <c r="R12">
        <f>Receipts!F43</f>
        <v>1.5</v>
      </c>
      <c r="S12">
        <f>O12*M12</f>
        <v>1.5</v>
      </c>
      <c r="U12" t="s">
        <v>592</v>
      </c>
    </row>
    <row r="13" spans="1:21" x14ac:dyDescent="0.2">
      <c r="A13" t="s">
        <v>407</v>
      </c>
      <c r="L13">
        <f t="shared" si="2"/>
        <v>0</v>
      </c>
      <c r="M13">
        <f t="shared" si="3"/>
        <v>0</v>
      </c>
      <c r="S13">
        <f t="shared" ref="S13:S28" si="4">O13*M13</f>
        <v>0</v>
      </c>
    </row>
    <row r="14" spans="1:21" x14ac:dyDescent="0.2">
      <c r="A14" t="s">
        <v>289</v>
      </c>
      <c r="C14">
        <v>1</v>
      </c>
      <c r="H14">
        <v>1</v>
      </c>
      <c r="K14">
        <v>0</v>
      </c>
      <c r="L14">
        <f t="shared" si="2"/>
        <v>0</v>
      </c>
      <c r="M14">
        <f t="shared" si="3"/>
        <v>0</v>
      </c>
      <c r="O14">
        <f t="shared" ref="O14:O43" si="5">R14/H14</f>
        <v>0.3</v>
      </c>
      <c r="R14">
        <f>Receipts!F45</f>
        <v>0.3</v>
      </c>
      <c r="S14">
        <f t="shared" si="4"/>
        <v>0</v>
      </c>
    </row>
    <row r="15" spans="1:21" x14ac:dyDescent="0.2">
      <c r="A15" t="s">
        <v>408</v>
      </c>
      <c r="L15">
        <f t="shared" si="2"/>
        <v>0</v>
      </c>
      <c r="M15">
        <f t="shared" si="3"/>
        <v>0</v>
      </c>
      <c r="S15">
        <f t="shared" si="4"/>
        <v>0</v>
      </c>
    </row>
    <row r="16" spans="1:21" x14ac:dyDescent="0.2">
      <c r="A16" t="s">
        <v>290</v>
      </c>
      <c r="B16">
        <v>1</v>
      </c>
      <c r="H16">
        <v>1</v>
      </c>
      <c r="K16">
        <v>0</v>
      </c>
      <c r="L16">
        <f t="shared" si="2"/>
        <v>0</v>
      </c>
      <c r="M16">
        <f t="shared" si="3"/>
        <v>-1</v>
      </c>
      <c r="O16">
        <f t="shared" si="5"/>
        <v>0.2</v>
      </c>
      <c r="R16">
        <f>Receipts!F46</f>
        <v>0.2</v>
      </c>
      <c r="S16">
        <f t="shared" si="4"/>
        <v>-0.2</v>
      </c>
    </row>
    <row r="17" spans="1:19" x14ac:dyDescent="0.2">
      <c r="A17" t="s">
        <v>409</v>
      </c>
      <c r="L17">
        <f t="shared" si="2"/>
        <v>0</v>
      </c>
      <c r="M17">
        <f t="shared" si="3"/>
        <v>0</v>
      </c>
    </row>
    <row r="18" spans="1:19" x14ac:dyDescent="0.2">
      <c r="A18" t="s">
        <v>410</v>
      </c>
      <c r="L18">
        <f t="shared" si="2"/>
        <v>0</v>
      </c>
      <c r="M18">
        <f t="shared" si="3"/>
        <v>0</v>
      </c>
    </row>
    <row r="19" spans="1:19" x14ac:dyDescent="0.2">
      <c r="A19" t="s">
        <v>411</v>
      </c>
      <c r="L19">
        <f t="shared" si="2"/>
        <v>0</v>
      </c>
      <c r="M19">
        <f t="shared" si="3"/>
        <v>0</v>
      </c>
    </row>
    <row r="20" spans="1:19" x14ac:dyDescent="0.2">
      <c r="A20" t="s">
        <v>412</v>
      </c>
      <c r="L20">
        <f t="shared" si="2"/>
        <v>0</v>
      </c>
      <c r="M20">
        <f t="shared" si="3"/>
        <v>0</v>
      </c>
    </row>
    <row r="21" spans="1:19" x14ac:dyDescent="0.2">
      <c r="A21" t="s">
        <v>413</v>
      </c>
      <c r="L21">
        <f t="shared" si="2"/>
        <v>0</v>
      </c>
      <c r="M21">
        <f t="shared" si="3"/>
        <v>0</v>
      </c>
    </row>
    <row r="22" spans="1:19" x14ac:dyDescent="0.2">
      <c r="A22" t="s">
        <v>414</v>
      </c>
      <c r="L22">
        <f t="shared" si="2"/>
        <v>0</v>
      </c>
      <c r="M22">
        <f t="shared" si="3"/>
        <v>0</v>
      </c>
    </row>
    <row r="23" spans="1:19" x14ac:dyDescent="0.2">
      <c r="A23" t="s">
        <v>415</v>
      </c>
      <c r="L23">
        <f t="shared" si="2"/>
        <v>0</v>
      </c>
      <c r="M23">
        <f t="shared" si="3"/>
        <v>0</v>
      </c>
    </row>
    <row r="24" spans="1:19" x14ac:dyDescent="0.2">
      <c r="A24" t="s">
        <v>416</v>
      </c>
      <c r="L24">
        <f t="shared" si="2"/>
        <v>0</v>
      </c>
      <c r="M24">
        <f t="shared" si="3"/>
        <v>0</v>
      </c>
    </row>
    <row r="25" spans="1:19" x14ac:dyDescent="0.2">
      <c r="A25" t="s">
        <v>417</v>
      </c>
      <c r="L25">
        <f t="shared" si="2"/>
        <v>0</v>
      </c>
      <c r="M25">
        <f t="shared" si="3"/>
        <v>0</v>
      </c>
    </row>
    <row r="26" spans="1:19" x14ac:dyDescent="0.2">
      <c r="A26" t="s">
        <v>418</v>
      </c>
      <c r="L26">
        <f t="shared" si="2"/>
        <v>0</v>
      </c>
      <c r="M26">
        <f t="shared" si="3"/>
        <v>0</v>
      </c>
    </row>
    <row r="27" spans="1:19" x14ac:dyDescent="0.2">
      <c r="A27" t="s">
        <v>419</v>
      </c>
      <c r="L27">
        <f t="shared" si="2"/>
        <v>0</v>
      </c>
      <c r="M27">
        <f t="shared" si="3"/>
        <v>0</v>
      </c>
    </row>
    <row r="28" spans="1:19" x14ac:dyDescent="0.2">
      <c r="A28" t="s">
        <v>291</v>
      </c>
      <c r="C28">
        <v>1</v>
      </c>
      <c r="H28">
        <v>1</v>
      </c>
      <c r="K28">
        <v>0</v>
      </c>
      <c r="L28">
        <f t="shared" si="2"/>
        <v>0</v>
      </c>
      <c r="M28">
        <f t="shared" si="3"/>
        <v>0</v>
      </c>
      <c r="O28">
        <f t="shared" si="5"/>
        <v>0.03</v>
      </c>
      <c r="R28">
        <f>Receipts!F48</f>
        <v>0.03</v>
      </c>
      <c r="S28">
        <f t="shared" si="4"/>
        <v>0</v>
      </c>
    </row>
    <row r="29" spans="1:19" x14ac:dyDescent="0.2">
      <c r="A29" t="s">
        <v>420</v>
      </c>
    </row>
    <row r="30" spans="1:19" x14ac:dyDescent="0.2">
      <c r="A30" t="s">
        <v>421</v>
      </c>
    </row>
    <row r="31" spans="1:19" s="73" customFormat="1" ht="16" x14ac:dyDescent="0.2">
      <c r="A31" s="49" t="s">
        <v>499</v>
      </c>
      <c r="R31" s="73">
        <f>SUM(R5:R30)</f>
        <v>2.0299999999999998</v>
      </c>
    </row>
    <row r="34" spans="1:21" ht="17" x14ac:dyDescent="0.2">
      <c r="A34" s="48" t="s">
        <v>424</v>
      </c>
    </row>
    <row r="35" spans="1:21" x14ac:dyDescent="0.2">
      <c r="A35" t="s">
        <v>426</v>
      </c>
    </row>
    <row r="36" spans="1:21" x14ac:dyDescent="0.2">
      <c r="A36" t="s">
        <v>427</v>
      </c>
    </row>
    <row r="37" spans="1:21" x14ac:dyDescent="0.2">
      <c r="A37" t="s">
        <v>428</v>
      </c>
    </row>
    <row r="38" spans="1:21" x14ac:dyDescent="0.2">
      <c r="A38" t="s">
        <v>429</v>
      </c>
    </row>
    <row r="39" spans="1:21" s="73" customFormat="1" ht="16" x14ac:dyDescent="0.2">
      <c r="A39" s="49" t="s">
        <v>500</v>
      </c>
    </row>
    <row r="42" spans="1:21" ht="17" x14ac:dyDescent="0.2">
      <c r="A42" s="48" t="s">
        <v>430</v>
      </c>
    </row>
    <row r="43" spans="1:21" x14ac:dyDescent="0.2">
      <c r="A43" t="s">
        <v>431</v>
      </c>
      <c r="H43">
        <v>1</v>
      </c>
      <c r="O43">
        <f t="shared" si="5"/>
        <v>0.11</v>
      </c>
      <c r="R43">
        <f>Receipts!F47</f>
        <v>0.11</v>
      </c>
      <c r="T43">
        <f>O43*H43</f>
        <v>0.11</v>
      </c>
      <c r="U43" t="s">
        <v>593</v>
      </c>
    </row>
    <row r="44" spans="1:21" x14ac:dyDescent="0.2">
      <c r="A44" t="s">
        <v>501</v>
      </c>
    </row>
    <row r="45" spans="1:21" x14ac:dyDescent="0.2">
      <c r="A45" t="s">
        <v>502</v>
      </c>
    </row>
    <row r="46" spans="1:21" x14ac:dyDescent="0.2">
      <c r="A46" t="s">
        <v>503</v>
      </c>
    </row>
    <row r="47" spans="1:21" x14ac:dyDescent="0.2">
      <c r="A47" s="50" t="s">
        <v>504</v>
      </c>
    </row>
    <row r="48" spans="1:21" x14ac:dyDescent="0.2">
      <c r="A48" t="s">
        <v>505</v>
      </c>
    </row>
    <row r="49" spans="1:20" x14ac:dyDescent="0.2">
      <c r="A49" s="51" t="s">
        <v>506</v>
      </c>
    </row>
    <row r="50" spans="1:20" x14ac:dyDescent="0.2">
      <c r="A50" s="51" t="s">
        <v>507</v>
      </c>
    </row>
    <row r="51" spans="1:20" x14ac:dyDescent="0.2">
      <c r="A51" s="51" t="s">
        <v>508</v>
      </c>
    </row>
    <row r="52" spans="1:20" x14ac:dyDescent="0.2">
      <c r="A52" s="51" t="s">
        <v>509</v>
      </c>
    </row>
    <row r="53" spans="1:20" x14ac:dyDescent="0.2">
      <c r="A53" s="52" t="s">
        <v>510</v>
      </c>
    </row>
    <row r="54" spans="1:20" x14ac:dyDescent="0.2">
      <c r="A54" s="53" t="s">
        <v>511</v>
      </c>
    </row>
    <row r="55" spans="1:20" x14ac:dyDescent="0.2">
      <c r="A55" s="51" t="s">
        <v>506</v>
      </c>
    </row>
    <row r="56" spans="1:20" x14ac:dyDescent="0.2">
      <c r="A56" s="51" t="s">
        <v>507</v>
      </c>
    </row>
    <row r="57" spans="1:20" x14ac:dyDescent="0.2">
      <c r="A57" s="51" t="s">
        <v>508</v>
      </c>
    </row>
    <row r="58" spans="1:20" x14ac:dyDescent="0.2">
      <c r="A58" s="51" t="s">
        <v>509</v>
      </c>
    </row>
    <row r="59" spans="1:20" x14ac:dyDescent="0.2">
      <c r="A59" s="52" t="s">
        <v>447</v>
      </c>
    </row>
    <row r="60" spans="1:20" x14ac:dyDescent="0.2">
      <c r="A60" t="s">
        <v>512</v>
      </c>
    </row>
    <row r="61" spans="1:20" x14ac:dyDescent="0.2">
      <c r="A61" t="s">
        <v>449</v>
      </c>
    </row>
    <row r="62" spans="1:20" x14ac:dyDescent="0.2">
      <c r="A62" t="s">
        <v>450</v>
      </c>
    </row>
    <row r="63" spans="1:20" s="73" customFormat="1" x14ac:dyDescent="0.2">
      <c r="A63" s="73" t="s">
        <v>513</v>
      </c>
      <c r="R63" s="73">
        <f>SUM(R43:R62)</f>
        <v>0.11</v>
      </c>
      <c r="T63" s="73">
        <f>SUM(T42:T62)</f>
        <v>0.11</v>
      </c>
    </row>
    <row r="66" spans="1:20" ht="17" x14ac:dyDescent="0.2">
      <c r="A66" s="48" t="s">
        <v>292</v>
      </c>
    </row>
    <row r="67" spans="1:20" ht="16" x14ac:dyDescent="0.2">
      <c r="A67" s="47" t="s">
        <v>451</v>
      </c>
      <c r="F67">
        <v>10</v>
      </c>
      <c r="H67">
        <v>10</v>
      </c>
      <c r="K67">
        <v>0</v>
      </c>
      <c r="M67">
        <f>K67-B67</f>
        <v>0</v>
      </c>
      <c r="O67">
        <f>R67/H67</f>
        <v>6.0000000000000001E-3</v>
      </c>
      <c r="R67">
        <f>Receipts!F49</f>
        <v>0.06</v>
      </c>
      <c r="T67">
        <f>O67*H67</f>
        <v>0.06</v>
      </c>
    </row>
    <row r="68" spans="1:20" x14ac:dyDescent="0.2">
      <c r="A68" t="s">
        <v>452</v>
      </c>
    </row>
    <row r="69" spans="1:20" x14ac:dyDescent="0.2">
      <c r="A69" t="s">
        <v>453</v>
      </c>
    </row>
    <row r="70" spans="1:20" x14ac:dyDescent="0.2">
      <c r="A70" t="s">
        <v>454</v>
      </c>
    </row>
    <row r="71" spans="1:20" s="73" customFormat="1" x14ac:dyDescent="0.2">
      <c r="A71" s="73" t="s">
        <v>514</v>
      </c>
      <c r="R71" s="73">
        <f>SUM(R67:R70)</f>
        <v>0.06</v>
      </c>
      <c r="T71" s="73">
        <f>SUM(T67:T70)</f>
        <v>0.06</v>
      </c>
    </row>
    <row r="72" spans="1:20" x14ac:dyDescent="0.2">
      <c r="A72" s="55" t="s">
        <v>515</v>
      </c>
    </row>
    <row r="74" spans="1:20" ht="16" x14ac:dyDescent="0.2">
      <c r="A74" s="10" t="s">
        <v>455</v>
      </c>
    </row>
    <row r="75" spans="1:20" x14ac:dyDescent="0.2">
      <c r="A75" t="s">
        <v>456</v>
      </c>
    </row>
    <row r="76" spans="1:20" x14ac:dyDescent="0.2">
      <c r="A76" t="s">
        <v>457</v>
      </c>
    </row>
    <row r="77" spans="1:20" x14ac:dyDescent="0.2">
      <c r="A77" t="s">
        <v>458</v>
      </c>
    </row>
    <row r="78" spans="1:20" x14ac:dyDescent="0.2">
      <c r="A78" s="54" t="s">
        <v>275</v>
      </c>
    </row>
    <row r="81" spans="1:1" ht="16" x14ac:dyDescent="0.2">
      <c r="A81" s="10" t="s">
        <v>516</v>
      </c>
    </row>
    <row r="82" spans="1:1" x14ac:dyDescent="0.2">
      <c r="A82" t="s">
        <v>517</v>
      </c>
    </row>
    <row r="83" spans="1:1" x14ac:dyDescent="0.2">
      <c r="A83" t="s">
        <v>518</v>
      </c>
    </row>
    <row r="84" spans="1:1" x14ac:dyDescent="0.2">
      <c r="A84" t="s">
        <v>519</v>
      </c>
    </row>
    <row r="85" spans="1:1" ht="16" x14ac:dyDescent="0.2">
      <c r="A85" s="56" t="s">
        <v>513</v>
      </c>
    </row>
    <row r="87" spans="1:1" ht="16" x14ac:dyDescent="0.2">
      <c r="A87" s="10" t="s">
        <v>520</v>
      </c>
    </row>
    <row r="88" spans="1:1" x14ac:dyDescent="0.2">
      <c r="A88" t="s">
        <v>521</v>
      </c>
    </row>
    <row r="89" spans="1:1" x14ac:dyDescent="0.2">
      <c r="A89" t="s">
        <v>522</v>
      </c>
    </row>
    <row r="90" spans="1:1" ht="16" x14ac:dyDescent="0.2">
      <c r="A90" s="56" t="s">
        <v>275</v>
      </c>
    </row>
    <row r="92" spans="1:1" ht="16" x14ac:dyDescent="0.2">
      <c r="A92" s="10" t="s">
        <v>461</v>
      </c>
    </row>
    <row r="93" spans="1:1" x14ac:dyDescent="0.2">
      <c r="A93" t="s">
        <v>461</v>
      </c>
    </row>
    <row r="94" spans="1:1" ht="16" x14ac:dyDescent="0.2">
      <c r="A94" s="56" t="s">
        <v>275</v>
      </c>
    </row>
    <row r="95" spans="1:1" ht="16" x14ac:dyDescent="0.2">
      <c r="A95" s="57"/>
    </row>
    <row r="96" spans="1:1" ht="16" x14ac:dyDescent="0.2">
      <c r="A96" s="56" t="s">
        <v>523</v>
      </c>
    </row>
    <row r="99" spans="1:1" ht="16" x14ac:dyDescent="0.2">
      <c r="A99" s="10" t="s">
        <v>293</v>
      </c>
    </row>
    <row r="102" spans="1:1" ht="16" x14ac:dyDescent="0.2">
      <c r="A102" s="57" t="s">
        <v>524</v>
      </c>
    </row>
    <row r="103" spans="1:1" ht="16" x14ac:dyDescent="0.2">
      <c r="A103" s="10" t="s">
        <v>294</v>
      </c>
    </row>
    <row r="104" spans="1:1" x14ac:dyDescent="0.2">
      <c r="A104" t="s">
        <v>525</v>
      </c>
    </row>
    <row r="105" spans="1:1" x14ac:dyDescent="0.2">
      <c r="A105" t="s">
        <v>526</v>
      </c>
    </row>
    <row r="106" spans="1:1" x14ac:dyDescent="0.2">
      <c r="A106" t="s">
        <v>527</v>
      </c>
    </row>
    <row r="107" spans="1:1" x14ac:dyDescent="0.2">
      <c r="A107" t="s">
        <v>528</v>
      </c>
    </row>
    <row r="108" spans="1:1" x14ac:dyDescent="0.2">
      <c r="A108" t="s">
        <v>529</v>
      </c>
    </row>
    <row r="109" spans="1:1" x14ac:dyDescent="0.2">
      <c r="A109" t="s">
        <v>530</v>
      </c>
    </row>
    <row r="110" spans="1:1" x14ac:dyDescent="0.2">
      <c r="A110" t="s">
        <v>531</v>
      </c>
    </row>
    <row r="111" spans="1:1" x14ac:dyDescent="0.2">
      <c r="A111" t="s">
        <v>532</v>
      </c>
    </row>
    <row r="112" spans="1:1" x14ac:dyDescent="0.2">
      <c r="A112" t="s">
        <v>533</v>
      </c>
    </row>
    <row r="113" spans="1:1" x14ac:dyDescent="0.2">
      <c r="A113" t="s">
        <v>534</v>
      </c>
    </row>
    <row r="114" spans="1:1" x14ac:dyDescent="0.2">
      <c r="A114" t="s">
        <v>535</v>
      </c>
    </row>
    <row r="115" spans="1:1" x14ac:dyDescent="0.2">
      <c r="A115" t="s">
        <v>536</v>
      </c>
    </row>
    <row r="116" spans="1:1" x14ac:dyDescent="0.2">
      <c r="A116" t="s">
        <v>537</v>
      </c>
    </row>
    <row r="117" spans="1:1" x14ac:dyDescent="0.2">
      <c r="A117" t="s">
        <v>538</v>
      </c>
    </row>
    <row r="118" spans="1:1" x14ac:dyDescent="0.2">
      <c r="A118" t="s">
        <v>539</v>
      </c>
    </row>
    <row r="119" spans="1:1" x14ac:dyDescent="0.2">
      <c r="A119" t="s">
        <v>540</v>
      </c>
    </row>
    <row r="120" spans="1:1" x14ac:dyDescent="0.2">
      <c r="A120" t="s">
        <v>541</v>
      </c>
    </row>
    <row r="121" spans="1:1" x14ac:dyDescent="0.2">
      <c r="A121" t="s">
        <v>542</v>
      </c>
    </row>
    <row r="122" spans="1:1" x14ac:dyDescent="0.2">
      <c r="A122" t="s">
        <v>543</v>
      </c>
    </row>
    <row r="123" spans="1:1" x14ac:dyDescent="0.2">
      <c r="A123" t="s">
        <v>544</v>
      </c>
    </row>
    <row r="124" spans="1:1" x14ac:dyDescent="0.2">
      <c r="A124" t="s">
        <v>545</v>
      </c>
    </row>
    <row r="125" spans="1:1" x14ac:dyDescent="0.2">
      <c r="A125" t="s">
        <v>546</v>
      </c>
    </row>
    <row r="126" spans="1:1" x14ac:dyDescent="0.2">
      <c r="A126" t="s">
        <v>547</v>
      </c>
    </row>
    <row r="127" spans="1:1" x14ac:dyDescent="0.2">
      <c r="A127" t="s">
        <v>548</v>
      </c>
    </row>
    <row r="128" spans="1:1" x14ac:dyDescent="0.2">
      <c r="A128" t="s">
        <v>549</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54"/>
  <sheetViews>
    <sheetView workbookViewId="0"/>
  </sheetViews>
  <sheetFormatPr baseColWidth="10" defaultColWidth="8.83203125" defaultRowHeight="15" x14ac:dyDescent="0.2"/>
  <sheetData>
    <row r="1" spans="1:36" x14ac:dyDescent="0.2">
      <c r="A1" s="1" t="s">
        <v>0</v>
      </c>
      <c r="B1" s="1" t="s">
        <v>1</v>
      </c>
      <c r="C1" s="1" t="s">
        <v>295</v>
      </c>
      <c r="D1" s="1" t="s">
        <v>296</v>
      </c>
      <c r="E1" s="1" t="s">
        <v>297</v>
      </c>
      <c r="F1" s="1" t="s">
        <v>298</v>
      </c>
      <c r="G1" s="1" t="s">
        <v>299</v>
      </c>
      <c r="H1" s="1" t="s">
        <v>300</v>
      </c>
      <c r="I1" s="1" t="s">
        <v>301</v>
      </c>
      <c r="J1" s="1" t="s">
        <v>302</v>
      </c>
      <c r="K1" s="1" t="s">
        <v>303</v>
      </c>
      <c r="L1" s="1" t="s">
        <v>304</v>
      </c>
      <c r="M1" s="1" t="s">
        <v>305</v>
      </c>
      <c r="N1" s="1" t="s">
        <v>306</v>
      </c>
      <c r="O1" s="1" t="s">
        <v>307</v>
      </c>
      <c r="P1" s="1" t="s">
        <v>308</v>
      </c>
      <c r="Q1" s="1" t="s">
        <v>309</v>
      </c>
      <c r="R1" s="1" t="s">
        <v>310</v>
      </c>
      <c r="S1" s="1" t="s">
        <v>311</v>
      </c>
      <c r="T1" s="1" t="s">
        <v>312</v>
      </c>
      <c r="U1" s="1" t="s">
        <v>313</v>
      </c>
      <c r="V1" s="1" t="s">
        <v>314</v>
      </c>
      <c r="W1" s="1" t="s">
        <v>315</v>
      </c>
      <c r="X1" s="1" t="s">
        <v>7</v>
      </c>
      <c r="Y1" s="1" t="s">
        <v>8</v>
      </c>
      <c r="Z1" s="1" t="s">
        <v>9</v>
      </c>
      <c r="AA1" s="1" t="s">
        <v>10</v>
      </c>
      <c r="AB1" s="1" t="s">
        <v>11</v>
      </c>
      <c r="AC1" s="1" t="s">
        <v>316</v>
      </c>
      <c r="AD1" s="1" t="s">
        <v>317</v>
      </c>
      <c r="AE1" s="1" t="s">
        <v>14</v>
      </c>
      <c r="AF1" s="1" t="s">
        <v>15</v>
      </c>
      <c r="AG1" s="1" t="s">
        <v>16</v>
      </c>
      <c r="AH1" s="1" t="s">
        <v>17</v>
      </c>
      <c r="AI1" s="1" t="s">
        <v>18</v>
      </c>
      <c r="AJ1" s="1" t="s">
        <v>19</v>
      </c>
    </row>
    <row r="2" spans="1:36" x14ac:dyDescent="0.2">
      <c r="A2" t="s">
        <v>205</v>
      </c>
      <c r="B2" t="s">
        <v>275</v>
      </c>
      <c r="C2">
        <v>0</v>
      </c>
      <c r="D2">
        <v>0</v>
      </c>
      <c r="E2">
        <v>0</v>
      </c>
      <c r="F2">
        <v>0</v>
      </c>
      <c r="G2">
        <v>0</v>
      </c>
      <c r="H2">
        <v>0</v>
      </c>
      <c r="I2">
        <v>0</v>
      </c>
      <c r="J2">
        <v>0</v>
      </c>
      <c r="K2">
        <v>0</v>
      </c>
      <c r="L2">
        <v>0</v>
      </c>
      <c r="M2">
        <v>0</v>
      </c>
      <c r="N2">
        <v>0</v>
      </c>
      <c r="O2">
        <v>0</v>
      </c>
      <c r="P2">
        <v>0</v>
      </c>
      <c r="Q2">
        <v>0</v>
      </c>
      <c r="R2">
        <v>0</v>
      </c>
      <c r="S2">
        <v>0</v>
      </c>
      <c r="T2">
        <v>0</v>
      </c>
      <c r="U2">
        <v>0</v>
      </c>
      <c r="V2">
        <v>0</v>
      </c>
      <c r="W2">
        <v>0</v>
      </c>
    </row>
    <row r="3" spans="1:36" x14ac:dyDescent="0.2">
      <c r="A3" t="s">
        <v>207</v>
      </c>
      <c r="B3" t="s">
        <v>208</v>
      </c>
      <c r="C3">
        <v>0</v>
      </c>
      <c r="D3">
        <v>0</v>
      </c>
      <c r="E3">
        <v>0</v>
      </c>
      <c r="F3">
        <v>0</v>
      </c>
      <c r="G3">
        <v>0</v>
      </c>
      <c r="H3">
        <v>0</v>
      </c>
      <c r="I3">
        <v>0</v>
      </c>
      <c r="J3">
        <v>0</v>
      </c>
      <c r="K3">
        <v>0</v>
      </c>
      <c r="L3">
        <v>0</v>
      </c>
      <c r="M3">
        <v>0</v>
      </c>
      <c r="N3">
        <v>0</v>
      </c>
      <c r="O3">
        <v>0</v>
      </c>
      <c r="P3">
        <v>0</v>
      </c>
      <c r="Q3">
        <v>0</v>
      </c>
      <c r="R3">
        <v>0</v>
      </c>
      <c r="S3">
        <v>0</v>
      </c>
      <c r="T3">
        <v>0</v>
      </c>
      <c r="U3">
        <v>0</v>
      </c>
      <c r="V3">
        <v>0</v>
      </c>
      <c r="W3">
        <v>0</v>
      </c>
      <c r="X3">
        <v>3.5</v>
      </c>
      <c r="Y3">
        <v>0</v>
      </c>
      <c r="Z3">
        <v>3.5</v>
      </c>
      <c r="AA3">
        <v>3.5</v>
      </c>
      <c r="AB3">
        <v>0</v>
      </c>
      <c r="AC3">
        <v>3.5</v>
      </c>
      <c r="AD3">
        <v>0</v>
      </c>
    </row>
    <row r="4" spans="1:36" x14ac:dyDescent="0.2">
      <c r="A4" t="s">
        <v>207</v>
      </c>
      <c r="B4" t="s">
        <v>209</v>
      </c>
      <c r="C4">
        <v>0</v>
      </c>
      <c r="D4">
        <v>0</v>
      </c>
      <c r="E4">
        <v>0</v>
      </c>
      <c r="F4">
        <v>0</v>
      </c>
      <c r="G4">
        <v>0</v>
      </c>
      <c r="H4">
        <v>0</v>
      </c>
      <c r="I4">
        <v>0</v>
      </c>
      <c r="J4">
        <v>0</v>
      </c>
      <c r="K4">
        <v>0</v>
      </c>
      <c r="L4">
        <v>0</v>
      </c>
      <c r="M4">
        <v>0</v>
      </c>
      <c r="N4">
        <v>0</v>
      </c>
      <c r="O4">
        <v>0</v>
      </c>
      <c r="P4">
        <v>0</v>
      </c>
      <c r="Q4">
        <v>0</v>
      </c>
      <c r="R4">
        <v>0</v>
      </c>
      <c r="S4">
        <v>0</v>
      </c>
      <c r="T4">
        <v>118</v>
      </c>
      <c r="U4">
        <v>2</v>
      </c>
      <c r="V4">
        <v>118.25</v>
      </c>
      <c r="W4">
        <v>0</v>
      </c>
      <c r="X4">
        <v>118</v>
      </c>
      <c r="Y4">
        <v>2</v>
      </c>
      <c r="Z4">
        <v>118.25</v>
      </c>
      <c r="AA4">
        <v>118.25</v>
      </c>
      <c r="AB4">
        <v>0</v>
      </c>
      <c r="AC4">
        <v>118</v>
      </c>
      <c r="AD4">
        <v>2</v>
      </c>
    </row>
    <row r="5" spans="1:36" x14ac:dyDescent="0.2">
      <c r="A5" t="s">
        <v>207</v>
      </c>
      <c r="B5" t="s">
        <v>211</v>
      </c>
      <c r="C5">
        <v>0</v>
      </c>
      <c r="D5">
        <v>0</v>
      </c>
      <c r="E5">
        <v>23.5</v>
      </c>
      <c r="F5">
        <v>1</v>
      </c>
      <c r="G5">
        <v>23.625</v>
      </c>
      <c r="H5">
        <v>0</v>
      </c>
      <c r="I5">
        <v>0</v>
      </c>
      <c r="J5">
        <v>0</v>
      </c>
      <c r="K5">
        <v>0</v>
      </c>
      <c r="L5">
        <v>0</v>
      </c>
      <c r="M5">
        <v>0</v>
      </c>
      <c r="N5">
        <v>0</v>
      </c>
      <c r="O5">
        <v>0</v>
      </c>
      <c r="P5">
        <v>0</v>
      </c>
      <c r="Q5">
        <v>0</v>
      </c>
      <c r="R5">
        <v>0</v>
      </c>
      <c r="S5">
        <v>0</v>
      </c>
      <c r="T5">
        <v>0</v>
      </c>
      <c r="U5">
        <v>0</v>
      </c>
      <c r="V5">
        <v>0</v>
      </c>
      <c r="W5">
        <v>0</v>
      </c>
      <c r="X5">
        <v>23.5</v>
      </c>
      <c r="Y5">
        <v>1</v>
      </c>
      <c r="Z5">
        <v>23.625</v>
      </c>
      <c r="AA5">
        <v>23.625</v>
      </c>
      <c r="AB5">
        <v>0</v>
      </c>
      <c r="AC5">
        <v>23.5</v>
      </c>
      <c r="AD5">
        <v>1</v>
      </c>
    </row>
    <row r="6" spans="1:36" x14ac:dyDescent="0.2">
      <c r="A6" t="s">
        <v>207</v>
      </c>
      <c r="B6" t="s">
        <v>212</v>
      </c>
      <c r="C6">
        <v>0</v>
      </c>
      <c r="D6">
        <v>0</v>
      </c>
      <c r="E6">
        <v>0</v>
      </c>
      <c r="F6">
        <v>0</v>
      </c>
      <c r="G6">
        <v>0</v>
      </c>
      <c r="H6">
        <v>0</v>
      </c>
      <c r="I6">
        <v>0</v>
      </c>
      <c r="J6">
        <v>0</v>
      </c>
      <c r="K6">
        <v>0</v>
      </c>
      <c r="L6">
        <v>0</v>
      </c>
      <c r="M6">
        <v>0</v>
      </c>
      <c r="N6">
        <v>0</v>
      </c>
      <c r="O6">
        <v>0</v>
      </c>
      <c r="P6">
        <v>0</v>
      </c>
      <c r="Q6">
        <v>0</v>
      </c>
      <c r="R6">
        <v>0</v>
      </c>
      <c r="S6">
        <v>0</v>
      </c>
      <c r="T6">
        <v>0</v>
      </c>
      <c r="U6">
        <v>0</v>
      </c>
      <c r="V6">
        <v>0</v>
      </c>
      <c r="W6">
        <v>0</v>
      </c>
      <c r="X6">
        <v>0</v>
      </c>
      <c r="Y6">
        <v>7</v>
      </c>
      <c r="Z6">
        <v>0.875</v>
      </c>
      <c r="AA6">
        <v>0.3125</v>
      </c>
      <c r="AB6">
        <v>0.5625</v>
      </c>
      <c r="AC6">
        <v>0</v>
      </c>
      <c r="AD6">
        <v>2.5</v>
      </c>
      <c r="AE6">
        <v>0</v>
      </c>
      <c r="AF6">
        <v>7</v>
      </c>
    </row>
    <row r="7" spans="1:36" x14ac:dyDescent="0.2">
      <c r="A7" t="s">
        <v>207</v>
      </c>
      <c r="B7" t="s">
        <v>213</v>
      </c>
      <c r="C7">
        <v>0</v>
      </c>
      <c r="D7">
        <v>0</v>
      </c>
      <c r="E7">
        <v>0</v>
      </c>
      <c r="F7">
        <v>0</v>
      </c>
      <c r="G7">
        <v>0</v>
      </c>
      <c r="H7">
        <v>0</v>
      </c>
      <c r="I7">
        <v>0</v>
      </c>
      <c r="J7">
        <v>0</v>
      </c>
      <c r="K7">
        <v>0</v>
      </c>
      <c r="L7">
        <v>0</v>
      </c>
      <c r="M7">
        <v>0</v>
      </c>
      <c r="N7">
        <v>0</v>
      </c>
      <c r="O7">
        <v>0</v>
      </c>
      <c r="P7">
        <v>0</v>
      </c>
      <c r="Q7">
        <v>0</v>
      </c>
      <c r="R7">
        <v>0</v>
      </c>
      <c r="S7">
        <v>0</v>
      </c>
      <c r="T7">
        <v>0</v>
      </c>
      <c r="U7">
        <v>0</v>
      </c>
      <c r="V7">
        <v>0</v>
      </c>
      <c r="W7">
        <v>0</v>
      </c>
      <c r="X7">
        <v>4</v>
      </c>
      <c r="Y7">
        <v>2</v>
      </c>
      <c r="Z7">
        <v>4.25</v>
      </c>
      <c r="AA7">
        <v>4.25</v>
      </c>
      <c r="AB7">
        <v>0</v>
      </c>
      <c r="AC7">
        <v>4</v>
      </c>
      <c r="AD7">
        <v>2</v>
      </c>
    </row>
    <row r="8" spans="1:36" x14ac:dyDescent="0.2">
      <c r="A8" t="s">
        <v>207</v>
      </c>
      <c r="B8" t="s">
        <v>175</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6" x14ac:dyDescent="0.2">
      <c r="A9" t="s">
        <v>207</v>
      </c>
      <c r="B9" t="s">
        <v>175</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6" x14ac:dyDescent="0.2">
      <c r="A10" t="s">
        <v>207</v>
      </c>
      <c r="B10" t="s">
        <v>318</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36" x14ac:dyDescent="0.2">
      <c r="A11" t="s">
        <v>207</v>
      </c>
      <c r="B11" t="s">
        <v>175</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6" x14ac:dyDescent="0.2">
      <c r="A12" t="s">
        <v>207</v>
      </c>
      <c r="B12" t="s">
        <v>175</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6" x14ac:dyDescent="0.2">
      <c r="A13" t="s">
        <v>207</v>
      </c>
      <c r="B13" t="s">
        <v>215</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3</v>
      </c>
      <c r="Y13">
        <v>0</v>
      </c>
      <c r="Z13">
        <v>3</v>
      </c>
      <c r="AA13">
        <v>3</v>
      </c>
      <c r="AB13">
        <v>0</v>
      </c>
      <c r="AC13">
        <v>3</v>
      </c>
      <c r="AD13">
        <v>0</v>
      </c>
    </row>
    <row r="14" spans="1:36" x14ac:dyDescent="0.2">
      <c r="A14" t="s">
        <v>207</v>
      </c>
      <c r="B14" t="s">
        <v>216</v>
      </c>
      <c r="C14">
        <v>0</v>
      </c>
      <c r="D14">
        <v>0</v>
      </c>
      <c r="E14">
        <v>0</v>
      </c>
      <c r="F14">
        <v>0</v>
      </c>
      <c r="G14">
        <v>0</v>
      </c>
      <c r="H14">
        <v>0</v>
      </c>
      <c r="I14">
        <v>0</v>
      </c>
      <c r="J14">
        <v>0</v>
      </c>
      <c r="K14">
        <v>0</v>
      </c>
      <c r="L14">
        <v>0</v>
      </c>
      <c r="M14">
        <v>0</v>
      </c>
      <c r="N14">
        <v>0</v>
      </c>
      <c r="O14">
        <v>0</v>
      </c>
      <c r="P14">
        <v>0</v>
      </c>
      <c r="Q14">
        <v>90</v>
      </c>
      <c r="R14">
        <v>6</v>
      </c>
      <c r="S14">
        <v>90.75</v>
      </c>
      <c r="T14">
        <v>0</v>
      </c>
      <c r="U14">
        <v>0</v>
      </c>
      <c r="V14">
        <v>0</v>
      </c>
      <c r="W14">
        <v>0</v>
      </c>
      <c r="X14">
        <v>3</v>
      </c>
      <c r="Y14">
        <v>3</v>
      </c>
      <c r="Z14">
        <v>3.375</v>
      </c>
      <c r="AA14">
        <v>87.375</v>
      </c>
      <c r="AB14">
        <v>-84</v>
      </c>
      <c r="AC14">
        <v>87</v>
      </c>
      <c r="AD14">
        <v>3</v>
      </c>
      <c r="AE14">
        <v>3</v>
      </c>
      <c r="AF14">
        <v>3</v>
      </c>
    </row>
    <row r="15" spans="1:36" x14ac:dyDescent="0.2">
      <c r="A15" t="s">
        <v>207</v>
      </c>
      <c r="B15" t="s">
        <v>275</v>
      </c>
      <c r="C15">
        <v>0</v>
      </c>
      <c r="D15">
        <v>0</v>
      </c>
      <c r="E15">
        <v>0</v>
      </c>
      <c r="F15">
        <v>0</v>
      </c>
      <c r="G15">
        <v>0</v>
      </c>
      <c r="H15">
        <v>0</v>
      </c>
      <c r="I15">
        <v>0</v>
      </c>
      <c r="J15">
        <v>0</v>
      </c>
      <c r="K15">
        <v>0</v>
      </c>
      <c r="L15">
        <v>0</v>
      </c>
      <c r="M15">
        <v>0</v>
      </c>
      <c r="N15">
        <v>0</v>
      </c>
      <c r="O15">
        <v>0</v>
      </c>
      <c r="P15">
        <v>0</v>
      </c>
      <c r="Q15">
        <v>0</v>
      </c>
      <c r="R15">
        <v>0</v>
      </c>
      <c r="S15">
        <v>0</v>
      </c>
      <c r="T15">
        <v>0</v>
      </c>
      <c r="U15">
        <v>0</v>
      </c>
      <c r="V15">
        <v>0</v>
      </c>
      <c r="W15">
        <v>0</v>
      </c>
    </row>
    <row r="16" spans="1:36" x14ac:dyDescent="0.2">
      <c r="A16" t="s">
        <v>217</v>
      </c>
      <c r="B16" t="s">
        <v>218</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2</v>
      </c>
      <c r="Z16">
        <v>0.25</v>
      </c>
      <c r="AA16">
        <v>0.25</v>
      </c>
      <c r="AB16">
        <v>0</v>
      </c>
      <c r="AC16">
        <v>0</v>
      </c>
      <c r="AD16">
        <v>2</v>
      </c>
    </row>
    <row r="17" spans="1:30" x14ac:dyDescent="0.2">
      <c r="A17" t="s">
        <v>217</v>
      </c>
      <c r="B17" t="s">
        <v>219</v>
      </c>
      <c r="C17">
        <v>0</v>
      </c>
      <c r="D17">
        <v>0</v>
      </c>
      <c r="E17">
        <v>0</v>
      </c>
      <c r="F17">
        <v>0</v>
      </c>
      <c r="G17">
        <v>0</v>
      </c>
      <c r="H17">
        <v>0</v>
      </c>
      <c r="I17">
        <v>0</v>
      </c>
      <c r="J17">
        <v>0</v>
      </c>
      <c r="K17">
        <v>0</v>
      </c>
      <c r="L17">
        <v>0</v>
      </c>
      <c r="M17">
        <v>0</v>
      </c>
      <c r="N17">
        <v>0</v>
      </c>
      <c r="O17">
        <v>0</v>
      </c>
      <c r="P17">
        <v>0</v>
      </c>
      <c r="Q17">
        <v>0</v>
      </c>
      <c r="R17">
        <v>0</v>
      </c>
      <c r="S17">
        <v>0</v>
      </c>
      <c r="T17">
        <v>7.5</v>
      </c>
      <c r="U17">
        <v>2</v>
      </c>
      <c r="V17">
        <v>7.75</v>
      </c>
      <c r="W17">
        <v>0</v>
      </c>
      <c r="X17">
        <v>7.5</v>
      </c>
      <c r="Y17">
        <v>2</v>
      </c>
      <c r="Z17">
        <v>7.75</v>
      </c>
      <c r="AA17">
        <v>7.75</v>
      </c>
      <c r="AB17">
        <v>0</v>
      </c>
      <c r="AC17">
        <v>7.5</v>
      </c>
      <c r="AD17">
        <v>2</v>
      </c>
    </row>
    <row r="18" spans="1:30" x14ac:dyDescent="0.2">
      <c r="A18" t="s">
        <v>217</v>
      </c>
      <c r="B18" t="s">
        <v>319</v>
      </c>
      <c r="C18">
        <v>0</v>
      </c>
      <c r="D18">
        <v>0</v>
      </c>
      <c r="E18">
        <v>6.5</v>
      </c>
      <c r="F18">
        <v>0</v>
      </c>
      <c r="G18">
        <v>6.5</v>
      </c>
      <c r="H18">
        <v>0</v>
      </c>
      <c r="I18">
        <v>0</v>
      </c>
      <c r="J18">
        <v>0</v>
      </c>
      <c r="K18">
        <v>0</v>
      </c>
      <c r="L18">
        <v>0</v>
      </c>
      <c r="M18">
        <v>0</v>
      </c>
      <c r="N18">
        <v>6.5</v>
      </c>
      <c r="O18">
        <v>0</v>
      </c>
      <c r="P18">
        <v>6.5</v>
      </c>
      <c r="Q18">
        <v>0</v>
      </c>
      <c r="R18">
        <v>0</v>
      </c>
      <c r="S18">
        <v>0</v>
      </c>
      <c r="T18">
        <v>0</v>
      </c>
      <c r="U18">
        <v>0</v>
      </c>
      <c r="V18">
        <v>0</v>
      </c>
      <c r="W18">
        <v>0</v>
      </c>
    </row>
    <row r="19" spans="1:30" x14ac:dyDescent="0.2">
      <c r="A19" t="s">
        <v>217</v>
      </c>
      <c r="B19" t="s">
        <v>275</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30" x14ac:dyDescent="0.2">
      <c r="A20" t="s">
        <v>221</v>
      </c>
      <c r="B20" t="s">
        <v>222</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2</v>
      </c>
      <c r="Z20">
        <v>0.25</v>
      </c>
      <c r="AA20">
        <v>0.25</v>
      </c>
      <c r="AB20">
        <v>0</v>
      </c>
      <c r="AC20">
        <v>0</v>
      </c>
      <c r="AD20">
        <v>2</v>
      </c>
    </row>
    <row r="21" spans="1:30" x14ac:dyDescent="0.2">
      <c r="A21" t="s">
        <v>221</v>
      </c>
      <c r="B21" t="s">
        <v>223</v>
      </c>
      <c r="C21">
        <v>0</v>
      </c>
      <c r="D21">
        <v>0</v>
      </c>
      <c r="E21">
        <v>0</v>
      </c>
      <c r="F21">
        <v>0</v>
      </c>
      <c r="G21">
        <v>0</v>
      </c>
      <c r="H21">
        <v>0</v>
      </c>
      <c r="I21">
        <v>0</v>
      </c>
      <c r="J21">
        <v>0</v>
      </c>
      <c r="K21">
        <v>0</v>
      </c>
      <c r="L21">
        <v>0</v>
      </c>
      <c r="M21">
        <v>0</v>
      </c>
      <c r="N21">
        <v>0</v>
      </c>
      <c r="O21">
        <v>0</v>
      </c>
      <c r="P21">
        <v>0</v>
      </c>
      <c r="Q21">
        <v>0</v>
      </c>
      <c r="R21">
        <v>0</v>
      </c>
      <c r="S21">
        <v>0</v>
      </c>
      <c r="T21">
        <v>4.5</v>
      </c>
      <c r="U21">
        <v>2</v>
      </c>
      <c r="V21">
        <v>4.75</v>
      </c>
      <c r="W21">
        <v>0</v>
      </c>
      <c r="X21">
        <v>4.5</v>
      </c>
      <c r="Y21">
        <v>2</v>
      </c>
      <c r="Z21">
        <v>4.75</v>
      </c>
      <c r="AA21">
        <v>4.75</v>
      </c>
      <c r="AB21">
        <v>0</v>
      </c>
      <c r="AC21">
        <v>4.5</v>
      </c>
      <c r="AD21">
        <v>2</v>
      </c>
    </row>
    <row r="22" spans="1:30" x14ac:dyDescent="0.2">
      <c r="A22" t="s">
        <v>221</v>
      </c>
      <c r="B22" t="s">
        <v>224</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6.5</v>
      </c>
      <c r="Y22">
        <v>0</v>
      </c>
      <c r="Z22">
        <v>6.5</v>
      </c>
      <c r="AA22">
        <v>6.5</v>
      </c>
      <c r="AB22">
        <v>0</v>
      </c>
      <c r="AC22">
        <v>6.5</v>
      </c>
      <c r="AD22">
        <v>0</v>
      </c>
    </row>
    <row r="23" spans="1:30" x14ac:dyDescent="0.2">
      <c r="A23" t="s">
        <v>221</v>
      </c>
      <c r="B23" t="s">
        <v>225</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1.5</v>
      </c>
      <c r="Y23">
        <v>0</v>
      </c>
      <c r="Z23">
        <v>1.5</v>
      </c>
      <c r="AA23">
        <v>1.5</v>
      </c>
      <c r="AB23">
        <v>0</v>
      </c>
      <c r="AC23">
        <v>1.5</v>
      </c>
      <c r="AD23">
        <v>0</v>
      </c>
    </row>
    <row r="24" spans="1:30" x14ac:dyDescent="0.2">
      <c r="A24" t="s">
        <v>221</v>
      </c>
      <c r="B24" t="s">
        <v>226</v>
      </c>
      <c r="C24">
        <v>0</v>
      </c>
      <c r="D24">
        <v>0</v>
      </c>
      <c r="E24">
        <v>0</v>
      </c>
      <c r="F24">
        <v>0</v>
      </c>
      <c r="G24">
        <v>0</v>
      </c>
      <c r="H24">
        <v>20.5</v>
      </c>
      <c r="I24">
        <v>0</v>
      </c>
      <c r="J24">
        <v>20.5</v>
      </c>
      <c r="K24">
        <v>0</v>
      </c>
      <c r="L24">
        <v>0</v>
      </c>
      <c r="M24">
        <v>0</v>
      </c>
      <c r="N24">
        <v>0</v>
      </c>
      <c r="O24">
        <v>0</v>
      </c>
      <c r="P24">
        <v>0</v>
      </c>
      <c r="Q24">
        <v>0</v>
      </c>
      <c r="R24">
        <v>0</v>
      </c>
      <c r="S24">
        <v>0</v>
      </c>
      <c r="T24">
        <v>0</v>
      </c>
      <c r="U24">
        <v>0</v>
      </c>
      <c r="V24">
        <v>0</v>
      </c>
      <c r="W24">
        <v>0</v>
      </c>
      <c r="X24">
        <v>20.5</v>
      </c>
      <c r="Y24">
        <v>0</v>
      </c>
      <c r="Z24">
        <v>20.5</v>
      </c>
      <c r="AA24">
        <v>20.5</v>
      </c>
      <c r="AB24">
        <v>0</v>
      </c>
      <c r="AC24">
        <v>20.5</v>
      </c>
      <c r="AD24">
        <v>0</v>
      </c>
    </row>
    <row r="25" spans="1:30" x14ac:dyDescent="0.2">
      <c r="A25" t="s">
        <v>221</v>
      </c>
      <c r="B25" t="s">
        <v>227</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33</v>
      </c>
      <c r="Y25">
        <v>2</v>
      </c>
      <c r="Z25">
        <v>33.25</v>
      </c>
      <c r="AA25">
        <v>33.25</v>
      </c>
      <c r="AB25">
        <v>0</v>
      </c>
      <c r="AC25">
        <v>33</v>
      </c>
      <c r="AD25">
        <v>2</v>
      </c>
    </row>
    <row r="26" spans="1:30" x14ac:dyDescent="0.2">
      <c r="A26" t="s">
        <v>221</v>
      </c>
      <c r="B26" t="s">
        <v>228</v>
      </c>
      <c r="C26">
        <v>0</v>
      </c>
      <c r="D26">
        <v>0</v>
      </c>
      <c r="E26">
        <v>3</v>
      </c>
      <c r="F26">
        <v>0</v>
      </c>
      <c r="G26">
        <v>3</v>
      </c>
      <c r="H26">
        <v>0</v>
      </c>
      <c r="I26">
        <v>0</v>
      </c>
      <c r="J26">
        <v>0</v>
      </c>
      <c r="K26">
        <v>0</v>
      </c>
      <c r="L26">
        <v>0</v>
      </c>
      <c r="M26">
        <v>0</v>
      </c>
      <c r="N26">
        <v>0</v>
      </c>
      <c r="O26">
        <v>0</v>
      </c>
      <c r="P26">
        <v>0</v>
      </c>
      <c r="Q26">
        <v>0</v>
      </c>
      <c r="R26">
        <v>0</v>
      </c>
      <c r="S26">
        <v>0</v>
      </c>
      <c r="T26">
        <v>0</v>
      </c>
      <c r="U26">
        <v>0</v>
      </c>
      <c r="V26">
        <v>0</v>
      </c>
      <c r="W26">
        <v>0</v>
      </c>
      <c r="X26">
        <v>3</v>
      </c>
      <c r="Y26">
        <v>0</v>
      </c>
      <c r="Z26">
        <v>3</v>
      </c>
      <c r="AA26">
        <v>3</v>
      </c>
      <c r="AB26">
        <v>0</v>
      </c>
      <c r="AC26">
        <v>3</v>
      </c>
      <c r="AD26">
        <v>0</v>
      </c>
    </row>
    <row r="27" spans="1:30" x14ac:dyDescent="0.2">
      <c r="A27" t="s">
        <v>221</v>
      </c>
      <c r="B27" t="s">
        <v>229</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4</v>
      </c>
      <c r="Z27">
        <v>0.5</v>
      </c>
      <c r="AA27">
        <v>0.5</v>
      </c>
      <c r="AB27">
        <v>0</v>
      </c>
      <c r="AC27">
        <v>0</v>
      </c>
      <c r="AD27">
        <v>4</v>
      </c>
    </row>
    <row r="28" spans="1:30" x14ac:dyDescent="0.2">
      <c r="A28" t="s">
        <v>221</v>
      </c>
      <c r="B28" t="s">
        <v>230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3</v>
      </c>
      <c r="Y28">
        <v>2</v>
      </c>
      <c r="Z28">
        <v>3.25</v>
      </c>
      <c r="AA28">
        <v>3.25</v>
      </c>
      <c r="AB28">
        <v>0</v>
      </c>
      <c r="AC28">
        <v>3</v>
      </c>
      <c r="AD28">
        <v>2</v>
      </c>
    </row>
    <row r="29" spans="1:30" x14ac:dyDescent="0.2">
      <c r="A29" t="s">
        <v>221</v>
      </c>
      <c r="B29" t="s">
        <v>231</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26</v>
      </c>
      <c r="Y29">
        <v>0</v>
      </c>
      <c r="Z29">
        <v>26</v>
      </c>
      <c r="AA29">
        <v>26</v>
      </c>
      <c r="AB29">
        <v>0</v>
      </c>
      <c r="AC29">
        <v>26</v>
      </c>
      <c r="AD29">
        <v>0</v>
      </c>
    </row>
    <row r="30" spans="1:30" x14ac:dyDescent="0.2">
      <c r="A30" t="s">
        <v>221</v>
      </c>
      <c r="B30" t="s">
        <v>320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30" x14ac:dyDescent="0.2">
      <c r="A31" t="s">
        <v>221</v>
      </c>
      <c r="B31" t="s">
        <v>275</v>
      </c>
      <c r="C31">
        <v>0</v>
      </c>
      <c r="D31">
        <v>0</v>
      </c>
      <c r="E31">
        <v>0</v>
      </c>
      <c r="F31">
        <v>0</v>
      </c>
      <c r="G31">
        <v>0</v>
      </c>
      <c r="H31">
        <v>0</v>
      </c>
      <c r="I31">
        <v>0</v>
      </c>
      <c r="J31">
        <v>0</v>
      </c>
      <c r="K31">
        <v>0</v>
      </c>
      <c r="L31">
        <v>0</v>
      </c>
      <c r="M31">
        <v>0</v>
      </c>
      <c r="N31">
        <v>0</v>
      </c>
      <c r="O31">
        <v>0</v>
      </c>
      <c r="P31">
        <v>0</v>
      </c>
      <c r="Q31">
        <v>0</v>
      </c>
      <c r="R31">
        <v>0</v>
      </c>
      <c r="S31">
        <v>0</v>
      </c>
      <c r="T31">
        <v>0</v>
      </c>
      <c r="U31">
        <v>0</v>
      </c>
      <c r="V31">
        <v>0</v>
      </c>
      <c r="W31">
        <v>0</v>
      </c>
    </row>
    <row r="32" spans="1:30" x14ac:dyDescent="0.2">
      <c r="A32" t="s">
        <v>233</v>
      </c>
      <c r="B32" t="s">
        <v>234</v>
      </c>
      <c r="C32">
        <v>0</v>
      </c>
      <c r="D32">
        <v>0</v>
      </c>
      <c r="E32">
        <v>26</v>
      </c>
      <c r="F32">
        <v>0</v>
      </c>
      <c r="G32">
        <v>26</v>
      </c>
      <c r="H32">
        <v>0</v>
      </c>
      <c r="I32">
        <v>0</v>
      </c>
      <c r="J32">
        <v>0</v>
      </c>
      <c r="K32">
        <v>0</v>
      </c>
      <c r="L32">
        <v>0</v>
      </c>
      <c r="M32">
        <v>0</v>
      </c>
      <c r="N32">
        <v>0</v>
      </c>
      <c r="O32">
        <v>0</v>
      </c>
      <c r="P32">
        <v>0</v>
      </c>
      <c r="Q32">
        <v>0</v>
      </c>
      <c r="R32">
        <v>0</v>
      </c>
      <c r="S32">
        <v>0</v>
      </c>
      <c r="T32">
        <v>0</v>
      </c>
      <c r="U32">
        <v>0</v>
      </c>
      <c r="V32">
        <v>0</v>
      </c>
      <c r="W32">
        <v>0</v>
      </c>
      <c r="X32">
        <v>26</v>
      </c>
      <c r="Y32">
        <v>0</v>
      </c>
      <c r="Z32">
        <v>26</v>
      </c>
      <c r="AA32">
        <v>26</v>
      </c>
      <c r="AB32">
        <v>0</v>
      </c>
      <c r="AC32">
        <v>26</v>
      </c>
      <c r="AD32">
        <v>0</v>
      </c>
    </row>
    <row r="33" spans="1:32" x14ac:dyDescent="0.2">
      <c r="A33" t="s">
        <v>233</v>
      </c>
      <c r="B33" t="s">
        <v>235</v>
      </c>
      <c r="C33">
        <v>0</v>
      </c>
      <c r="D33">
        <v>0</v>
      </c>
      <c r="E33">
        <v>0</v>
      </c>
      <c r="F33">
        <v>0</v>
      </c>
      <c r="G33">
        <v>0</v>
      </c>
      <c r="H33">
        <v>0</v>
      </c>
      <c r="I33">
        <v>0</v>
      </c>
      <c r="J33">
        <v>0</v>
      </c>
      <c r="K33">
        <v>0</v>
      </c>
      <c r="L33">
        <v>0</v>
      </c>
      <c r="M33">
        <v>0</v>
      </c>
      <c r="N33">
        <v>0</v>
      </c>
      <c r="O33">
        <v>0</v>
      </c>
      <c r="P33">
        <v>0</v>
      </c>
      <c r="Q33">
        <v>0</v>
      </c>
      <c r="R33">
        <v>0</v>
      </c>
      <c r="S33">
        <v>0</v>
      </c>
      <c r="T33">
        <v>61.5</v>
      </c>
      <c r="U33">
        <v>1</v>
      </c>
      <c r="V33">
        <v>61.625</v>
      </c>
      <c r="W33">
        <v>0</v>
      </c>
      <c r="X33">
        <v>61.5</v>
      </c>
      <c r="Y33">
        <v>1</v>
      </c>
      <c r="Z33">
        <v>61.625</v>
      </c>
      <c r="AA33">
        <v>61.625</v>
      </c>
      <c r="AB33">
        <v>0</v>
      </c>
      <c r="AC33">
        <v>61.5</v>
      </c>
      <c r="AD33">
        <v>1</v>
      </c>
    </row>
    <row r="34" spans="1:32" x14ac:dyDescent="0.2">
      <c r="A34" t="s">
        <v>233</v>
      </c>
      <c r="B34" t="s">
        <v>236</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13</v>
      </c>
      <c r="Y34">
        <v>0</v>
      </c>
      <c r="Z34">
        <v>13</v>
      </c>
      <c r="AA34">
        <v>13</v>
      </c>
      <c r="AB34">
        <v>0</v>
      </c>
      <c r="AC34">
        <v>13</v>
      </c>
      <c r="AD34">
        <v>0</v>
      </c>
    </row>
    <row r="35" spans="1:32" x14ac:dyDescent="0.2">
      <c r="A35" t="s">
        <v>233</v>
      </c>
      <c r="B35" t="s">
        <v>237</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74.5</v>
      </c>
      <c r="Y35">
        <v>1</v>
      </c>
      <c r="Z35">
        <v>74.625</v>
      </c>
      <c r="AA35">
        <v>74.625</v>
      </c>
      <c r="AB35">
        <v>0</v>
      </c>
      <c r="AC35">
        <v>74.5</v>
      </c>
      <c r="AD35">
        <v>1</v>
      </c>
    </row>
    <row r="36" spans="1:32" x14ac:dyDescent="0.2">
      <c r="A36" t="s">
        <v>233</v>
      </c>
      <c r="B36" t="s">
        <v>238</v>
      </c>
      <c r="C36">
        <v>0</v>
      </c>
      <c r="D36">
        <v>0</v>
      </c>
      <c r="E36">
        <v>40.5</v>
      </c>
      <c r="F36">
        <v>2</v>
      </c>
      <c r="G36">
        <v>40.75</v>
      </c>
      <c r="H36">
        <v>0</v>
      </c>
      <c r="I36">
        <v>0</v>
      </c>
      <c r="J36">
        <v>0</v>
      </c>
      <c r="K36">
        <v>0</v>
      </c>
      <c r="L36">
        <v>0</v>
      </c>
      <c r="M36">
        <v>0</v>
      </c>
      <c r="N36">
        <v>0</v>
      </c>
      <c r="O36">
        <v>0</v>
      </c>
      <c r="P36">
        <v>0</v>
      </c>
      <c r="Q36">
        <v>0</v>
      </c>
      <c r="R36">
        <v>0</v>
      </c>
      <c r="S36">
        <v>0</v>
      </c>
      <c r="T36">
        <v>0</v>
      </c>
      <c r="U36">
        <v>0</v>
      </c>
      <c r="V36">
        <v>0</v>
      </c>
      <c r="W36">
        <v>0</v>
      </c>
      <c r="X36">
        <v>40.5</v>
      </c>
      <c r="Y36">
        <v>2</v>
      </c>
      <c r="Z36">
        <v>40.75</v>
      </c>
      <c r="AA36">
        <v>40.75</v>
      </c>
      <c r="AB36">
        <v>0</v>
      </c>
      <c r="AC36">
        <v>40.5</v>
      </c>
      <c r="AD36">
        <v>2</v>
      </c>
    </row>
    <row r="37" spans="1:32" x14ac:dyDescent="0.2">
      <c r="A37" t="s">
        <v>233</v>
      </c>
      <c r="B37" t="s">
        <v>239</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1.5</v>
      </c>
      <c r="Y37">
        <v>2</v>
      </c>
      <c r="Z37">
        <v>1.75</v>
      </c>
      <c r="AA37">
        <v>0.5</v>
      </c>
      <c r="AB37">
        <v>1.25</v>
      </c>
      <c r="AC37">
        <v>0</v>
      </c>
      <c r="AD37">
        <v>4</v>
      </c>
      <c r="AE37">
        <v>1.5</v>
      </c>
      <c r="AF37">
        <v>2</v>
      </c>
    </row>
    <row r="38" spans="1:32" x14ac:dyDescent="0.2">
      <c r="A38" t="s">
        <v>233</v>
      </c>
      <c r="B38" t="s">
        <v>175</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row>
    <row r="39" spans="1:32" x14ac:dyDescent="0.2">
      <c r="A39" t="s">
        <v>233</v>
      </c>
      <c r="B39" t="s">
        <v>175</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row>
    <row r="40" spans="1:32" x14ac:dyDescent="0.2">
      <c r="A40" t="s">
        <v>233</v>
      </c>
      <c r="B40" t="s">
        <v>175</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row>
    <row r="41" spans="1:32" x14ac:dyDescent="0.2">
      <c r="A41" t="s">
        <v>233</v>
      </c>
      <c r="B41" t="s">
        <v>240</v>
      </c>
      <c r="C41">
        <v>0</v>
      </c>
      <c r="D41">
        <v>0</v>
      </c>
      <c r="E41">
        <v>0</v>
      </c>
      <c r="F41">
        <v>0</v>
      </c>
      <c r="G41">
        <v>0</v>
      </c>
      <c r="H41">
        <v>0</v>
      </c>
      <c r="I41">
        <v>0</v>
      </c>
      <c r="J41">
        <v>0</v>
      </c>
      <c r="K41">
        <v>0</v>
      </c>
      <c r="L41">
        <v>0</v>
      </c>
      <c r="M41">
        <v>0</v>
      </c>
      <c r="N41">
        <v>7.5</v>
      </c>
      <c r="O41">
        <v>0</v>
      </c>
      <c r="P41">
        <v>7.5</v>
      </c>
      <c r="Q41">
        <v>0</v>
      </c>
      <c r="R41">
        <v>0</v>
      </c>
      <c r="S41">
        <v>0</v>
      </c>
      <c r="T41">
        <v>0</v>
      </c>
      <c r="U41">
        <v>0</v>
      </c>
      <c r="V41">
        <v>0</v>
      </c>
      <c r="W41">
        <v>0</v>
      </c>
      <c r="X41">
        <v>7.5</v>
      </c>
      <c r="Y41">
        <v>0</v>
      </c>
      <c r="Z41">
        <v>7.5</v>
      </c>
      <c r="AA41">
        <v>7.5</v>
      </c>
      <c r="AB41">
        <v>0</v>
      </c>
      <c r="AC41">
        <v>7.5</v>
      </c>
      <c r="AD41">
        <v>0</v>
      </c>
    </row>
    <row r="42" spans="1:32" x14ac:dyDescent="0.2">
      <c r="A42" t="s">
        <v>233</v>
      </c>
      <c r="B42" t="s">
        <v>175</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row>
    <row r="43" spans="1:32" x14ac:dyDescent="0.2">
      <c r="A43" t="s">
        <v>233</v>
      </c>
      <c r="B43" t="s">
        <v>175</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row>
    <row r="44" spans="1:32" x14ac:dyDescent="0.2">
      <c r="A44" t="s">
        <v>233</v>
      </c>
      <c r="B44" t="s">
        <v>175</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row>
    <row r="45" spans="1:32" x14ac:dyDescent="0.2">
      <c r="A45" t="s">
        <v>233</v>
      </c>
      <c r="B45" t="s">
        <v>321</v>
      </c>
      <c r="C45">
        <v>0</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32" x14ac:dyDescent="0.2">
      <c r="A46" t="s">
        <v>233</v>
      </c>
      <c r="B46" t="s">
        <v>175</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row>
    <row r="47" spans="1:32" x14ac:dyDescent="0.2">
      <c r="A47" t="s">
        <v>233</v>
      </c>
      <c r="B47" t="s">
        <v>175</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row>
    <row r="48" spans="1:32" x14ac:dyDescent="0.2">
      <c r="A48" t="s">
        <v>233</v>
      </c>
      <c r="B48" t="s">
        <v>175</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row>
    <row r="49" spans="1:32" x14ac:dyDescent="0.2">
      <c r="A49" t="s">
        <v>233</v>
      </c>
      <c r="B49" t="s">
        <v>242</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13</v>
      </c>
      <c r="Y49">
        <v>0</v>
      </c>
      <c r="Z49">
        <v>13</v>
      </c>
      <c r="AA49">
        <v>13</v>
      </c>
      <c r="AB49">
        <v>0</v>
      </c>
      <c r="AC49">
        <v>13</v>
      </c>
      <c r="AD49">
        <v>0</v>
      </c>
    </row>
    <row r="50" spans="1:32" x14ac:dyDescent="0.2">
      <c r="A50" t="s">
        <v>233</v>
      </c>
      <c r="B50" t="s">
        <v>243</v>
      </c>
      <c r="C50">
        <v>0</v>
      </c>
      <c r="D50">
        <v>0</v>
      </c>
      <c r="E50">
        <v>0</v>
      </c>
      <c r="F50">
        <v>0</v>
      </c>
      <c r="G50">
        <v>0</v>
      </c>
      <c r="H50">
        <v>0</v>
      </c>
      <c r="I50">
        <v>0</v>
      </c>
      <c r="J50">
        <v>0</v>
      </c>
      <c r="K50">
        <v>0</v>
      </c>
      <c r="L50">
        <v>0</v>
      </c>
      <c r="M50">
        <v>0</v>
      </c>
      <c r="N50">
        <v>0</v>
      </c>
      <c r="O50">
        <v>0</v>
      </c>
      <c r="P50">
        <v>0</v>
      </c>
      <c r="Q50">
        <v>12</v>
      </c>
      <c r="R50">
        <v>0</v>
      </c>
      <c r="S50">
        <v>12</v>
      </c>
      <c r="T50">
        <v>0</v>
      </c>
      <c r="U50">
        <v>0</v>
      </c>
      <c r="V50">
        <v>0</v>
      </c>
      <c r="W50">
        <v>0</v>
      </c>
      <c r="X50">
        <v>12</v>
      </c>
      <c r="Y50">
        <v>0</v>
      </c>
      <c r="Z50">
        <v>12</v>
      </c>
      <c r="AA50">
        <v>12</v>
      </c>
      <c r="AB50">
        <v>0</v>
      </c>
      <c r="AC50">
        <v>12</v>
      </c>
      <c r="AD50">
        <v>0</v>
      </c>
    </row>
    <row r="51" spans="1:32" x14ac:dyDescent="0.2">
      <c r="A51" t="s">
        <v>233</v>
      </c>
      <c r="B51" t="s">
        <v>275</v>
      </c>
      <c r="C51">
        <v>0</v>
      </c>
      <c r="D51">
        <v>0</v>
      </c>
      <c r="E51">
        <v>0</v>
      </c>
      <c r="F51">
        <v>0</v>
      </c>
      <c r="G51">
        <v>0</v>
      </c>
      <c r="H51">
        <v>0</v>
      </c>
      <c r="I51">
        <v>0</v>
      </c>
      <c r="J51">
        <v>0</v>
      </c>
      <c r="K51">
        <v>0</v>
      </c>
      <c r="L51">
        <v>0</v>
      </c>
      <c r="M51">
        <v>0</v>
      </c>
      <c r="N51">
        <v>0</v>
      </c>
      <c r="O51">
        <v>0</v>
      </c>
      <c r="P51">
        <v>0</v>
      </c>
      <c r="Q51">
        <v>0</v>
      </c>
      <c r="R51">
        <v>0</v>
      </c>
      <c r="S51">
        <v>0</v>
      </c>
      <c r="T51">
        <v>0</v>
      </c>
      <c r="U51">
        <v>0</v>
      </c>
      <c r="V51">
        <v>0</v>
      </c>
      <c r="W51">
        <v>0</v>
      </c>
    </row>
    <row r="52" spans="1:32" x14ac:dyDescent="0.2">
      <c r="A52" t="s">
        <v>244</v>
      </c>
      <c r="B52" t="s">
        <v>245</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row>
    <row r="53" spans="1:32" x14ac:dyDescent="0.2">
      <c r="A53" t="s">
        <v>244</v>
      </c>
      <c r="B53" t="s">
        <v>246</v>
      </c>
      <c r="C53">
        <v>0</v>
      </c>
      <c r="D53">
        <v>0</v>
      </c>
      <c r="E53">
        <v>0</v>
      </c>
      <c r="F53">
        <v>0</v>
      </c>
      <c r="G53">
        <v>0</v>
      </c>
      <c r="H53">
        <v>0</v>
      </c>
      <c r="I53">
        <v>0</v>
      </c>
      <c r="J53">
        <v>0</v>
      </c>
      <c r="K53">
        <v>0</v>
      </c>
      <c r="L53">
        <v>0</v>
      </c>
      <c r="M53">
        <v>0</v>
      </c>
      <c r="N53">
        <v>0</v>
      </c>
      <c r="O53">
        <v>0</v>
      </c>
      <c r="P53">
        <v>0</v>
      </c>
      <c r="Q53">
        <v>0</v>
      </c>
      <c r="R53">
        <v>0</v>
      </c>
      <c r="S53">
        <v>0</v>
      </c>
      <c r="T53">
        <v>2</v>
      </c>
      <c r="U53">
        <v>2</v>
      </c>
      <c r="V53">
        <v>2.25</v>
      </c>
      <c r="W53">
        <v>0</v>
      </c>
      <c r="X53">
        <v>2</v>
      </c>
      <c r="Y53">
        <v>2</v>
      </c>
      <c r="Z53">
        <v>2.25</v>
      </c>
      <c r="AA53">
        <v>2.25</v>
      </c>
      <c r="AB53">
        <v>0</v>
      </c>
      <c r="AC53">
        <v>2</v>
      </c>
      <c r="AD53">
        <v>2</v>
      </c>
    </row>
    <row r="54" spans="1:32" x14ac:dyDescent="0.2">
      <c r="A54" t="s">
        <v>244</v>
      </c>
      <c r="B54" t="s">
        <v>247</v>
      </c>
      <c r="C54">
        <v>0</v>
      </c>
      <c r="D54">
        <v>0</v>
      </c>
      <c r="E54">
        <v>1.5</v>
      </c>
      <c r="F54">
        <v>0</v>
      </c>
      <c r="G54">
        <v>1.5</v>
      </c>
      <c r="H54">
        <v>0</v>
      </c>
      <c r="I54">
        <v>0</v>
      </c>
      <c r="J54">
        <v>0</v>
      </c>
      <c r="K54">
        <v>0</v>
      </c>
      <c r="L54">
        <v>0</v>
      </c>
      <c r="M54">
        <v>0</v>
      </c>
      <c r="N54">
        <v>0</v>
      </c>
      <c r="O54">
        <v>0</v>
      </c>
      <c r="P54">
        <v>0</v>
      </c>
      <c r="Q54">
        <v>0</v>
      </c>
      <c r="R54">
        <v>0</v>
      </c>
      <c r="S54">
        <v>0</v>
      </c>
      <c r="T54">
        <v>0</v>
      </c>
      <c r="U54">
        <v>0</v>
      </c>
      <c r="V54">
        <v>0</v>
      </c>
      <c r="W54">
        <v>0</v>
      </c>
      <c r="X54">
        <v>1.5</v>
      </c>
      <c r="Y54">
        <v>6</v>
      </c>
      <c r="Z54">
        <v>2.25</v>
      </c>
      <c r="AA54">
        <v>0.75</v>
      </c>
      <c r="AB54">
        <v>1.5</v>
      </c>
      <c r="AC54">
        <v>0</v>
      </c>
      <c r="AD54">
        <v>6</v>
      </c>
      <c r="AE54">
        <v>1.5</v>
      </c>
      <c r="AF54">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6"/>
  <sheetViews>
    <sheetView workbookViewId="0"/>
  </sheetViews>
  <sheetFormatPr baseColWidth="10" defaultColWidth="8.83203125" defaultRowHeight="15" x14ac:dyDescent="0.2"/>
  <sheetData>
    <row r="1" spans="1:36" x14ac:dyDescent="0.2">
      <c r="A1" s="1" t="s">
        <v>0</v>
      </c>
      <c r="B1" s="1" t="s">
        <v>1</v>
      </c>
      <c r="C1" s="1" t="s">
        <v>2</v>
      </c>
      <c r="D1" s="1" t="s">
        <v>3</v>
      </c>
      <c r="E1" s="1" t="s">
        <v>4</v>
      </c>
      <c r="F1" s="1" t="s">
        <v>5</v>
      </c>
      <c r="G1" s="1" t="s">
        <v>6</v>
      </c>
      <c r="H1" s="1" t="s">
        <v>7</v>
      </c>
      <c r="I1" s="1" t="s">
        <v>8</v>
      </c>
      <c r="J1" s="1" t="s">
        <v>9</v>
      </c>
      <c r="K1" s="1" t="s">
        <v>10</v>
      </c>
      <c r="L1" s="1" t="s">
        <v>11</v>
      </c>
      <c r="M1" s="1" t="s">
        <v>329</v>
      </c>
      <c r="N1" s="1" t="s">
        <v>330</v>
      </c>
      <c r="O1" s="1" t="s">
        <v>20</v>
      </c>
      <c r="P1" s="1" t="s">
        <v>21</v>
      </c>
      <c r="Q1" s="1" t="s">
        <v>12</v>
      </c>
      <c r="R1" s="1" t="s">
        <v>13</v>
      </c>
      <c r="S1" s="1" t="s">
        <v>22</v>
      </c>
      <c r="T1" s="1" t="s">
        <v>23</v>
      </c>
      <c r="U1" s="1" t="s">
        <v>14</v>
      </c>
      <c r="V1" s="1" t="s">
        <v>15</v>
      </c>
      <c r="W1" s="1" t="s">
        <v>24</v>
      </c>
      <c r="X1" s="1" t="s">
        <v>25</v>
      </c>
      <c r="Y1" s="1" t="s">
        <v>16</v>
      </c>
      <c r="Z1" s="1" t="s">
        <v>17</v>
      </c>
      <c r="AA1" s="1" t="s">
        <v>26</v>
      </c>
      <c r="AB1" s="1" t="s">
        <v>27</v>
      </c>
      <c r="AC1" s="1" t="s">
        <v>331</v>
      </c>
      <c r="AD1" s="1" t="s">
        <v>332</v>
      </c>
      <c r="AE1" s="1" t="s">
        <v>333</v>
      </c>
      <c r="AF1" s="1" t="s">
        <v>334</v>
      </c>
      <c r="AG1" s="1" t="s">
        <v>335</v>
      </c>
      <c r="AH1" s="1" t="s">
        <v>324</v>
      </c>
      <c r="AI1" s="1" t="s">
        <v>325</v>
      </c>
      <c r="AJ1" s="1" t="s">
        <v>336</v>
      </c>
    </row>
    <row r="2" spans="1:36" x14ac:dyDescent="0.2">
      <c r="A2" t="s">
        <v>82</v>
      </c>
      <c r="B2" t="s">
        <v>83</v>
      </c>
      <c r="C2">
        <v>25.2</v>
      </c>
      <c r="D2">
        <v>25</v>
      </c>
      <c r="E2">
        <v>4</v>
      </c>
      <c r="F2">
        <v>0</v>
      </c>
      <c r="G2" t="s">
        <v>78</v>
      </c>
      <c r="H2">
        <v>84</v>
      </c>
      <c r="I2">
        <v>0</v>
      </c>
      <c r="J2">
        <v>84</v>
      </c>
      <c r="K2">
        <v>84</v>
      </c>
      <c r="L2">
        <v>0</v>
      </c>
      <c r="M2">
        <v>84</v>
      </c>
      <c r="N2">
        <v>0</v>
      </c>
      <c r="O2">
        <v>6</v>
      </c>
      <c r="P2">
        <v>0</v>
      </c>
      <c r="AC2">
        <v>0.3</v>
      </c>
      <c r="AG2">
        <v>84</v>
      </c>
      <c r="AH2">
        <v>0.3</v>
      </c>
      <c r="AI2">
        <v>0.3</v>
      </c>
      <c r="AJ2" t="s">
        <v>78</v>
      </c>
    </row>
    <row r="3" spans="1:36" x14ac:dyDescent="0.2">
      <c r="A3" t="s">
        <v>82</v>
      </c>
      <c r="B3" t="s">
        <v>84</v>
      </c>
      <c r="C3">
        <v>0.41</v>
      </c>
      <c r="D3">
        <v>0</v>
      </c>
      <c r="E3">
        <v>8</v>
      </c>
      <c r="F3">
        <v>1.5</v>
      </c>
      <c r="G3" t="s">
        <v>85</v>
      </c>
      <c r="H3">
        <v>3</v>
      </c>
      <c r="I3">
        <v>3</v>
      </c>
      <c r="J3">
        <v>3.375</v>
      </c>
      <c r="K3">
        <v>3.375</v>
      </c>
      <c r="L3">
        <v>0</v>
      </c>
      <c r="M3">
        <v>3</v>
      </c>
      <c r="N3">
        <v>3</v>
      </c>
      <c r="O3">
        <v>2</v>
      </c>
      <c r="P3">
        <v>4</v>
      </c>
      <c r="AC3">
        <v>0.1166666666666667</v>
      </c>
      <c r="AG3">
        <v>3.375</v>
      </c>
      <c r="AH3">
        <v>0.1166666666666667</v>
      </c>
      <c r="AI3">
        <v>0.1166666666666667</v>
      </c>
      <c r="AJ3" t="s">
        <v>85</v>
      </c>
    </row>
    <row r="4" spans="1:36" x14ac:dyDescent="0.2">
      <c r="A4" t="s">
        <v>82</v>
      </c>
      <c r="B4" t="s">
        <v>86</v>
      </c>
      <c r="C4">
        <v>0.15</v>
      </c>
      <c r="D4">
        <v>0</v>
      </c>
      <c r="E4">
        <v>3</v>
      </c>
      <c r="F4">
        <v>0</v>
      </c>
      <c r="G4" t="s">
        <v>87</v>
      </c>
      <c r="H4">
        <v>1</v>
      </c>
      <c r="I4">
        <v>0</v>
      </c>
      <c r="J4">
        <v>1</v>
      </c>
      <c r="K4">
        <v>1</v>
      </c>
      <c r="L4">
        <v>0</v>
      </c>
      <c r="M4">
        <v>1</v>
      </c>
      <c r="N4">
        <v>0</v>
      </c>
      <c r="AC4">
        <v>0.15</v>
      </c>
      <c r="AG4">
        <v>1</v>
      </c>
      <c r="AH4">
        <v>0.15</v>
      </c>
      <c r="AI4">
        <v>0.15</v>
      </c>
      <c r="AJ4" t="s">
        <v>87</v>
      </c>
    </row>
    <row r="5" spans="1:36" x14ac:dyDescent="0.2">
      <c r="A5" t="s">
        <v>82</v>
      </c>
      <c r="B5" t="s">
        <v>88</v>
      </c>
      <c r="C5">
        <v>1.4</v>
      </c>
      <c r="D5">
        <v>1</v>
      </c>
      <c r="E5">
        <v>8</v>
      </c>
      <c r="F5">
        <v>0</v>
      </c>
      <c r="G5" t="s">
        <v>89</v>
      </c>
      <c r="H5">
        <v>12</v>
      </c>
      <c r="I5">
        <v>0</v>
      </c>
      <c r="J5">
        <v>12</v>
      </c>
      <c r="K5">
        <v>12</v>
      </c>
      <c r="L5">
        <v>0</v>
      </c>
      <c r="M5">
        <v>12</v>
      </c>
      <c r="N5">
        <v>0</v>
      </c>
      <c r="O5">
        <v>2</v>
      </c>
      <c r="P5">
        <v>4</v>
      </c>
      <c r="AC5">
        <v>0.1166666666666667</v>
      </c>
      <c r="AG5">
        <v>12</v>
      </c>
      <c r="AH5">
        <v>0.1166666666666667</v>
      </c>
      <c r="AI5">
        <v>0.1166666666666667</v>
      </c>
      <c r="AJ5" t="s">
        <v>89</v>
      </c>
    </row>
    <row r="6" spans="1:36" x14ac:dyDescent="0.2">
      <c r="A6" t="s">
        <v>82</v>
      </c>
      <c r="B6" t="s">
        <v>90</v>
      </c>
      <c r="C6">
        <v>27.16</v>
      </c>
      <c r="D6">
        <v>27</v>
      </c>
      <c r="E6">
        <v>3</v>
      </c>
      <c r="F6">
        <v>1.5</v>
      </c>
      <c r="H6">
        <v>0</v>
      </c>
      <c r="I6">
        <v>0</v>
      </c>
      <c r="J6">
        <v>0</v>
      </c>
      <c r="K6">
        <v>0</v>
      </c>
      <c r="L6">
        <v>0</v>
      </c>
      <c r="M6">
        <v>0</v>
      </c>
      <c r="N6">
        <v>0</v>
      </c>
      <c r="AC6" t="s">
        <v>337</v>
      </c>
      <c r="AG6">
        <v>0</v>
      </c>
      <c r="AH6" t="s">
        <v>337</v>
      </c>
      <c r="AI6" t="s">
        <v>337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14"/>
  <sheetViews>
    <sheetView topLeftCell="A118" workbookViewId="0">
      <selection activeCell="C144" sqref="C144:F144"/>
    </sheetView>
  </sheetViews>
  <sheetFormatPr baseColWidth="10" defaultColWidth="8.83203125" defaultRowHeight="15" x14ac:dyDescent="0.2"/>
  <cols>
    <col min="1" max="1" width="27.5" bestFit="1" customWidth="1"/>
  </cols>
  <sheetData>
    <row r="1" spans="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2">
      <c r="A2" t="s">
        <v>36</v>
      </c>
      <c r="B2" t="s">
        <v>37</v>
      </c>
      <c r="C2">
        <v>9.94</v>
      </c>
      <c r="D2">
        <v>9</v>
      </c>
      <c r="E2">
        <v>18</v>
      </c>
      <c r="F2">
        <v>9.5</v>
      </c>
      <c r="H2">
        <v>0</v>
      </c>
      <c r="I2">
        <v>0</v>
      </c>
      <c r="J2">
        <v>0</v>
      </c>
      <c r="K2">
        <v>0</v>
      </c>
      <c r="L2">
        <v>0</v>
      </c>
      <c r="M2">
        <v>0</v>
      </c>
      <c r="N2">
        <v>0</v>
      </c>
    </row>
    <row r="3" spans="1:36" x14ac:dyDescent="0.2">
      <c r="A3" t="s">
        <v>36</v>
      </c>
      <c r="B3" t="s">
        <v>38</v>
      </c>
      <c r="C3">
        <v>0</v>
      </c>
      <c r="D3">
        <v>0</v>
      </c>
      <c r="E3">
        <v>0</v>
      </c>
      <c r="F3">
        <v>0</v>
      </c>
      <c r="H3">
        <v>0</v>
      </c>
      <c r="I3">
        <v>0</v>
      </c>
      <c r="J3">
        <v>0</v>
      </c>
      <c r="K3">
        <v>0</v>
      </c>
      <c r="L3">
        <v>0</v>
      </c>
      <c r="M3">
        <v>0</v>
      </c>
      <c r="N3">
        <v>0</v>
      </c>
    </row>
    <row r="4" spans="1:36" x14ac:dyDescent="0.2">
      <c r="A4" t="s">
        <v>39</v>
      </c>
      <c r="B4" t="s">
        <v>40</v>
      </c>
      <c r="C4">
        <v>8.84</v>
      </c>
      <c r="D4">
        <v>8</v>
      </c>
      <c r="E4">
        <v>16</v>
      </c>
      <c r="F4">
        <v>10.25</v>
      </c>
      <c r="H4">
        <v>0</v>
      </c>
      <c r="I4">
        <v>0</v>
      </c>
      <c r="J4">
        <v>0</v>
      </c>
      <c r="K4">
        <v>0</v>
      </c>
      <c r="L4">
        <v>0</v>
      </c>
      <c r="M4">
        <v>0</v>
      </c>
      <c r="N4">
        <v>0</v>
      </c>
    </row>
    <row r="5" spans="1:36" x14ac:dyDescent="0.2">
      <c r="A5" t="s">
        <v>39</v>
      </c>
      <c r="B5" t="s">
        <v>41</v>
      </c>
      <c r="C5">
        <v>8.84</v>
      </c>
      <c r="D5">
        <v>8</v>
      </c>
      <c r="E5">
        <v>16</v>
      </c>
      <c r="F5">
        <v>10.25</v>
      </c>
      <c r="H5">
        <v>0</v>
      </c>
      <c r="I5">
        <v>0</v>
      </c>
      <c r="J5">
        <v>0</v>
      </c>
      <c r="K5">
        <v>0</v>
      </c>
      <c r="L5">
        <v>0</v>
      </c>
      <c r="M5">
        <v>0</v>
      </c>
      <c r="N5">
        <v>0</v>
      </c>
    </row>
    <row r="6" spans="1:36" x14ac:dyDescent="0.2">
      <c r="A6" t="s">
        <v>39</v>
      </c>
      <c r="B6" t="s">
        <v>42</v>
      </c>
      <c r="C6">
        <v>17.690000000000001</v>
      </c>
      <c r="D6">
        <v>17</v>
      </c>
      <c r="E6">
        <v>13</v>
      </c>
      <c r="F6">
        <v>9</v>
      </c>
      <c r="H6">
        <v>0</v>
      </c>
      <c r="I6">
        <v>0</v>
      </c>
      <c r="J6">
        <v>0</v>
      </c>
      <c r="K6">
        <v>0</v>
      </c>
      <c r="L6">
        <v>0</v>
      </c>
      <c r="M6">
        <v>0</v>
      </c>
      <c r="N6">
        <v>0</v>
      </c>
    </row>
    <row r="7" spans="1:36" x14ac:dyDescent="0.2">
      <c r="A7" t="s">
        <v>43</v>
      </c>
      <c r="B7" t="s">
        <v>44</v>
      </c>
      <c r="C7">
        <v>0.25</v>
      </c>
      <c r="D7">
        <v>0</v>
      </c>
      <c r="E7">
        <v>5</v>
      </c>
      <c r="F7">
        <v>0</v>
      </c>
      <c r="H7">
        <v>0</v>
      </c>
      <c r="I7">
        <v>0</v>
      </c>
      <c r="J7">
        <v>0</v>
      </c>
      <c r="K7">
        <v>0</v>
      </c>
      <c r="L7">
        <v>0</v>
      </c>
      <c r="M7">
        <v>0</v>
      </c>
      <c r="N7">
        <v>0</v>
      </c>
    </row>
    <row r="8" spans="1:36" x14ac:dyDescent="0.2">
      <c r="A8" t="s">
        <v>43</v>
      </c>
      <c r="B8" t="s">
        <v>45</v>
      </c>
      <c r="C8">
        <v>0.15</v>
      </c>
      <c r="D8">
        <v>0</v>
      </c>
      <c r="E8">
        <v>3</v>
      </c>
      <c r="F8">
        <v>0</v>
      </c>
      <c r="H8">
        <v>0</v>
      </c>
      <c r="I8">
        <v>0</v>
      </c>
      <c r="J8">
        <v>0</v>
      </c>
      <c r="K8">
        <v>0</v>
      </c>
      <c r="L8">
        <v>0</v>
      </c>
      <c r="M8">
        <v>0</v>
      </c>
      <c r="N8">
        <v>0</v>
      </c>
    </row>
    <row r="9" spans="1:36" x14ac:dyDescent="0.2">
      <c r="A9" t="s">
        <v>43</v>
      </c>
      <c r="B9" t="s">
        <v>46</v>
      </c>
      <c r="C9">
        <v>0.3</v>
      </c>
      <c r="D9">
        <v>0</v>
      </c>
      <c r="E9">
        <v>6</v>
      </c>
      <c r="F9">
        <v>0</v>
      </c>
      <c r="H9">
        <v>0</v>
      </c>
      <c r="I9">
        <v>0</v>
      </c>
      <c r="J9">
        <v>0</v>
      </c>
      <c r="K9">
        <v>0</v>
      </c>
      <c r="L9">
        <v>0</v>
      </c>
      <c r="M9">
        <v>0</v>
      </c>
      <c r="N9">
        <v>0</v>
      </c>
    </row>
    <row r="10" spans="1:36" x14ac:dyDescent="0.2">
      <c r="A10" t="s">
        <v>43</v>
      </c>
      <c r="B10" t="s">
        <v>47</v>
      </c>
      <c r="C10">
        <v>0.1</v>
      </c>
      <c r="D10">
        <v>0</v>
      </c>
      <c r="E10">
        <v>2</v>
      </c>
      <c r="F10">
        <v>0</v>
      </c>
      <c r="H10">
        <v>0</v>
      </c>
      <c r="I10">
        <v>0</v>
      </c>
      <c r="J10">
        <v>0</v>
      </c>
      <c r="K10">
        <v>0</v>
      </c>
      <c r="L10">
        <v>0</v>
      </c>
      <c r="M10">
        <v>0</v>
      </c>
      <c r="N10">
        <v>0</v>
      </c>
    </row>
    <row r="11" spans="1:36" x14ac:dyDescent="0.2">
      <c r="A11" t="s">
        <v>48</v>
      </c>
      <c r="B11" t="s">
        <v>49</v>
      </c>
      <c r="C11">
        <v>0.06</v>
      </c>
      <c r="D11">
        <v>0</v>
      </c>
      <c r="E11">
        <v>1</v>
      </c>
      <c r="F11">
        <v>3</v>
      </c>
      <c r="H11">
        <v>0</v>
      </c>
      <c r="I11">
        <v>0</v>
      </c>
      <c r="J11">
        <v>0</v>
      </c>
      <c r="K11">
        <v>0</v>
      </c>
      <c r="L11">
        <v>0</v>
      </c>
      <c r="M11">
        <v>0</v>
      </c>
      <c r="N11">
        <v>0</v>
      </c>
    </row>
    <row r="12" spans="1:36" x14ac:dyDescent="0.2">
      <c r="A12" t="s">
        <v>48</v>
      </c>
      <c r="B12" t="s">
        <v>50</v>
      </c>
      <c r="C12">
        <v>0.24</v>
      </c>
      <c r="D12">
        <v>0</v>
      </c>
      <c r="E12">
        <v>4</v>
      </c>
      <c r="F12">
        <v>9</v>
      </c>
      <c r="H12">
        <v>0</v>
      </c>
      <c r="I12">
        <v>0</v>
      </c>
      <c r="J12">
        <v>0</v>
      </c>
      <c r="K12">
        <v>0</v>
      </c>
      <c r="L12">
        <v>0</v>
      </c>
      <c r="M12">
        <v>0</v>
      </c>
      <c r="N12">
        <v>0</v>
      </c>
    </row>
    <row r="13" spans="1:36" x14ac:dyDescent="0.2">
      <c r="A13" t="s">
        <v>48</v>
      </c>
      <c r="B13" t="s">
        <v>51</v>
      </c>
      <c r="C13">
        <v>0.03</v>
      </c>
      <c r="D13">
        <v>0</v>
      </c>
      <c r="E13">
        <v>0</v>
      </c>
      <c r="F13">
        <v>6</v>
      </c>
      <c r="H13">
        <v>0</v>
      </c>
      <c r="I13">
        <v>0</v>
      </c>
      <c r="J13">
        <v>0</v>
      </c>
      <c r="K13">
        <v>0</v>
      </c>
      <c r="L13">
        <v>0</v>
      </c>
      <c r="M13">
        <v>0</v>
      </c>
      <c r="N13">
        <v>0</v>
      </c>
    </row>
    <row r="14" spans="1:36" x14ac:dyDescent="0.2">
      <c r="A14" t="s">
        <v>48</v>
      </c>
      <c r="B14" t="s">
        <v>52</v>
      </c>
      <c r="C14">
        <v>0.04</v>
      </c>
      <c r="D14">
        <v>0</v>
      </c>
      <c r="E14">
        <v>0</v>
      </c>
      <c r="F14">
        <v>10</v>
      </c>
      <c r="H14">
        <v>0</v>
      </c>
      <c r="I14">
        <v>0</v>
      </c>
      <c r="J14">
        <v>0</v>
      </c>
      <c r="K14">
        <v>0</v>
      </c>
      <c r="L14">
        <v>0</v>
      </c>
      <c r="M14">
        <v>0</v>
      </c>
      <c r="N14">
        <v>0</v>
      </c>
    </row>
    <row r="15" spans="1:36" x14ac:dyDescent="0.2">
      <c r="A15" t="s">
        <v>48</v>
      </c>
      <c r="B15" t="s">
        <v>53</v>
      </c>
      <c r="C15">
        <v>0.1</v>
      </c>
      <c r="D15">
        <v>0</v>
      </c>
      <c r="E15">
        <v>2</v>
      </c>
      <c r="F15">
        <v>0</v>
      </c>
      <c r="H15">
        <v>0</v>
      </c>
      <c r="I15">
        <v>0</v>
      </c>
      <c r="J15">
        <v>0</v>
      </c>
      <c r="K15">
        <v>0</v>
      </c>
      <c r="L15">
        <v>0</v>
      </c>
      <c r="M15">
        <v>0</v>
      </c>
      <c r="N15">
        <v>0</v>
      </c>
    </row>
    <row r="16" spans="1:36" x14ac:dyDescent="0.2">
      <c r="A16" t="s">
        <v>48</v>
      </c>
      <c r="B16" t="s">
        <v>54</v>
      </c>
      <c r="C16">
        <v>1.27</v>
      </c>
      <c r="D16">
        <v>1</v>
      </c>
      <c r="E16">
        <v>5</v>
      </c>
      <c r="F16">
        <v>5</v>
      </c>
      <c r="H16">
        <v>0</v>
      </c>
      <c r="I16">
        <v>0</v>
      </c>
      <c r="J16">
        <v>0</v>
      </c>
      <c r="K16">
        <v>0</v>
      </c>
      <c r="L16">
        <v>0</v>
      </c>
      <c r="M16">
        <v>0</v>
      </c>
      <c r="N16">
        <v>0</v>
      </c>
    </row>
    <row r="17" spans="1:14" x14ac:dyDescent="0.2">
      <c r="A17" t="s">
        <v>48</v>
      </c>
      <c r="B17" t="s">
        <v>55</v>
      </c>
      <c r="C17">
        <v>16.420000000000002</v>
      </c>
      <c r="D17">
        <v>16</v>
      </c>
      <c r="E17">
        <v>8</v>
      </c>
      <c r="F17">
        <v>4</v>
      </c>
      <c r="H17">
        <v>0</v>
      </c>
      <c r="I17">
        <v>0</v>
      </c>
      <c r="J17">
        <v>0</v>
      </c>
      <c r="K17">
        <v>0</v>
      </c>
      <c r="L17">
        <v>0</v>
      </c>
      <c r="M17">
        <v>0</v>
      </c>
      <c r="N17">
        <v>0</v>
      </c>
    </row>
    <row r="18" spans="1:14" x14ac:dyDescent="0.2">
      <c r="A18" t="s">
        <v>56</v>
      </c>
      <c r="B18" t="s">
        <v>57</v>
      </c>
      <c r="C18">
        <v>0.03</v>
      </c>
      <c r="D18">
        <v>0</v>
      </c>
      <c r="E18">
        <v>0</v>
      </c>
      <c r="F18">
        <v>6</v>
      </c>
      <c r="H18">
        <v>0</v>
      </c>
      <c r="I18">
        <v>0</v>
      </c>
      <c r="J18">
        <v>0</v>
      </c>
      <c r="K18">
        <v>0</v>
      </c>
      <c r="L18">
        <v>0</v>
      </c>
      <c r="M18">
        <v>0</v>
      </c>
      <c r="N18">
        <v>0</v>
      </c>
    </row>
    <row r="19" spans="1:14" x14ac:dyDescent="0.2">
      <c r="A19" t="s">
        <v>56</v>
      </c>
      <c r="B19" t="s">
        <v>58</v>
      </c>
      <c r="C19">
        <v>0.03</v>
      </c>
      <c r="D19">
        <v>0</v>
      </c>
      <c r="E19">
        <v>0</v>
      </c>
      <c r="F19">
        <v>6</v>
      </c>
      <c r="H19">
        <v>0</v>
      </c>
      <c r="I19">
        <v>0</v>
      </c>
      <c r="J19">
        <v>0</v>
      </c>
      <c r="K19">
        <v>0</v>
      </c>
      <c r="L19">
        <v>0</v>
      </c>
      <c r="M19">
        <v>0</v>
      </c>
      <c r="N19">
        <v>0</v>
      </c>
    </row>
    <row r="20" spans="1:14" x14ac:dyDescent="0.2">
      <c r="A20" t="s">
        <v>56</v>
      </c>
      <c r="B20" t="s">
        <v>59</v>
      </c>
      <c r="C20">
        <v>0.03</v>
      </c>
      <c r="D20">
        <v>0</v>
      </c>
      <c r="E20">
        <v>0</v>
      </c>
      <c r="F20">
        <v>6</v>
      </c>
      <c r="H20">
        <v>0</v>
      </c>
      <c r="I20">
        <v>0</v>
      </c>
      <c r="J20">
        <v>0</v>
      </c>
      <c r="K20">
        <v>0</v>
      </c>
      <c r="L20">
        <v>0</v>
      </c>
      <c r="M20">
        <v>0</v>
      </c>
      <c r="N20">
        <v>0</v>
      </c>
    </row>
    <row r="21" spans="1:14" x14ac:dyDescent="0.2">
      <c r="A21" t="s">
        <v>60</v>
      </c>
      <c r="B21" t="s">
        <v>61</v>
      </c>
      <c r="C21">
        <v>0.7</v>
      </c>
      <c r="D21">
        <v>0</v>
      </c>
      <c r="E21">
        <v>14</v>
      </c>
      <c r="F21">
        <v>1</v>
      </c>
      <c r="H21">
        <v>0</v>
      </c>
      <c r="I21">
        <v>0</v>
      </c>
      <c r="J21">
        <v>0</v>
      </c>
      <c r="K21">
        <v>0</v>
      </c>
      <c r="L21">
        <v>0</v>
      </c>
      <c r="M21">
        <v>0</v>
      </c>
      <c r="N21">
        <v>0</v>
      </c>
    </row>
    <row r="22" spans="1:14" x14ac:dyDescent="0.2">
      <c r="A22" t="s">
        <v>60</v>
      </c>
      <c r="B22" t="s">
        <v>62</v>
      </c>
      <c r="C22">
        <v>0.31</v>
      </c>
      <c r="D22">
        <v>0</v>
      </c>
      <c r="E22">
        <v>6</v>
      </c>
      <c r="F22">
        <v>2</v>
      </c>
      <c r="H22">
        <v>0</v>
      </c>
      <c r="I22">
        <v>0</v>
      </c>
      <c r="J22">
        <v>0</v>
      </c>
      <c r="K22">
        <v>0</v>
      </c>
      <c r="L22">
        <v>0</v>
      </c>
      <c r="M22">
        <v>0</v>
      </c>
      <c r="N22">
        <v>0</v>
      </c>
    </row>
    <row r="23" spans="1:14" x14ac:dyDescent="0.2">
      <c r="A23" t="s">
        <v>60</v>
      </c>
      <c r="B23" t="s">
        <v>63</v>
      </c>
      <c r="C23">
        <v>0.08</v>
      </c>
      <c r="D23">
        <v>0</v>
      </c>
      <c r="E23">
        <v>1</v>
      </c>
      <c r="F23">
        <v>6</v>
      </c>
      <c r="H23">
        <v>0</v>
      </c>
      <c r="I23">
        <v>0</v>
      </c>
      <c r="J23">
        <v>0</v>
      </c>
      <c r="K23">
        <v>0</v>
      </c>
      <c r="L23">
        <v>0</v>
      </c>
      <c r="M23">
        <v>0</v>
      </c>
      <c r="N23">
        <v>0</v>
      </c>
    </row>
    <row r="24" spans="1:14" x14ac:dyDescent="0.2">
      <c r="A24" t="s">
        <v>60</v>
      </c>
      <c r="B24" t="s">
        <v>64</v>
      </c>
      <c r="C24">
        <v>0.05</v>
      </c>
      <c r="D24">
        <v>0</v>
      </c>
      <c r="E24">
        <v>1</v>
      </c>
      <c r="F24">
        <v>0</v>
      </c>
      <c r="H24">
        <v>0</v>
      </c>
      <c r="I24">
        <v>0</v>
      </c>
      <c r="J24">
        <v>0</v>
      </c>
      <c r="K24">
        <v>0</v>
      </c>
      <c r="L24">
        <v>0</v>
      </c>
      <c r="M24">
        <v>0</v>
      </c>
      <c r="N24">
        <v>0</v>
      </c>
    </row>
    <row r="25" spans="1:14" x14ac:dyDescent="0.2">
      <c r="A25" t="s">
        <v>60</v>
      </c>
      <c r="B25" t="s">
        <v>65</v>
      </c>
      <c r="C25">
        <v>0.1</v>
      </c>
      <c r="D25">
        <v>0</v>
      </c>
      <c r="E25">
        <v>2</v>
      </c>
      <c r="F25">
        <v>0</v>
      </c>
      <c r="H25">
        <v>0</v>
      </c>
      <c r="I25">
        <v>0</v>
      </c>
      <c r="J25">
        <v>0</v>
      </c>
      <c r="K25">
        <v>0</v>
      </c>
      <c r="L25">
        <v>0</v>
      </c>
      <c r="M25">
        <v>0</v>
      </c>
      <c r="N25">
        <v>0</v>
      </c>
    </row>
    <row r="26" spans="1:14" x14ac:dyDescent="0.2">
      <c r="A26" t="s">
        <v>60</v>
      </c>
      <c r="B26" t="s">
        <v>66</v>
      </c>
      <c r="C26">
        <v>0.05</v>
      </c>
      <c r="D26">
        <v>0</v>
      </c>
      <c r="E26">
        <v>1</v>
      </c>
      <c r="F26">
        <v>0</v>
      </c>
      <c r="H26">
        <v>0</v>
      </c>
      <c r="I26">
        <v>0</v>
      </c>
      <c r="J26">
        <v>0</v>
      </c>
      <c r="K26">
        <v>0</v>
      </c>
      <c r="L26">
        <v>0</v>
      </c>
      <c r="M26">
        <v>0</v>
      </c>
      <c r="N26">
        <v>0</v>
      </c>
    </row>
    <row r="27" spans="1:14" x14ac:dyDescent="0.2">
      <c r="A27" t="s">
        <v>60</v>
      </c>
      <c r="B27" t="s">
        <v>67</v>
      </c>
      <c r="C27">
        <v>0.2</v>
      </c>
      <c r="D27">
        <v>0</v>
      </c>
      <c r="E27">
        <v>4</v>
      </c>
      <c r="F27">
        <v>0</v>
      </c>
      <c r="H27">
        <v>0</v>
      </c>
      <c r="I27">
        <v>0</v>
      </c>
      <c r="J27">
        <v>0</v>
      </c>
      <c r="K27">
        <v>0</v>
      </c>
      <c r="L27">
        <v>0</v>
      </c>
      <c r="M27">
        <v>0</v>
      </c>
      <c r="N27">
        <v>0</v>
      </c>
    </row>
    <row r="28" spans="1:14" x14ac:dyDescent="0.2">
      <c r="A28" t="s">
        <v>60</v>
      </c>
      <c r="B28" t="s">
        <v>68</v>
      </c>
      <c r="C28">
        <v>0</v>
      </c>
      <c r="D28">
        <v>0</v>
      </c>
      <c r="E28">
        <v>0</v>
      </c>
      <c r="F28">
        <v>0</v>
      </c>
      <c r="H28">
        <v>0</v>
      </c>
      <c r="I28">
        <v>0</v>
      </c>
      <c r="J28">
        <v>0</v>
      </c>
      <c r="K28">
        <v>0</v>
      </c>
      <c r="L28">
        <v>0</v>
      </c>
      <c r="M28">
        <v>0</v>
      </c>
      <c r="N28">
        <v>0</v>
      </c>
    </row>
    <row r="29" spans="1:14" x14ac:dyDescent="0.2">
      <c r="A29" t="s">
        <v>60</v>
      </c>
      <c r="B29" t="s">
        <v>69</v>
      </c>
      <c r="C29">
        <v>0</v>
      </c>
      <c r="D29">
        <v>0</v>
      </c>
      <c r="E29">
        <v>0</v>
      </c>
      <c r="F29">
        <v>0</v>
      </c>
      <c r="H29">
        <v>0</v>
      </c>
      <c r="I29">
        <v>0</v>
      </c>
      <c r="J29">
        <v>0</v>
      </c>
      <c r="K29">
        <v>0</v>
      </c>
      <c r="L29">
        <v>0</v>
      </c>
      <c r="M29">
        <v>0</v>
      </c>
      <c r="N29">
        <v>0</v>
      </c>
    </row>
    <row r="30" spans="1:14" x14ac:dyDescent="0.2">
      <c r="A30" t="s">
        <v>60</v>
      </c>
      <c r="B30" t="s">
        <v>70</v>
      </c>
      <c r="C30">
        <v>1.5</v>
      </c>
      <c r="D30">
        <v>1</v>
      </c>
      <c r="E30">
        <v>10</v>
      </c>
      <c r="F30">
        <v>0</v>
      </c>
      <c r="H30">
        <v>0</v>
      </c>
      <c r="I30">
        <v>0</v>
      </c>
      <c r="J30">
        <v>0</v>
      </c>
      <c r="K30">
        <v>0</v>
      </c>
      <c r="L30">
        <v>0</v>
      </c>
      <c r="M30">
        <v>0</v>
      </c>
      <c r="N30">
        <v>0</v>
      </c>
    </row>
    <row r="31" spans="1:14" x14ac:dyDescent="0.2">
      <c r="A31" t="s">
        <v>60</v>
      </c>
      <c r="B31" t="s">
        <v>71</v>
      </c>
      <c r="C31">
        <v>0.23</v>
      </c>
      <c r="D31">
        <v>0</v>
      </c>
      <c r="E31">
        <v>4</v>
      </c>
      <c r="F31">
        <v>6</v>
      </c>
      <c r="H31">
        <v>0</v>
      </c>
      <c r="I31">
        <v>0</v>
      </c>
      <c r="J31">
        <v>0</v>
      </c>
      <c r="K31">
        <v>0</v>
      </c>
      <c r="L31">
        <v>0</v>
      </c>
      <c r="M31">
        <v>0</v>
      </c>
      <c r="N31">
        <v>0</v>
      </c>
    </row>
    <row r="32" spans="1:14" x14ac:dyDescent="0.2">
      <c r="A32" t="s">
        <v>60</v>
      </c>
      <c r="B32" t="s">
        <v>72</v>
      </c>
      <c r="C32">
        <v>0.3</v>
      </c>
      <c r="D32">
        <v>0</v>
      </c>
      <c r="E32">
        <v>6</v>
      </c>
      <c r="F32">
        <v>0</v>
      </c>
      <c r="H32">
        <v>0</v>
      </c>
      <c r="I32">
        <v>0</v>
      </c>
      <c r="J32">
        <v>0</v>
      </c>
      <c r="K32">
        <v>0</v>
      </c>
      <c r="L32">
        <v>0</v>
      </c>
      <c r="M32">
        <v>0</v>
      </c>
      <c r="N32">
        <v>0</v>
      </c>
    </row>
    <row r="33" spans="1:22" x14ac:dyDescent="0.2">
      <c r="A33" t="s">
        <v>60</v>
      </c>
      <c r="B33" t="s">
        <v>73</v>
      </c>
      <c r="C33">
        <v>0.2</v>
      </c>
      <c r="D33">
        <v>0</v>
      </c>
      <c r="E33">
        <v>4</v>
      </c>
      <c r="F33">
        <v>0</v>
      </c>
      <c r="H33">
        <v>0</v>
      </c>
      <c r="I33">
        <v>0</v>
      </c>
      <c r="J33">
        <v>0</v>
      </c>
      <c r="K33">
        <v>0</v>
      </c>
      <c r="L33">
        <v>0</v>
      </c>
      <c r="M33">
        <v>0</v>
      </c>
      <c r="N33">
        <v>0</v>
      </c>
    </row>
    <row r="34" spans="1:22" x14ac:dyDescent="0.2">
      <c r="A34" t="s">
        <v>60</v>
      </c>
      <c r="B34" t="s">
        <v>74</v>
      </c>
      <c r="C34">
        <v>0.11</v>
      </c>
      <c r="D34">
        <v>0</v>
      </c>
      <c r="E34">
        <v>2</v>
      </c>
      <c r="F34">
        <v>3</v>
      </c>
      <c r="H34">
        <v>0</v>
      </c>
      <c r="I34">
        <v>0</v>
      </c>
      <c r="J34">
        <v>0</v>
      </c>
      <c r="K34">
        <v>0</v>
      </c>
      <c r="L34">
        <v>0</v>
      </c>
      <c r="M34">
        <v>0</v>
      </c>
      <c r="N34">
        <v>0</v>
      </c>
    </row>
    <row r="35" spans="1:22" x14ac:dyDescent="0.2">
      <c r="A35" t="s">
        <v>60</v>
      </c>
      <c r="B35" t="s">
        <v>75</v>
      </c>
      <c r="C35">
        <v>0.03</v>
      </c>
      <c r="D35">
        <v>0</v>
      </c>
      <c r="E35">
        <v>0</v>
      </c>
      <c r="F35">
        <v>8</v>
      </c>
      <c r="H35">
        <v>0</v>
      </c>
      <c r="I35">
        <v>0</v>
      </c>
      <c r="J35">
        <v>0</v>
      </c>
      <c r="K35">
        <v>0</v>
      </c>
      <c r="L35">
        <v>0</v>
      </c>
      <c r="M35">
        <v>0</v>
      </c>
      <c r="N35">
        <v>0</v>
      </c>
    </row>
    <row r="36" spans="1:22" x14ac:dyDescent="0.2">
      <c r="A36" t="s">
        <v>60</v>
      </c>
      <c r="B36" t="s">
        <v>76</v>
      </c>
      <c r="C36">
        <v>0.06</v>
      </c>
      <c r="D36">
        <v>0</v>
      </c>
      <c r="E36">
        <v>1</v>
      </c>
      <c r="F36">
        <v>3</v>
      </c>
      <c r="H36">
        <v>0</v>
      </c>
      <c r="I36">
        <v>0</v>
      </c>
      <c r="J36">
        <v>0</v>
      </c>
      <c r="K36">
        <v>0</v>
      </c>
      <c r="L36">
        <v>0</v>
      </c>
      <c r="M36">
        <v>0</v>
      </c>
      <c r="N36">
        <v>0</v>
      </c>
    </row>
    <row r="37" spans="1:22" x14ac:dyDescent="0.2">
      <c r="A37" t="s">
        <v>60</v>
      </c>
      <c r="B37" t="s">
        <v>77</v>
      </c>
      <c r="C37">
        <v>0.19</v>
      </c>
      <c r="D37">
        <v>0</v>
      </c>
      <c r="E37">
        <v>3</v>
      </c>
      <c r="F37">
        <v>10.25</v>
      </c>
      <c r="G37" t="s">
        <v>78</v>
      </c>
      <c r="H37">
        <v>19</v>
      </c>
      <c r="I37">
        <v>0</v>
      </c>
      <c r="J37">
        <v>19</v>
      </c>
      <c r="K37">
        <v>19</v>
      </c>
      <c r="L37">
        <v>0</v>
      </c>
      <c r="M37">
        <v>19</v>
      </c>
      <c r="N37">
        <v>0</v>
      </c>
    </row>
    <row r="38" spans="1:22" x14ac:dyDescent="0.2">
      <c r="A38" t="s">
        <v>60</v>
      </c>
      <c r="B38" t="s">
        <v>79</v>
      </c>
      <c r="C38">
        <v>0.34</v>
      </c>
      <c r="D38">
        <v>0</v>
      </c>
      <c r="E38">
        <v>6</v>
      </c>
      <c r="F38">
        <v>9</v>
      </c>
      <c r="H38">
        <v>0</v>
      </c>
      <c r="I38">
        <v>0</v>
      </c>
      <c r="J38">
        <v>0</v>
      </c>
      <c r="K38">
        <v>0</v>
      </c>
      <c r="L38">
        <v>0</v>
      </c>
      <c r="M38">
        <v>0</v>
      </c>
      <c r="N38">
        <v>0</v>
      </c>
    </row>
    <row r="39" spans="1:22" x14ac:dyDescent="0.2">
      <c r="A39" t="s">
        <v>60</v>
      </c>
      <c r="B39" t="s">
        <v>80</v>
      </c>
      <c r="C39">
        <v>1.33</v>
      </c>
      <c r="D39">
        <v>1</v>
      </c>
      <c r="E39">
        <v>6</v>
      </c>
      <c r="F39">
        <v>8</v>
      </c>
      <c r="H39">
        <v>0</v>
      </c>
      <c r="I39">
        <v>0</v>
      </c>
      <c r="J39">
        <v>0</v>
      </c>
      <c r="K39">
        <v>0</v>
      </c>
      <c r="L39">
        <v>0</v>
      </c>
      <c r="M39">
        <v>0</v>
      </c>
      <c r="N39">
        <v>0</v>
      </c>
    </row>
    <row r="40" spans="1:22" x14ac:dyDescent="0.2">
      <c r="A40" t="s">
        <v>60</v>
      </c>
      <c r="B40" t="s">
        <v>81</v>
      </c>
      <c r="C40">
        <v>6.03</v>
      </c>
      <c r="D40">
        <v>6</v>
      </c>
      <c r="E40">
        <v>0</v>
      </c>
      <c r="F40">
        <v>6.25</v>
      </c>
      <c r="H40">
        <v>0</v>
      </c>
      <c r="I40">
        <v>0</v>
      </c>
      <c r="J40">
        <v>0</v>
      </c>
      <c r="K40">
        <v>0</v>
      </c>
      <c r="L40">
        <v>0</v>
      </c>
      <c r="M40">
        <v>0</v>
      </c>
      <c r="N40">
        <v>0</v>
      </c>
    </row>
    <row r="41" spans="1:22" x14ac:dyDescent="0.2">
      <c r="A41" t="s">
        <v>82</v>
      </c>
      <c r="B41" t="s">
        <v>83</v>
      </c>
      <c r="C41">
        <v>25.2</v>
      </c>
      <c r="D41">
        <v>25</v>
      </c>
      <c r="E41">
        <v>4</v>
      </c>
      <c r="F41">
        <v>0</v>
      </c>
      <c r="G41" t="s">
        <v>78</v>
      </c>
      <c r="H41">
        <v>84</v>
      </c>
      <c r="I41">
        <v>0</v>
      </c>
      <c r="J41">
        <v>84</v>
      </c>
      <c r="K41">
        <v>84</v>
      </c>
      <c r="L41">
        <v>0</v>
      </c>
      <c r="M41">
        <v>84</v>
      </c>
      <c r="N41">
        <v>0</v>
      </c>
      <c r="U41">
        <v>6</v>
      </c>
      <c r="V41">
        <v>0</v>
      </c>
    </row>
    <row r="42" spans="1:22" x14ac:dyDescent="0.2">
      <c r="A42" t="s">
        <v>82</v>
      </c>
      <c r="B42" t="s">
        <v>84</v>
      </c>
      <c r="C42">
        <v>0.41</v>
      </c>
      <c r="D42">
        <v>0</v>
      </c>
      <c r="E42">
        <v>8</v>
      </c>
      <c r="F42">
        <v>1.5</v>
      </c>
      <c r="G42" t="s">
        <v>85</v>
      </c>
      <c r="H42">
        <v>3</v>
      </c>
      <c r="I42">
        <v>3</v>
      </c>
      <c r="J42">
        <v>3.375</v>
      </c>
      <c r="K42">
        <v>3.375</v>
      </c>
      <c r="L42">
        <v>0</v>
      </c>
      <c r="M42">
        <v>3</v>
      </c>
      <c r="N42">
        <v>3</v>
      </c>
      <c r="U42">
        <v>2</v>
      </c>
      <c r="V42">
        <v>4</v>
      </c>
    </row>
    <row r="43" spans="1:22" x14ac:dyDescent="0.2">
      <c r="A43" t="s">
        <v>82</v>
      </c>
      <c r="B43" t="s">
        <v>86</v>
      </c>
      <c r="C43">
        <v>0.15</v>
      </c>
      <c r="D43">
        <v>0</v>
      </c>
      <c r="E43">
        <v>3</v>
      </c>
      <c r="F43">
        <v>0</v>
      </c>
      <c r="G43" t="s">
        <v>87</v>
      </c>
      <c r="H43">
        <v>1</v>
      </c>
      <c r="I43">
        <v>0</v>
      </c>
      <c r="J43">
        <v>1</v>
      </c>
      <c r="K43">
        <v>1</v>
      </c>
      <c r="L43">
        <v>0</v>
      </c>
      <c r="M43">
        <v>1</v>
      </c>
      <c r="N43">
        <v>0</v>
      </c>
    </row>
    <row r="44" spans="1:22" x14ac:dyDescent="0.2">
      <c r="A44" t="s">
        <v>82</v>
      </c>
      <c r="B44" t="s">
        <v>88</v>
      </c>
      <c r="C44">
        <v>1.4</v>
      </c>
      <c r="D44">
        <v>1</v>
      </c>
      <c r="E44">
        <v>8</v>
      </c>
      <c r="F44">
        <v>0</v>
      </c>
      <c r="G44" t="s">
        <v>89</v>
      </c>
      <c r="H44">
        <v>12</v>
      </c>
      <c r="I44">
        <v>0</v>
      </c>
      <c r="J44">
        <v>12</v>
      </c>
      <c r="K44">
        <v>12</v>
      </c>
      <c r="L44">
        <v>0</v>
      </c>
      <c r="M44">
        <v>12</v>
      </c>
      <c r="N44">
        <v>0</v>
      </c>
      <c r="U44">
        <v>2</v>
      </c>
      <c r="V44">
        <v>4</v>
      </c>
    </row>
    <row r="45" spans="1:22" x14ac:dyDescent="0.2">
      <c r="A45" t="s">
        <v>82</v>
      </c>
      <c r="B45" t="s">
        <v>90</v>
      </c>
      <c r="C45">
        <v>27.16</v>
      </c>
      <c r="D45">
        <v>27</v>
      </c>
      <c r="E45">
        <v>3</v>
      </c>
      <c r="F45">
        <v>1.5</v>
      </c>
      <c r="H45">
        <v>0</v>
      </c>
      <c r="I45">
        <v>0</v>
      </c>
      <c r="J45">
        <v>0</v>
      </c>
      <c r="K45">
        <v>0</v>
      </c>
      <c r="L45">
        <v>0</v>
      </c>
      <c r="M45">
        <v>0</v>
      </c>
      <c r="N45">
        <v>0</v>
      </c>
    </row>
    <row r="46" spans="1:22" x14ac:dyDescent="0.2">
      <c r="A46" t="s">
        <v>91</v>
      </c>
      <c r="B46" t="s">
        <v>92</v>
      </c>
      <c r="C46">
        <v>0.1</v>
      </c>
      <c r="D46">
        <v>0</v>
      </c>
      <c r="E46">
        <v>2</v>
      </c>
      <c r="F46">
        <v>0</v>
      </c>
      <c r="H46">
        <v>0</v>
      </c>
      <c r="I46">
        <v>0</v>
      </c>
      <c r="J46">
        <v>0</v>
      </c>
      <c r="K46">
        <v>0</v>
      </c>
      <c r="L46">
        <v>0</v>
      </c>
      <c r="M46">
        <v>0</v>
      </c>
      <c r="N46">
        <v>0</v>
      </c>
    </row>
    <row r="47" spans="1:22" x14ac:dyDescent="0.2">
      <c r="A47" t="s">
        <v>91</v>
      </c>
      <c r="B47" t="s">
        <v>93</v>
      </c>
      <c r="C47">
        <v>1.33</v>
      </c>
      <c r="D47">
        <v>1</v>
      </c>
      <c r="E47">
        <v>6</v>
      </c>
      <c r="F47">
        <v>8</v>
      </c>
      <c r="H47">
        <v>0</v>
      </c>
      <c r="I47">
        <v>0</v>
      </c>
      <c r="J47">
        <v>0</v>
      </c>
      <c r="K47">
        <v>0</v>
      </c>
      <c r="L47">
        <v>0</v>
      </c>
      <c r="M47">
        <v>0</v>
      </c>
      <c r="N47">
        <v>0</v>
      </c>
    </row>
    <row r="48" spans="1:22" x14ac:dyDescent="0.2">
      <c r="A48" t="s">
        <v>91</v>
      </c>
      <c r="B48" t="s">
        <v>94</v>
      </c>
      <c r="C48">
        <v>0.67</v>
      </c>
      <c r="D48">
        <v>0</v>
      </c>
      <c r="E48">
        <v>13</v>
      </c>
      <c r="F48">
        <v>4</v>
      </c>
      <c r="H48">
        <v>0</v>
      </c>
      <c r="I48">
        <v>0</v>
      </c>
      <c r="J48">
        <v>0</v>
      </c>
      <c r="K48">
        <v>0</v>
      </c>
      <c r="L48">
        <v>0</v>
      </c>
      <c r="M48">
        <v>0</v>
      </c>
      <c r="N48">
        <v>0</v>
      </c>
    </row>
    <row r="49" spans="1:14" x14ac:dyDescent="0.2">
      <c r="A49" t="s">
        <v>91</v>
      </c>
      <c r="B49" t="s">
        <v>95</v>
      </c>
      <c r="C49">
        <v>1.67</v>
      </c>
      <c r="D49">
        <v>1</v>
      </c>
      <c r="E49">
        <v>13</v>
      </c>
      <c r="F49">
        <v>4</v>
      </c>
      <c r="H49">
        <v>0</v>
      </c>
      <c r="I49">
        <v>0</v>
      </c>
      <c r="J49">
        <v>0</v>
      </c>
      <c r="K49">
        <v>0</v>
      </c>
      <c r="L49">
        <v>0</v>
      </c>
      <c r="M49">
        <v>0</v>
      </c>
      <c r="N49">
        <v>0</v>
      </c>
    </row>
    <row r="50" spans="1:14" x14ac:dyDescent="0.2">
      <c r="A50" t="s">
        <v>91</v>
      </c>
      <c r="B50" t="s">
        <v>96</v>
      </c>
      <c r="C50">
        <v>0.67</v>
      </c>
      <c r="D50">
        <v>0</v>
      </c>
      <c r="E50">
        <v>13</v>
      </c>
      <c r="F50">
        <v>4</v>
      </c>
      <c r="H50">
        <v>0</v>
      </c>
      <c r="I50">
        <v>0</v>
      </c>
      <c r="J50">
        <v>0</v>
      </c>
      <c r="K50">
        <v>0</v>
      </c>
      <c r="L50">
        <v>0</v>
      </c>
      <c r="M50">
        <v>0</v>
      </c>
      <c r="N50">
        <v>0</v>
      </c>
    </row>
    <row r="51" spans="1:14" x14ac:dyDescent="0.2">
      <c r="A51" t="s">
        <v>91</v>
      </c>
      <c r="B51" t="s">
        <v>97</v>
      </c>
      <c r="C51">
        <v>4.43</v>
      </c>
      <c r="D51">
        <v>4</v>
      </c>
      <c r="E51">
        <v>8</v>
      </c>
      <c r="F51">
        <v>8</v>
      </c>
      <c r="H51">
        <v>0</v>
      </c>
      <c r="I51">
        <v>0</v>
      </c>
      <c r="J51">
        <v>0</v>
      </c>
      <c r="K51">
        <v>0</v>
      </c>
      <c r="L51">
        <v>0</v>
      </c>
      <c r="M51">
        <v>0</v>
      </c>
      <c r="N51">
        <v>0</v>
      </c>
    </row>
    <row r="52" spans="1:14" x14ac:dyDescent="0.2">
      <c r="A52" t="s">
        <v>98</v>
      </c>
      <c r="B52" t="s">
        <v>99</v>
      </c>
      <c r="C52">
        <v>0.03</v>
      </c>
      <c r="D52">
        <v>0</v>
      </c>
      <c r="E52">
        <v>0</v>
      </c>
      <c r="F52">
        <v>6</v>
      </c>
      <c r="H52">
        <v>0</v>
      </c>
      <c r="I52">
        <v>0</v>
      </c>
      <c r="J52">
        <v>0</v>
      </c>
      <c r="K52">
        <v>0</v>
      </c>
      <c r="L52">
        <v>0</v>
      </c>
      <c r="M52">
        <v>0</v>
      </c>
      <c r="N52">
        <v>0</v>
      </c>
    </row>
    <row r="53" spans="1:14" x14ac:dyDescent="0.2">
      <c r="A53" t="s">
        <v>98</v>
      </c>
      <c r="B53" t="s">
        <v>100</v>
      </c>
      <c r="C53">
        <v>0.1</v>
      </c>
      <c r="D53">
        <v>0</v>
      </c>
      <c r="E53">
        <v>2</v>
      </c>
      <c r="F53">
        <v>0</v>
      </c>
      <c r="H53">
        <v>0</v>
      </c>
      <c r="I53">
        <v>0</v>
      </c>
      <c r="J53">
        <v>0</v>
      </c>
      <c r="K53">
        <v>0</v>
      </c>
      <c r="L53">
        <v>0</v>
      </c>
      <c r="M53">
        <v>0</v>
      </c>
      <c r="N53">
        <v>0</v>
      </c>
    </row>
    <row r="54" spans="1:14" x14ac:dyDescent="0.2">
      <c r="A54" t="s">
        <v>98</v>
      </c>
      <c r="B54" t="s">
        <v>101</v>
      </c>
      <c r="C54">
        <v>0.1</v>
      </c>
      <c r="D54">
        <v>0</v>
      </c>
      <c r="E54">
        <v>2</v>
      </c>
      <c r="F54">
        <v>0</v>
      </c>
      <c r="H54">
        <v>0</v>
      </c>
      <c r="I54">
        <v>0</v>
      </c>
      <c r="J54">
        <v>0</v>
      </c>
      <c r="K54">
        <v>0</v>
      </c>
      <c r="L54">
        <v>0</v>
      </c>
      <c r="M54">
        <v>0</v>
      </c>
      <c r="N54">
        <v>0</v>
      </c>
    </row>
    <row r="55" spans="1:14" x14ac:dyDescent="0.2">
      <c r="A55" t="s">
        <v>98</v>
      </c>
      <c r="B55" t="s">
        <v>102</v>
      </c>
      <c r="C55">
        <v>0.01</v>
      </c>
      <c r="D55">
        <v>0</v>
      </c>
      <c r="E55">
        <v>0</v>
      </c>
      <c r="F55">
        <v>3</v>
      </c>
      <c r="H55">
        <v>0</v>
      </c>
      <c r="I55">
        <v>0</v>
      </c>
      <c r="J55">
        <v>0</v>
      </c>
      <c r="K55">
        <v>0</v>
      </c>
      <c r="L55">
        <v>0</v>
      </c>
      <c r="M55">
        <v>0</v>
      </c>
      <c r="N55">
        <v>0</v>
      </c>
    </row>
    <row r="56" spans="1:14" x14ac:dyDescent="0.2">
      <c r="A56" t="s">
        <v>98</v>
      </c>
      <c r="B56" t="s">
        <v>103</v>
      </c>
      <c r="C56">
        <v>0.03</v>
      </c>
      <c r="D56">
        <v>0</v>
      </c>
      <c r="E56">
        <v>0</v>
      </c>
      <c r="F56">
        <v>6</v>
      </c>
      <c r="H56">
        <v>0</v>
      </c>
      <c r="I56">
        <v>0</v>
      </c>
      <c r="J56">
        <v>0</v>
      </c>
      <c r="K56">
        <v>0</v>
      </c>
      <c r="L56">
        <v>0</v>
      </c>
      <c r="M56">
        <v>0</v>
      </c>
      <c r="N56">
        <v>0</v>
      </c>
    </row>
    <row r="57" spans="1:14" x14ac:dyDescent="0.2">
      <c r="A57" t="s">
        <v>98</v>
      </c>
      <c r="B57" t="s">
        <v>104</v>
      </c>
      <c r="C57">
        <v>0.05</v>
      </c>
      <c r="D57">
        <v>0</v>
      </c>
      <c r="E57">
        <v>1</v>
      </c>
      <c r="F57">
        <v>0</v>
      </c>
      <c r="H57">
        <v>0</v>
      </c>
      <c r="I57">
        <v>0</v>
      </c>
      <c r="J57">
        <v>0</v>
      </c>
      <c r="K57">
        <v>0</v>
      </c>
      <c r="L57">
        <v>0</v>
      </c>
      <c r="M57">
        <v>0</v>
      </c>
      <c r="N57">
        <v>0</v>
      </c>
    </row>
    <row r="58" spans="1:14" x14ac:dyDescent="0.2">
      <c r="A58" t="s">
        <v>98</v>
      </c>
      <c r="B58" t="s">
        <v>105</v>
      </c>
      <c r="C58">
        <v>0.03</v>
      </c>
      <c r="D58">
        <v>0</v>
      </c>
      <c r="E58">
        <v>0</v>
      </c>
      <c r="F58">
        <v>6</v>
      </c>
      <c r="H58">
        <v>0</v>
      </c>
      <c r="I58">
        <v>0</v>
      </c>
      <c r="J58">
        <v>0</v>
      </c>
      <c r="K58">
        <v>0</v>
      </c>
      <c r="L58">
        <v>0</v>
      </c>
      <c r="M58">
        <v>0</v>
      </c>
      <c r="N58">
        <v>0</v>
      </c>
    </row>
    <row r="59" spans="1:14" x14ac:dyDescent="0.2">
      <c r="A59" t="s">
        <v>98</v>
      </c>
      <c r="B59" t="s">
        <v>106</v>
      </c>
      <c r="C59">
        <v>0.05</v>
      </c>
      <c r="D59">
        <v>0</v>
      </c>
      <c r="E59">
        <v>1</v>
      </c>
      <c r="F59">
        <v>0</v>
      </c>
      <c r="H59">
        <v>0</v>
      </c>
      <c r="I59">
        <v>0</v>
      </c>
      <c r="J59">
        <v>0</v>
      </c>
      <c r="K59">
        <v>0</v>
      </c>
      <c r="L59">
        <v>0</v>
      </c>
      <c r="M59">
        <v>0</v>
      </c>
      <c r="N59">
        <v>0</v>
      </c>
    </row>
    <row r="60" spans="1:14" x14ac:dyDescent="0.2">
      <c r="A60" t="s">
        <v>98</v>
      </c>
      <c r="B60" t="s">
        <v>107</v>
      </c>
      <c r="C60">
        <v>0.01</v>
      </c>
      <c r="D60">
        <v>0</v>
      </c>
      <c r="E60">
        <v>0</v>
      </c>
      <c r="F60">
        <v>3</v>
      </c>
      <c r="H60">
        <v>0</v>
      </c>
      <c r="I60">
        <v>0</v>
      </c>
      <c r="J60">
        <v>0</v>
      </c>
      <c r="K60">
        <v>0</v>
      </c>
      <c r="L60">
        <v>0</v>
      </c>
      <c r="M60">
        <v>0</v>
      </c>
      <c r="N60">
        <v>0</v>
      </c>
    </row>
    <row r="61" spans="1:14" x14ac:dyDescent="0.2">
      <c r="A61" t="s">
        <v>98</v>
      </c>
      <c r="B61" t="s">
        <v>108</v>
      </c>
      <c r="C61">
        <v>0.01</v>
      </c>
      <c r="D61">
        <v>0</v>
      </c>
      <c r="E61">
        <v>0</v>
      </c>
      <c r="F61">
        <v>3</v>
      </c>
      <c r="H61">
        <v>0</v>
      </c>
      <c r="I61">
        <v>0</v>
      </c>
      <c r="J61">
        <v>0</v>
      </c>
      <c r="K61">
        <v>0</v>
      </c>
      <c r="L61">
        <v>0</v>
      </c>
      <c r="M61">
        <v>0</v>
      </c>
      <c r="N61">
        <v>0</v>
      </c>
    </row>
    <row r="62" spans="1:14" x14ac:dyDescent="0.2">
      <c r="A62" t="s">
        <v>98</v>
      </c>
      <c r="B62" t="s">
        <v>109</v>
      </c>
      <c r="C62">
        <v>0.05</v>
      </c>
      <c r="D62">
        <v>0</v>
      </c>
      <c r="E62">
        <v>1</v>
      </c>
      <c r="F62">
        <v>0</v>
      </c>
      <c r="H62">
        <v>0</v>
      </c>
      <c r="I62">
        <v>0</v>
      </c>
      <c r="J62">
        <v>0</v>
      </c>
      <c r="K62">
        <v>0</v>
      </c>
      <c r="L62">
        <v>0</v>
      </c>
      <c r="M62">
        <v>0</v>
      </c>
      <c r="N62">
        <v>0</v>
      </c>
    </row>
    <row r="63" spans="1:14" x14ac:dyDescent="0.2">
      <c r="A63" t="s">
        <v>98</v>
      </c>
      <c r="B63" t="s">
        <v>110</v>
      </c>
      <c r="C63">
        <v>0.03</v>
      </c>
      <c r="D63">
        <v>0</v>
      </c>
      <c r="E63">
        <v>0</v>
      </c>
      <c r="F63">
        <v>6</v>
      </c>
      <c r="H63">
        <v>0</v>
      </c>
      <c r="I63">
        <v>0</v>
      </c>
      <c r="J63">
        <v>0</v>
      </c>
      <c r="K63">
        <v>0</v>
      </c>
      <c r="L63">
        <v>0</v>
      </c>
      <c r="M63">
        <v>0</v>
      </c>
      <c r="N63">
        <v>0</v>
      </c>
    </row>
    <row r="64" spans="1:14" x14ac:dyDescent="0.2">
      <c r="A64" t="s">
        <v>98</v>
      </c>
      <c r="B64" t="s">
        <v>111</v>
      </c>
      <c r="C64">
        <v>0.01</v>
      </c>
      <c r="D64">
        <v>0</v>
      </c>
      <c r="E64">
        <v>0</v>
      </c>
      <c r="F64">
        <v>3</v>
      </c>
      <c r="H64">
        <v>0</v>
      </c>
      <c r="I64">
        <v>0</v>
      </c>
      <c r="J64">
        <v>0</v>
      </c>
      <c r="K64">
        <v>0</v>
      </c>
      <c r="L64">
        <v>0</v>
      </c>
      <c r="M64">
        <v>0</v>
      </c>
      <c r="N64">
        <v>0</v>
      </c>
    </row>
    <row r="65" spans="1:14" x14ac:dyDescent="0.2">
      <c r="A65" t="s">
        <v>98</v>
      </c>
      <c r="B65" t="s">
        <v>112</v>
      </c>
      <c r="C65">
        <v>0.01</v>
      </c>
      <c r="D65">
        <v>0</v>
      </c>
      <c r="E65">
        <v>0</v>
      </c>
      <c r="F65">
        <v>3</v>
      </c>
      <c r="H65">
        <v>0</v>
      </c>
      <c r="I65">
        <v>0</v>
      </c>
      <c r="J65">
        <v>0</v>
      </c>
      <c r="K65">
        <v>0</v>
      </c>
      <c r="L65">
        <v>0</v>
      </c>
      <c r="M65">
        <v>0</v>
      </c>
      <c r="N65">
        <v>0</v>
      </c>
    </row>
    <row r="66" spans="1:14" x14ac:dyDescent="0.2">
      <c r="A66" t="s">
        <v>98</v>
      </c>
      <c r="B66" t="s">
        <v>113</v>
      </c>
      <c r="C66">
        <v>0.03</v>
      </c>
      <c r="D66">
        <v>0</v>
      </c>
      <c r="E66">
        <v>0</v>
      </c>
      <c r="F66">
        <v>6</v>
      </c>
      <c r="H66">
        <v>0</v>
      </c>
      <c r="I66">
        <v>0</v>
      </c>
      <c r="J66">
        <v>0</v>
      </c>
      <c r="K66">
        <v>0</v>
      </c>
      <c r="L66">
        <v>0</v>
      </c>
      <c r="M66">
        <v>0</v>
      </c>
      <c r="N66">
        <v>0</v>
      </c>
    </row>
    <row r="67" spans="1:14" x14ac:dyDescent="0.2">
      <c r="A67" t="s">
        <v>98</v>
      </c>
      <c r="B67" t="s">
        <v>114</v>
      </c>
      <c r="C67">
        <v>0.01</v>
      </c>
      <c r="D67">
        <v>0</v>
      </c>
      <c r="E67">
        <v>0</v>
      </c>
      <c r="F67">
        <v>3</v>
      </c>
      <c r="H67">
        <v>0</v>
      </c>
      <c r="I67">
        <v>0</v>
      </c>
      <c r="J67">
        <v>0</v>
      </c>
      <c r="K67">
        <v>0</v>
      </c>
      <c r="L67">
        <v>0</v>
      </c>
      <c r="M67">
        <v>0</v>
      </c>
      <c r="N67">
        <v>0</v>
      </c>
    </row>
    <row r="68" spans="1:14" x14ac:dyDescent="0.2">
      <c r="A68" t="s">
        <v>98</v>
      </c>
      <c r="B68" t="s">
        <v>115</v>
      </c>
      <c r="C68">
        <v>0.03</v>
      </c>
      <c r="D68">
        <v>0</v>
      </c>
      <c r="E68">
        <v>0</v>
      </c>
      <c r="F68">
        <v>6</v>
      </c>
      <c r="H68">
        <v>0</v>
      </c>
      <c r="I68">
        <v>0</v>
      </c>
      <c r="J68">
        <v>0</v>
      </c>
      <c r="K68">
        <v>0</v>
      </c>
      <c r="L68">
        <v>0</v>
      </c>
      <c r="M68">
        <v>0</v>
      </c>
      <c r="N68">
        <v>0</v>
      </c>
    </row>
    <row r="69" spans="1:14" x14ac:dyDescent="0.2">
      <c r="A69" t="s">
        <v>98</v>
      </c>
      <c r="B69" t="s">
        <v>116</v>
      </c>
      <c r="C69">
        <v>0.05</v>
      </c>
      <c r="D69">
        <v>0</v>
      </c>
      <c r="E69">
        <v>1</v>
      </c>
      <c r="F69">
        <v>0</v>
      </c>
      <c r="H69">
        <v>0</v>
      </c>
      <c r="I69">
        <v>0</v>
      </c>
      <c r="J69">
        <v>0</v>
      </c>
      <c r="K69">
        <v>0</v>
      </c>
      <c r="L69">
        <v>0</v>
      </c>
      <c r="M69">
        <v>0</v>
      </c>
      <c r="N69">
        <v>0</v>
      </c>
    </row>
    <row r="70" spans="1:14" x14ac:dyDescent="0.2">
      <c r="A70" t="s">
        <v>98</v>
      </c>
      <c r="B70" t="s">
        <v>117</v>
      </c>
      <c r="C70">
        <v>0.01</v>
      </c>
      <c r="D70">
        <v>0</v>
      </c>
      <c r="E70">
        <v>0</v>
      </c>
      <c r="F70">
        <v>3</v>
      </c>
      <c r="H70">
        <v>0</v>
      </c>
      <c r="I70">
        <v>0</v>
      </c>
      <c r="J70">
        <v>0</v>
      </c>
      <c r="K70">
        <v>0</v>
      </c>
      <c r="L70">
        <v>0</v>
      </c>
      <c r="M70">
        <v>0</v>
      </c>
      <c r="N70">
        <v>0</v>
      </c>
    </row>
    <row r="71" spans="1:14" x14ac:dyDescent="0.2">
      <c r="A71" t="s">
        <v>98</v>
      </c>
      <c r="B71" t="s">
        <v>118</v>
      </c>
      <c r="C71">
        <v>0.01</v>
      </c>
      <c r="D71">
        <v>0</v>
      </c>
      <c r="E71">
        <v>0</v>
      </c>
      <c r="F71">
        <v>3</v>
      </c>
      <c r="H71">
        <v>0</v>
      </c>
      <c r="I71">
        <v>0</v>
      </c>
      <c r="J71">
        <v>0</v>
      </c>
      <c r="K71">
        <v>0</v>
      </c>
      <c r="L71">
        <v>0</v>
      </c>
      <c r="M71">
        <v>0</v>
      </c>
      <c r="N71">
        <v>0</v>
      </c>
    </row>
    <row r="72" spans="1:14" x14ac:dyDescent="0.2">
      <c r="A72" t="s">
        <v>98</v>
      </c>
      <c r="B72" t="s">
        <v>119</v>
      </c>
      <c r="C72">
        <v>0.01</v>
      </c>
      <c r="D72">
        <v>0</v>
      </c>
      <c r="E72">
        <v>0</v>
      </c>
      <c r="F72">
        <v>2</v>
      </c>
      <c r="H72">
        <v>0</v>
      </c>
      <c r="I72">
        <v>0</v>
      </c>
      <c r="J72">
        <v>0</v>
      </c>
      <c r="K72">
        <v>0</v>
      </c>
      <c r="L72">
        <v>0</v>
      </c>
      <c r="M72">
        <v>0</v>
      </c>
      <c r="N72">
        <v>0</v>
      </c>
    </row>
    <row r="73" spans="1:14" x14ac:dyDescent="0.2">
      <c r="A73" t="s">
        <v>98</v>
      </c>
      <c r="B73" t="s">
        <v>120</v>
      </c>
      <c r="C73">
        <v>0.03</v>
      </c>
      <c r="D73">
        <v>0</v>
      </c>
      <c r="E73">
        <v>0</v>
      </c>
      <c r="F73">
        <v>6</v>
      </c>
      <c r="H73">
        <v>0</v>
      </c>
      <c r="I73">
        <v>0</v>
      </c>
      <c r="J73">
        <v>0</v>
      </c>
      <c r="K73">
        <v>0</v>
      </c>
      <c r="L73">
        <v>0</v>
      </c>
      <c r="M73">
        <v>0</v>
      </c>
      <c r="N73">
        <v>0</v>
      </c>
    </row>
    <row r="74" spans="1:14" x14ac:dyDescent="0.2">
      <c r="A74" t="s">
        <v>98</v>
      </c>
      <c r="B74" t="s">
        <v>121</v>
      </c>
      <c r="C74">
        <v>0.01</v>
      </c>
      <c r="D74">
        <v>0</v>
      </c>
      <c r="E74">
        <v>0</v>
      </c>
      <c r="F74">
        <v>3</v>
      </c>
      <c r="H74">
        <v>0</v>
      </c>
      <c r="I74">
        <v>0</v>
      </c>
      <c r="J74">
        <v>0</v>
      </c>
      <c r="K74">
        <v>0</v>
      </c>
      <c r="L74">
        <v>0</v>
      </c>
      <c r="M74">
        <v>0</v>
      </c>
      <c r="N74">
        <v>0</v>
      </c>
    </row>
    <row r="75" spans="1:14" x14ac:dyDescent="0.2">
      <c r="A75" t="s">
        <v>98</v>
      </c>
      <c r="B75" t="s">
        <v>122</v>
      </c>
      <c r="C75">
        <v>0.01</v>
      </c>
      <c r="D75">
        <v>0</v>
      </c>
      <c r="E75">
        <v>0</v>
      </c>
      <c r="F75">
        <v>3</v>
      </c>
      <c r="H75">
        <v>0</v>
      </c>
      <c r="I75">
        <v>0</v>
      </c>
      <c r="J75">
        <v>0</v>
      </c>
      <c r="K75">
        <v>0</v>
      </c>
      <c r="L75">
        <v>0</v>
      </c>
      <c r="M75">
        <v>0</v>
      </c>
      <c r="N75">
        <v>0</v>
      </c>
    </row>
    <row r="76" spans="1:14" x14ac:dyDescent="0.2">
      <c r="A76" t="s">
        <v>98</v>
      </c>
      <c r="B76" t="s">
        <v>123</v>
      </c>
      <c r="C76">
        <v>0.01</v>
      </c>
      <c r="D76">
        <v>0</v>
      </c>
      <c r="E76">
        <v>0</v>
      </c>
      <c r="F76">
        <v>3</v>
      </c>
      <c r="H76">
        <v>0</v>
      </c>
      <c r="I76">
        <v>0</v>
      </c>
      <c r="J76">
        <v>0</v>
      </c>
      <c r="K76">
        <v>0</v>
      </c>
      <c r="L76">
        <v>0</v>
      </c>
      <c r="M76">
        <v>0</v>
      </c>
      <c r="N76">
        <v>0</v>
      </c>
    </row>
    <row r="77" spans="1:14" x14ac:dyDescent="0.2">
      <c r="A77" t="s">
        <v>98</v>
      </c>
      <c r="B77" t="s">
        <v>124</v>
      </c>
      <c r="C77">
        <v>0.01</v>
      </c>
      <c r="D77">
        <v>0</v>
      </c>
      <c r="E77">
        <v>0</v>
      </c>
      <c r="F77">
        <v>3</v>
      </c>
      <c r="H77">
        <v>0</v>
      </c>
      <c r="I77">
        <v>0</v>
      </c>
      <c r="J77">
        <v>0</v>
      </c>
      <c r="K77">
        <v>0</v>
      </c>
      <c r="L77">
        <v>0</v>
      </c>
      <c r="M77">
        <v>0</v>
      </c>
      <c r="N77">
        <v>0</v>
      </c>
    </row>
    <row r="78" spans="1:14" x14ac:dyDescent="0.2">
      <c r="A78" t="s">
        <v>98</v>
      </c>
      <c r="B78" t="s">
        <v>125</v>
      </c>
      <c r="C78">
        <v>0.01</v>
      </c>
      <c r="D78">
        <v>0</v>
      </c>
      <c r="E78">
        <v>0</v>
      </c>
      <c r="F78">
        <v>3</v>
      </c>
      <c r="H78">
        <v>0</v>
      </c>
      <c r="I78">
        <v>0</v>
      </c>
      <c r="J78">
        <v>0</v>
      </c>
      <c r="K78">
        <v>0</v>
      </c>
      <c r="L78">
        <v>0</v>
      </c>
      <c r="M78">
        <v>0</v>
      </c>
      <c r="N78">
        <v>0</v>
      </c>
    </row>
    <row r="79" spans="1:14" x14ac:dyDescent="0.2">
      <c r="A79" t="s">
        <v>98</v>
      </c>
      <c r="B79" t="s">
        <v>126</v>
      </c>
      <c r="C79">
        <v>0.03</v>
      </c>
      <c r="D79">
        <v>0</v>
      </c>
      <c r="E79">
        <v>0</v>
      </c>
      <c r="F79">
        <v>6</v>
      </c>
      <c r="H79">
        <v>0</v>
      </c>
      <c r="I79">
        <v>0</v>
      </c>
      <c r="J79">
        <v>0</v>
      </c>
      <c r="K79">
        <v>0</v>
      </c>
      <c r="L79">
        <v>0</v>
      </c>
      <c r="M79">
        <v>0</v>
      </c>
      <c r="N79">
        <v>0</v>
      </c>
    </row>
    <row r="80" spans="1:14" x14ac:dyDescent="0.2">
      <c r="A80" t="s">
        <v>98</v>
      </c>
      <c r="B80" t="s">
        <v>127</v>
      </c>
      <c r="C80">
        <v>0.01</v>
      </c>
      <c r="D80">
        <v>0</v>
      </c>
      <c r="E80">
        <v>0</v>
      </c>
      <c r="F80">
        <v>3</v>
      </c>
      <c r="H80">
        <v>0</v>
      </c>
      <c r="I80">
        <v>0</v>
      </c>
      <c r="J80">
        <v>0</v>
      </c>
      <c r="K80">
        <v>0</v>
      </c>
      <c r="L80">
        <v>0</v>
      </c>
      <c r="M80">
        <v>0</v>
      </c>
      <c r="N80">
        <v>0</v>
      </c>
    </row>
    <row r="81" spans="1:14" x14ac:dyDescent="0.2">
      <c r="A81" t="s">
        <v>98</v>
      </c>
      <c r="B81" t="s">
        <v>128</v>
      </c>
      <c r="C81">
        <v>0.01</v>
      </c>
      <c r="D81">
        <v>0</v>
      </c>
      <c r="E81">
        <v>0</v>
      </c>
      <c r="F81">
        <v>3</v>
      </c>
      <c r="H81">
        <v>0</v>
      </c>
      <c r="I81">
        <v>0</v>
      </c>
      <c r="J81">
        <v>0</v>
      </c>
      <c r="K81">
        <v>0</v>
      </c>
      <c r="L81">
        <v>0</v>
      </c>
      <c r="M81">
        <v>0</v>
      </c>
      <c r="N81">
        <v>0</v>
      </c>
    </row>
    <row r="82" spans="1:14" x14ac:dyDescent="0.2">
      <c r="A82" t="s">
        <v>98</v>
      </c>
      <c r="B82" t="s">
        <v>129</v>
      </c>
      <c r="C82">
        <v>0.01</v>
      </c>
      <c r="D82">
        <v>0</v>
      </c>
      <c r="E82">
        <v>0</v>
      </c>
      <c r="F82">
        <v>3</v>
      </c>
      <c r="H82">
        <v>0</v>
      </c>
      <c r="I82">
        <v>0</v>
      </c>
      <c r="J82">
        <v>0</v>
      </c>
      <c r="K82">
        <v>0</v>
      </c>
      <c r="L82">
        <v>0</v>
      </c>
      <c r="M82">
        <v>0</v>
      </c>
      <c r="N82">
        <v>0</v>
      </c>
    </row>
    <row r="83" spans="1:14" x14ac:dyDescent="0.2">
      <c r="A83" t="s">
        <v>98</v>
      </c>
      <c r="B83" t="s">
        <v>130</v>
      </c>
      <c r="C83">
        <v>0.03</v>
      </c>
      <c r="D83">
        <v>0</v>
      </c>
      <c r="E83">
        <v>0</v>
      </c>
      <c r="F83">
        <v>6</v>
      </c>
      <c r="H83">
        <v>0</v>
      </c>
      <c r="I83">
        <v>0</v>
      </c>
      <c r="J83">
        <v>0</v>
      </c>
      <c r="K83">
        <v>0</v>
      </c>
      <c r="L83">
        <v>0</v>
      </c>
      <c r="M83">
        <v>0</v>
      </c>
      <c r="N83">
        <v>0</v>
      </c>
    </row>
    <row r="84" spans="1:14" x14ac:dyDescent="0.2">
      <c r="A84" t="s">
        <v>98</v>
      </c>
      <c r="B84" t="s">
        <v>131</v>
      </c>
      <c r="C84">
        <v>0.03</v>
      </c>
      <c r="D84">
        <v>0</v>
      </c>
      <c r="E84">
        <v>0</v>
      </c>
      <c r="F84">
        <v>6</v>
      </c>
      <c r="H84">
        <v>0</v>
      </c>
      <c r="I84">
        <v>0</v>
      </c>
      <c r="J84">
        <v>0</v>
      </c>
      <c r="K84">
        <v>0</v>
      </c>
      <c r="L84">
        <v>0</v>
      </c>
      <c r="M84">
        <v>0</v>
      </c>
      <c r="N84">
        <v>0</v>
      </c>
    </row>
    <row r="85" spans="1:14" x14ac:dyDescent="0.2">
      <c r="A85" t="s">
        <v>98</v>
      </c>
      <c r="B85" t="s">
        <v>132</v>
      </c>
      <c r="C85">
        <v>0.01</v>
      </c>
      <c r="D85">
        <v>0</v>
      </c>
      <c r="E85">
        <v>0</v>
      </c>
      <c r="F85">
        <v>3</v>
      </c>
      <c r="H85">
        <v>0</v>
      </c>
      <c r="I85">
        <v>0</v>
      </c>
      <c r="J85">
        <v>0</v>
      </c>
      <c r="K85">
        <v>0</v>
      </c>
      <c r="L85">
        <v>0</v>
      </c>
      <c r="M85">
        <v>0</v>
      </c>
      <c r="N85">
        <v>0</v>
      </c>
    </row>
    <row r="86" spans="1:14" x14ac:dyDescent="0.2">
      <c r="A86" t="s">
        <v>98</v>
      </c>
      <c r="B86" t="s">
        <v>133</v>
      </c>
      <c r="C86">
        <v>0.03</v>
      </c>
      <c r="D86">
        <v>0</v>
      </c>
      <c r="E86">
        <v>0</v>
      </c>
      <c r="F86">
        <v>6</v>
      </c>
      <c r="H86">
        <v>0</v>
      </c>
      <c r="I86">
        <v>0</v>
      </c>
      <c r="J86">
        <v>0</v>
      </c>
      <c r="K86">
        <v>0</v>
      </c>
      <c r="L86">
        <v>0</v>
      </c>
      <c r="M86">
        <v>0</v>
      </c>
      <c r="N86">
        <v>0</v>
      </c>
    </row>
    <row r="87" spans="1:14" x14ac:dyDescent="0.2">
      <c r="A87" t="s">
        <v>98</v>
      </c>
      <c r="B87" t="s">
        <v>134</v>
      </c>
      <c r="C87">
        <v>0.01</v>
      </c>
      <c r="D87">
        <v>0</v>
      </c>
      <c r="E87">
        <v>0</v>
      </c>
      <c r="F87">
        <v>3</v>
      </c>
      <c r="H87">
        <v>0</v>
      </c>
      <c r="I87">
        <v>0</v>
      </c>
      <c r="J87">
        <v>0</v>
      </c>
      <c r="K87">
        <v>0</v>
      </c>
      <c r="L87">
        <v>0</v>
      </c>
      <c r="M87">
        <v>0</v>
      </c>
      <c r="N87">
        <v>0</v>
      </c>
    </row>
    <row r="88" spans="1:14" x14ac:dyDescent="0.2">
      <c r="A88" t="s">
        <v>98</v>
      </c>
      <c r="B88" t="s">
        <v>135</v>
      </c>
      <c r="C88">
        <v>0.91</v>
      </c>
      <c r="D88">
        <v>0</v>
      </c>
      <c r="E88">
        <v>18</v>
      </c>
      <c r="F88">
        <v>2</v>
      </c>
      <c r="H88">
        <v>0</v>
      </c>
      <c r="I88">
        <v>0</v>
      </c>
      <c r="J88">
        <v>0</v>
      </c>
      <c r="K88">
        <v>0</v>
      </c>
      <c r="L88">
        <v>0</v>
      </c>
      <c r="M88">
        <v>0</v>
      </c>
      <c r="N88">
        <v>0</v>
      </c>
    </row>
    <row r="89" spans="1:14" x14ac:dyDescent="0.2">
      <c r="A89" t="s">
        <v>98</v>
      </c>
      <c r="B89" t="s">
        <v>136</v>
      </c>
      <c r="C89">
        <v>5.34</v>
      </c>
      <c r="D89">
        <v>5</v>
      </c>
      <c r="E89">
        <v>6</v>
      </c>
      <c r="F89">
        <v>10</v>
      </c>
      <c r="H89">
        <v>0</v>
      </c>
      <c r="I89">
        <v>0</v>
      </c>
      <c r="J89">
        <v>0</v>
      </c>
      <c r="K89">
        <v>0</v>
      </c>
      <c r="L89">
        <v>0</v>
      </c>
      <c r="M89">
        <v>0</v>
      </c>
      <c r="N89">
        <v>0</v>
      </c>
    </row>
    <row r="90" spans="1:14" x14ac:dyDescent="0.2">
      <c r="A90" t="s">
        <v>137</v>
      </c>
      <c r="B90" t="s">
        <v>138</v>
      </c>
      <c r="C90">
        <v>54.97</v>
      </c>
      <c r="D90">
        <v>54</v>
      </c>
      <c r="E90">
        <v>19</v>
      </c>
      <c r="F90">
        <v>3.75</v>
      </c>
      <c r="H90">
        <v>0</v>
      </c>
      <c r="I90">
        <v>0</v>
      </c>
      <c r="J90">
        <v>0</v>
      </c>
      <c r="K90">
        <v>0</v>
      </c>
      <c r="L90">
        <v>0</v>
      </c>
      <c r="M90">
        <v>0</v>
      </c>
      <c r="N90">
        <v>0</v>
      </c>
    </row>
    <row r="91" spans="1:14" x14ac:dyDescent="0.2">
      <c r="A91" t="s">
        <v>139</v>
      </c>
      <c r="B91" t="s">
        <v>140</v>
      </c>
      <c r="C91">
        <v>0.56999999999999995</v>
      </c>
      <c r="D91">
        <v>0</v>
      </c>
      <c r="E91">
        <v>11</v>
      </c>
      <c r="F91">
        <v>5</v>
      </c>
      <c r="H91">
        <v>0</v>
      </c>
      <c r="I91">
        <v>0</v>
      </c>
      <c r="J91">
        <v>0</v>
      </c>
      <c r="K91">
        <v>0</v>
      </c>
      <c r="L91">
        <v>0</v>
      </c>
      <c r="M91">
        <v>0</v>
      </c>
      <c r="N91">
        <v>0</v>
      </c>
    </row>
    <row r="92" spans="1:14" x14ac:dyDescent="0.2">
      <c r="A92" t="s">
        <v>139</v>
      </c>
      <c r="B92" t="s">
        <v>141</v>
      </c>
      <c r="C92">
        <v>0.12</v>
      </c>
      <c r="D92">
        <v>0</v>
      </c>
      <c r="E92">
        <v>2</v>
      </c>
      <c r="F92">
        <v>6</v>
      </c>
      <c r="H92">
        <v>0</v>
      </c>
      <c r="I92">
        <v>0</v>
      </c>
      <c r="J92">
        <v>0</v>
      </c>
      <c r="K92">
        <v>0</v>
      </c>
      <c r="L92">
        <v>0</v>
      </c>
      <c r="M92">
        <v>0</v>
      </c>
      <c r="N92">
        <v>0</v>
      </c>
    </row>
    <row r="93" spans="1:14" x14ac:dyDescent="0.2">
      <c r="A93" t="s">
        <v>139</v>
      </c>
      <c r="B93" t="s">
        <v>142</v>
      </c>
      <c r="C93">
        <v>0.05</v>
      </c>
      <c r="D93">
        <v>0</v>
      </c>
      <c r="E93">
        <v>1</v>
      </c>
      <c r="F93">
        <v>0</v>
      </c>
      <c r="H93">
        <v>0</v>
      </c>
      <c r="I93">
        <v>0</v>
      </c>
      <c r="J93">
        <v>0</v>
      </c>
      <c r="K93">
        <v>0</v>
      </c>
      <c r="L93">
        <v>0</v>
      </c>
      <c r="M93">
        <v>0</v>
      </c>
      <c r="N93">
        <v>0</v>
      </c>
    </row>
    <row r="94" spans="1:14" x14ac:dyDescent="0.2">
      <c r="A94" t="s">
        <v>139</v>
      </c>
      <c r="B94" t="s">
        <v>143</v>
      </c>
      <c r="C94">
        <v>0.03</v>
      </c>
      <c r="D94">
        <v>0</v>
      </c>
      <c r="E94">
        <v>0</v>
      </c>
      <c r="F94">
        <v>6</v>
      </c>
      <c r="H94">
        <v>0</v>
      </c>
      <c r="I94">
        <v>0</v>
      </c>
      <c r="J94">
        <v>0</v>
      </c>
      <c r="K94">
        <v>0</v>
      </c>
      <c r="L94">
        <v>0</v>
      </c>
      <c r="M94">
        <v>0</v>
      </c>
      <c r="N94">
        <v>0</v>
      </c>
    </row>
    <row r="95" spans="1:14" x14ac:dyDescent="0.2">
      <c r="A95" t="s">
        <v>139</v>
      </c>
      <c r="B95" t="s">
        <v>144</v>
      </c>
      <c r="C95">
        <v>0.03</v>
      </c>
      <c r="D95">
        <v>0</v>
      </c>
      <c r="E95">
        <v>0</v>
      </c>
      <c r="F95">
        <v>7.5</v>
      </c>
      <c r="H95">
        <v>0</v>
      </c>
      <c r="I95">
        <v>0</v>
      </c>
      <c r="J95">
        <v>0</v>
      </c>
      <c r="K95">
        <v>0</v>
      </c>
      <c r="L95">
        <v>0</v>
      </c>
      <c r="M95">
        <v>0</v>
      </c>
      <c r="N95">
        <v>0</v>
      </c>
    </row>
    <row r="96" spans="1:14" x14ac:dyDescent="0.2">
      <c r="A96" t="s">
        <v>139</v>
      </c>
      <c r="B96" t="s">
        <v>145</v>
      </c>
      <c r="C96">
        <v>4.3</v>
      </c>
      <c r="D96">
        <v>4</v>
      </c>
      <c r="E96">
        <v>5</v>
      </c>
      <c r="F96">
        <v>11</v>
      </c>
      <c r="H96">
        <v>0</v>
      </c>
      <c r="I96">
        <v>0</v>
      </c>
      <c r="J96">
        <v>0</v>
      </c>
      <c r="K96">
        <v>0</v>
      </c>
      <c r="L96">
        <v>0</v>
      </c>
      <c r="M96">
        <v>0</v>
      </c>
      <c r="N96">
        <v>0</v>
      </c>
    </row>
    <row r="97" spans="1:26" x14ac:dyDescent="0.2">
      <c r="A97" t="s">
        <v>139</v>
      </c>
      <c r="B97" t="s">
        <v>146</v>
      </c>
      <c r="C97">
        <v>0.45</v>
      </c>
      <c r="D97">
        <v>0</v>
      </c>
      <c r="E97">
        <v>9</v>
      </c>
      <c r="F97">
        <v>0</v>
      </c>
      <c r="H97">
        <v>0</v>
      </c>
      <c r="I97">
        <v>0</v>
      </c>
      <c r="J97">
        <v>0</v>
      </c>
      <c r="K97">
        <v>0</v>
      </c>
      <c r="L97">
        <v>0</v>
      </c>
      <c r="M97">
        <v>0</v>
      </c>
      <c r="N97">
        <v>0</v>
      </c>
    </row>
    <row r="98" spans="1:26" x14ac:dyDescent="0.2">
      <c r="A98" t="s">
        <v>139</v>
      </c>
      <c r="B98" t="s">
        <v>147</v>
      </c>
      <c r="C98">
        <v>5.95</v>
      </c>
      <c r="D98">
        <v>5</v>
      </c>
      <c r="E98">
        <v>18</v>
      </c>
      <c r="F98">
        <v>11.5</v>
      </c>
      <c r="H98">
        <v>0</v>
      </c>
      <c r="I98">
        <v>0</v>
      </c>
      <c r="J98">
        <v>0</v>
      </c>
      <c r="K98">
        <v>0</v>
      </c>
      <c r="L98">
        <v>0</v>
      </c>
      <c r="M98">
        <v>0</v>
      </c>
      <c r="N98">
        <v>0</v>
      </c>
    </row>
    <row r="99" spans="1:26" x14ac:dyDescent="0.2">
      <c r="A99" t="s">
        <v>148</v>
      </c>
      <c r="B99" t="s">
        <v>149</v>
      </c>
      <c r="C99">
        <v>2.82</v>
      </c>
      <c r="D99">
        <v>2</v>
      </c>
      <c r="E99">
        <v>16</v>
      </c>
      <c r="F99">
        <v>4</v>
      </c>
      <c r="G99" t="s">
        <v>87</v>
      </c>
      <c r="H99">
        <v>20.5</v>
      </c>
      <c r="I99">
        <v>0</v>
      </c>
      <c r="J99">
        <v>20.5</v>
      </c>
      <c r="K99">
        <v>20.5</v>
      </c>
      <c r="L99">
        <v>0</v>
      </c>
      <c r="M99">
        <v>20.5</v>
      </c>
      <c r="N99">
        <v>0</v>
      </c>
      <c r="O99">
        <v>7</v>
      </c>
      <c r="P99">
        <v>0</v>
      </c>
      <c r="Q99">
        <v>4.5</v>
      </c>
      <c r="R99">
        <v>0</v>
      </c>
      <c r="S99">
        <v>9</v>
      </c>
      <c r="T99">
        <v>0</v>
      </c>
      <c r="U99">
        <v>3</v>
      </c>
      <c r="V99">
        <v>4</v>
      </c>
      <c r="W99">
        <v>2</v>
      </c>
      <c r="X99">
        <v>8</v>
      </c>
      <c r="Y99">
        <v>2</v>
      </c>
      <c r="Z99">
        <v>4</v>
      </c>
    </row>
    <row r="100" spans="1:26" x14ac:dyDescent="0.2">
      <c r="A100" t="s">
        <v>148</v>
      </c>
      <c r="B100" t="s">
        <v>150</v>
      </c>
      <c r="C100">
        <v>2.82</v>
      </c>
      <c r="D100">
        <v>2</v>
      </c>
      <c r="E100">
        <v>16</v>
      </c>
      <c r="F100">
        <v>4</v>
      </c>
      <c r="H100">
        <v>0</v>
      </c>
      <c r="I100">
        <v>0</v>
      </c>
      <c r="J100">
        <v>0</v>
      </c>
      <c r="K100">
        <v>0</v>
      </c>
      <c r="L100">
        <v>0</v>
      </c>
      <c r="M100">
        <v>0</v>
      </c>
      <c r="N100">
        <v>0</v>
      </c>
    </row>
    <row r="101" spans="1:26" x14ac:dyDescent="0.2">
      <c r="A101" t="s">
        <v>151</v>
      </c>
      <c r="B101" t="s">
        <v>152</v>
      </c>
      <c r="C101">
        <v>0.12</v>
      </c>
      <c r="D101">
        <v>0</v>
      </c>
      <c r="E101">
        <v>2</v>
      </c>
      <c r="F101">
        <v>5</v>
      </c>
      <c r="H101">
        <v>0</v>
      </c>
      <c r="I101">
        <v>0</v>
      </c>
      <c r="J101">
        <v>0</v>
      </c>
      <c r="K101">
        <v>0</v>
      </c>
      <c r="L101">
        <v>0</v>
      </c>
      <c r="M101">
        <v>0</v>
      </c>
      <c r="N101">
        <v>0</v>
      </c>
    </row>
    <row r="102" spans="1:26" x14ac:dyDescent="0.2">
      <c r="A102" t="s">
        <v>151</v>
      </c>
      <c r="B102" t="s">
        <v>153</v>
      </c>
      <c r="C102">
        <v>0.03</v>
      </c>
      <c r="D102">
        <v>0</v>
      </c>
      <c r="E102">
        <v>0</v>
      </c>
      <c r="F102">
        <v>8</v>
      </c>
      <c r="H102">
        <v>0</v>
      </c>
      <c r="I102">
        <v>0</v>
      </c>
      <c r="J102">
        <v>0</v>
      </c>
      <c r="K102">
        <v>0</v>
      </c>
      <c r="L102">
        <v>0</v>
      </c>
      <c r="M102">
        <v>0</v>
      </c>
      <c r="N102">
        <v>0</v>
      </c>
    </row>
    <row r="103" spans="1:26" x14ac:dyDescent="0.2">
      <c r="A103" t="s">
        <v>151</v>
      </c>
      <c r="B103" t="s">
        <v>154</v>
      </c>
      <c r="C103">
        <v>0.01</v>
      </c>
      <c r="D103">
        <v>0</v>
      </c>
      <c r="E103">
        <v>0</v>
      </c>
      <c r="F103">
        <v>3.5</v>
      </c>
      <c r="H103">
        <v>0</v>
      </c>
      <c r="I103">
        <v>0</v>
      </c>
      <c r="J103">
        <v>0</v>
      </c>
      <c r="K103">
        <v>0</v>
      </c>
      <c r="L103">
        <v>0</v>
      </c>
      <c r="M103">
        <v>0</v>
      </c>
      <c r="N103">
        <v>0</v>
      </c>
    </row>
    <row r="104" spans="1:26" x14ac:dyDescent="0.2">
      <c r="A104" t="s">
        <v>151</v>
      </c>
      <c r="B104" t="s">
        <v>155</v>
      </c>
      <c r="C104">
        <v>0.03</v>
      </c>
      <c r="D104">
        <v>0</v>
      </c>
      <c r="E104">
        <v>0</v>
      </c>
      <c r="F104">
        <v>8.25</v>
      </c>
      <c r="H104">
        <v>0</v>
      </c>
      <c r="I104">
        <v>0</v>
      </c>
      <c r="J104">
        <v>0</v>
      </c>
      <c r="K104">
        <v>0</v>
      </c>
      <c r="L104">
        <v>0</v>
      </c>
      <c r="M104">
        <v>0</v>
      </c>
      <c r="N104">
        <v>0</v>
      </c>
    </row>
    <row r="105" spans="1:26" x14ac:dyDescent="0.2">
      <c r="A105" t="s">
        <v>151</v>
      </c>
      <c r="B105" t="s">
        <v>156</v>
      </c>
      <c r="C105">
        <v>0.02</v>
      </c>
      <c r="D105">
        <v>0</v>
      </c>
      <c r="E105">
        <v>0</v>
      </c>
      <c r="F105">
        <v>4.5</v>
      </c>
      <c r="H105">
        <v>0</v>
      </c>
      <c r="I105">
        <v>0</v>
      </c>
      <c r="J105">
        <v>0</v>
      </c>
      <c r="K105">
        <v>0</v>
      </c>
      <c r="L105">
        <v>0</v>
      </c>
      <c r="M105">
        <v>0</v>
      </c>
      <c r="N105">
        <v>0</v>
      </c>
    </row>
    <row r="106" spans="1:26" x14ac:dyDescent="0.2">
      <c r="A106" t="s">
        <v>151</v>
      </c>
      <c r="B106" t="s">
        <v>157</v>
      </c>
      <c r="C106">
        <v>0.01</v>
      </c>
      <c r="D106">
        <v>0</v>
      </c>
      <c r="E106">
        <v>0</v>
      </c>
      <c r="F106">
        <v>3</v>
      </c>
      <c r="H106">
        <v>0</v>
      </c>
      <c r="I106">
        <v>0</v>
      </c>
      <c r="J106">
        <v>0</v>
      </c>
      <c r="K106">
        <v>0</v>
      </c>
      <c r="L106">
        <v>0</v>
      </c>
      <c r="M106">
        <v>0</v>
      </c>
      <c r="N106">
        <v>0</v>
      </c>
    </row>
    <row r="107" spans="1:26" x14ac:dyDescent="0.2">
      <c r="A107" t="s">
        <v>151</v>
      </c>
      <c r="B107" t="s">
        <v>158</v>
      </c>
      <c r="C107">
        <v>0.01</v>
      </c>
      <c r="D107">
        <v>0</v>
      </c>
      <c r="E107">
        <v>0</v>
      </c>
      <c r="F107">
        <v>1.5</v>
      </c>
      <c r="H107">
        <v>0</v>
      </c>
      <c r="I107">
        <v>0</v>
      </c>
      <c r="J107">
        <v>0</v>
      </c>
      <c r="K107">
        <v>0</v>
      </c>
      <c r="L107">
        <v>0</v>
      </c>
      <c r="M107">
        <v>0</v>
      </c>
      <c r="N107">
        <v>0</v>
      </c>
    </row>
    <row r="108" spans="1:26" x14ac:dyDescent="0.2">
      <c r="A108" t="s">
        <v>151</v>
      </c>
      <c r="B108" t="s">
        <v>159</v>
      </c>
      <c r="C108">
        <v>0.01</v>
      </c>
      <c r="D108">
        <v>0</v>
      </c>
      <c r="E108">
        <v>0</v>
      </c>
      <c r="F108">
        <v>2</v>
      </c>
      <c r="H108">
        <v>0</v>
      </c>
      <c r="I108">
        <v>0</v>
      </c>
      <c r="J108">
        <v>0</v>
      </c>
      <c r="K108">
        <v>0</v>
      </c>
      <c r="L108">
        <v>0</v>
      </c>
      <c r="M108">
        <v>0</v>
      </c>
      <c r="N108">
        <v>0</v>
      </c>
    </row>
    <row r="109" spans="1:26" x14ac:dyDescent="0.2">
      <c r="A109" t="s">
        <v>151</v>
      </c>
      <c r="B109" t="s">
        <v>160</v>
      </c>
      <c r="C109">
        <v>0.03</v>
      </c>
      <c r="D109">
        <v>0</v>
      </c>
      <c r="E109">
        <v>0</v>
      </c>
      <c r="F109">
        <v>6</v>
      </c>
      <c r="H109">
        <v>0</v>
      </c>
      <c r="I109">
        <v>0</v>
      </c>
      <c r="J109">
        <v>0</v>
      </c>
      <c r="K109">
        <v>0</v>
      </c>
      <c r="L109">
        <v>0</v>
      </c>
      <c r="M109">
        <v>0</v>
      </c>
      <c r="N109">
        <v>0</v>
      </c>
    </row>
    <row r="110" spans="1:26" x14ac:dyDescent="0.2">
      <c r="A110" t="s">
        <v>151</v>
      </c>
      <c r="B110" t="s">
        <v>161</v>
      </c>
      <c r="C110">
        <v>0.01</v>
      </c>
      <c r="D110">
        <v>0</v>
      </c>
      <c r="E110">
        <v>0</v>
      </c>
      <c r="F110">
        <v>2</v>
      </c>
      <c r="H110">
        <v>0</v>
      </c>
      <c r="I110">
        <v>0</v>
      </c>
      <c r="J110">
        <v>0</v>
      </c>
      <c r="K110">
        <v>0</v>
      </c>
      <c r="L110">
        <v>0</v>
      </c>
      <c r="M110">
        <v>0</v>
      </c>
      <c r="N110">
        <v>0</v>
      </c>
    </row>
    <row r="111" spans="1:26" x14ac:dyDescent="0.2">
      <c r="A111" t="s">
        <v>151</v>
      </c>
      <c r="B111" t="s">
        <v>162</v>
      </c>
      <c r="C111">
        <v>0.12</v>
      </c>
      <c r="D111">
        <v>0</v>
      </c>
      <c r="E111">
        <v>2</v>
      </c>
      <c r="F111">
        <v>6</v>
      </c>
      <c r="H111">
        <v>0</v>
      </c>
      <c r="I111">
        <v>0</v>
      </c>
      <c r="J111">
        <v>0</v>
      </c>
      <c r="K111">
        <v>0</v>
      </c>
      <c r="L111">
        <v>0</v>
      </c>
      <c r="M111">
        <v>0</v>
      </c>
      <c r="N111">
        <v>0</v>
      </c>
    </row>
    <row r="112" spans="1:26" x14ac:dyDescent="0.2">
      <c r="A112" t="s">
        <v>151</v>
      </c>
      <c r="B112" t="s">
        <v>163</v>
      </c>
      <c r="C112">
        <v>0.19</v>
      </c>
      <c r="D112">
        <v>0</v>
      </c>
      <c r="E112">
        <v>3</v>
      </c>
      <c r="F112">
        <v>9.25</v>
      </c>
      <c r="H112">
        <v>0</v>
      </c>
      <c r="I112">
        <v>0</v>
      </c>
      <c r="J112">
        <v>0</v>
      </c>
      <c r="K112">
        <v>0</v>
      </c>
      <c r="L112">
        <v>0</v>
      </c>
      <c r="M112">
        <v>0</v>
      </c>
      <c r="N112">
        <v>0</v>
      </c>
    </row>
    <row r="113" spans="1:16" x14ac:dyDescent="0.2">
      <c r="A113" t="s">
        <v>164</v>
      </c>
      <c r="B113" t="s">
        <v>165</v>
      </c>
      <c r="C113">
        <v>0.12</v>
      </c>
      <c r="D113">
        <v>0</v>
      </c>
      <c r="E113">
        <v>2</v>
      </c>
      <c r="F113">
        <v>4</v>
      </c>
      <c r="H113">
        <v>0</v>
      </c>
      <c r="I113">
        <v>0</v>
      </c>
      <c r="J113">
        <v>0</v>
      </c>
      <c r="K113">
        <v>0</v>
      </c>
      <c r="L113">
        <v>0</v>
      </c>
      <c r="M113">
        <v>0</v>
      </c>
      <c r="N113">
        <v>0</v>
      </c>
    </row>
    <row r="114" spans="1:16" x14ac:dyDescent="0.2">
      <c r="A114" t="s">
        <v>164</v>
      </c>
      <c r="B114" t="s">
        <v>166</v>
      </c>
      <c r="C114">
        <v>0.09</v>
      </c>
      <c r="D114">
        <v>0</v>
      </c>
      <c r="E114">
        <v>1</v>
      </c>
      <c r="F114">
        <v>8.5</v>
      </c>
      <c r="H114">
        <v>0</v>
      </c>
      <c r="I114">
        <v>0</v>
      </c>
      <c r="J114">
        <v>0</v>
      </c>
      <c r="K114">
        <v>0</v>
      </c>
      <c r="L114">
        <v>0</v>
      </c>
      <c r="M114">
        <v>0</v>
      </c>
      <c r="N114">
        <v>0</v>
      </c>
    </row>
    <row r="115" spans="1:16" x14ac:dyDescent="0.2">
      <c r="A115" t="s">
        <v>164</v>
      </c>
      <c r="B115" t="s">
        <v>167</v>
      </c>
      <c r="C115">
        <v>0.02</v>
      </c>
      <c r="D115">
        <v>0</v>
      </c>
      <c r="E115">
        <v>0</v>
      </c>
      <c r="F115">
        <v>4.5</v>
      </c>
      <c r="H115">
        <v>0</v>
      </c>
      <c r="I115">
        <v>0</v>
      </c>
      <c r="J115">
        <v>0</v>
      </c>
      <c r="K115">
        <v>0</v>
      </c>
      <c r="L115">
        <v>0</v>
      </c>
      <c r="M115">
        <v>0</v>
      </c>
      <c r="N115">
        <v>0</v>
      </c>
    </row>
    <row r="116" spans="1:16" x14ac:dyDescent="0.2">
      <c r="A116" t="s">
        <v>164</v>
      </c>
      <c r="B116" t="s">
        <v>168</v>
      </c>
      <c r="C116">
        <v>0.02</v>
      </c>
      <c r="D116">
        <v>0</v>
      </c>
      <c r="E116">
        <v>0</v>
      </c>
      <c r="F116">
        <v>4.5</v>
      </c>
      <c r="H116">
        <v>0</v>
      </c>
      <c r="I116">
        <v>0</v>
      </c>
      <c r="J116">
        <v>0</v>
      </c>
      <c r="K116">
        <v>0</v>
      </c>
      <c r="L116">
        <v>0</v>
      </c>
      <c r="M116">
        <v>0</v>
      </c>
      <c r="N116">
        <v>0</v>
      </c>
    </row>
    <row r="117" spans="1:16" x14ac:dyDescent="0.2">
      <c r="A117" t="s">
        <v>164</v>
      </c>
      <c r="B117" t="s">
        <v>169</v>
      </c>
      <c r="C117">
        <v>0.28999999999999998</v>
      </c>
      <c r="D117">
        <v>0</v>
      </c>
      <c r="E117">
        <v>5</v>
      </c>
      <c r="F117">
        <v>10.5</v>
      </c>
      <c r="H117">
        <v>0</v>
      </c>
      <c r="I117">
        <v>0</v>
      </c>
      <c r="J117">
        <v>0</v>
      </c>
      <c r="K117">
        <v>0</v>
      </c>
      <c r="L117">
        <v>0</v>
      </c>
      <c r="M117">
        <v>0</v>
      </c>
      <c r="N117">
        <v>0</v>
      </c>
    </row>
    <row r="118" spans="1:16" x14ac:dyDescent="0.2">
      <c r="A118" t="s">
        <v>170</v>
      </c>
      <c r="B118" t="s">
        <v>171</v>
      </c>
      <c r="C118">
        <v>0.01</v>
      </c>
      <c r="D118">
        <v>0</v>
      </c>
      <c r="E118">
        <v>0</v>
      </c>
      <c r="F118">
        <v>1.75</v>
      </c>
      <c r="G118" t="s">
        <v>172</v>
      </c>
      <c r="H118">
        <v>8</v>
      </c>
      <c r="I118">
        <v>10</v>
      </c>
      <c r="J118">
        <v>9.25</v>
      </c>
      <c r="K118">
        <v>1.25</v>
      </c>
      <c r="L118">
        <v>8</v>
      </c>
      <c r="M118">
        <v>0</v>
      </c>
      <c r="N118">
        <v>10</v>
      </c>
      <c r="O118">
        <v>8</v>
      </c>
      <c r="P118">
        <v>0</v>
      </c>
    </row>
    <row r="119" spans="1:16" x14ac:dyDescent="0.2">
      <c r="A119" t="s">
        <v>170</v>
      </c>
      <c r="B119" t="s">
        <v>173</v>
      </c>
      <c r="C119">
        <v>1.08</v>
      </c>
      <c r="D119">
        <v>1</v>
      </c>
      <c r="E119">
        <v>1</v>
      </c>
      <c r="F119">
        <v>8.25</v>
      </c>
      <c r="G119" t="s">
        <v>78</v>
      </c>
      <c r="H119">
        <v>5</v>
      </c>
      <c r="I119">
        <v>2</v>
      </c>
      <c r="J119">
        <v>5.25</v>
      </c>
      <c r="K119">
        <v>118.25</v>
      </c>
      <c r="L119">
        <v>-113</v>
      </c>
      <c r="M119">
        <v>118</v>
      </c>
      <c r="N119">
        <v>2</v>
      </c>
      <c r="O119">
        <v>5</v>
      </c>
      <c r="P119">
        <v>0</v>
      </c>
    </row>
    <row r="120" spans="1:16" x14ac:dyDescent="0.2">
      <c r="A120" t="s">
        <v>170</v>
      </c>
      <c r="B120" t="s">
        <v>174</v>
      </c>
      <c r="C120">
        <v>0.09</v>
      </c>
      <c r="D120">
        <v>0</v>
      </c>
      <c r="E120">
        <v>1</v>
      </c>
      <c r="F120">
        <v>9.75</v>
      </c>
      <c r="G120" t="s">
        <v>87</v>
      </c>
      <c r="H120">
        <v>4</v>
      </c>
      <c r="I120">
        <v>2</v>
      </c>
      <c r="J120">
        <v>4.25</v>
      </c>
      <c r="K120">
        <v>7.75</v>
      </c>
      <c r="L120">
        <v>-3.5</v>
      </c>
      <c r="M120">
        <v>7.5</v>
      </c>
      <c r="N120">
        <v>2</v>
      </c>
      <c r="O120">
        <v>4</v>
      </c>
      <c r="P120">
        <v>2</v>
      </c>
    </row>
    <row r="121" spans="1:16" x14ac:dyDescent="0.2">
      <c r="A121" t="s">
        <v>170</v>
      </c>
      <c r="B121" t="s">
        <v>175</v>
      </c>
      <c r="C121">
        <v>0</v>
      </c>
      <c r="D121">
        <v>0</v>
      </c>
      <c r="E121">
        <v>0</v>
      </c>
      <c r="F121">
        <v>0</v>
      </c>
      <c r="H121">
        <v>0</v>
      </c>
      <c r="I121">
        <v>0</v>
      </c>
      <c r="J121">
        <v>0</v>
      </c>
      <c r="K121">
        <v>0</v>
      </c>
      <c r="L121">
        <v>0</v>
      </c>
      <c r="M121">
        <v>0</v>
      </c>
      <c r="N121">
        <v>0</v>
      </c>
    </row>
    <row r="122" spans="1:16" x14ac:dyDescent="0.2">
      <c r="A122" t="s">
        <v>170</v>
      </c>
      <c r="B122" t="s">
        <v>176</v>
      </c>
      <c r="C122">
        <v>0.16</v>
      </c>
      <c r="D122">
        <v>0</v>
      </c>
      <c r="E122">
        <v>3</v>
      </c>
      <c r="F122">
        <v>2.5</v>
      </c>
      <c r="G122" t="s">
        <v>89</v>
      </c>
      <c r="H122">
        <v>8</v>
      </c>
      <c r="I122">
        <v>1</v>
      </c>
      <c r="J122">
        <v>8.125</v>
      </c>
      <c r="K122">
        <v>61.625</v>
      </c>
      <c r="L122">
        <v>-53.5</v>
      </c>
      <c r="M122">
        <v>61.5</v>
      </c>
      <c r="N122">
        <v>1</v>
      </c>
      <c r="O122">
        <v>8</v>
      </c>
      <c r="P122">
        <v>0</v>
      </c>
    </row>
    <row r="123" spans="1:16" x14ac:dyDescent="0.2">
      <c r="A123" t="s">
        <v>170</v>
      </c>
      <c r="B123" t="s">
        <v>177</v>
      </c>
      <c r="C123">
        <v>0.02</v>
      </c>
      <c r="D123">
        <v>0</v>
      </c>
      <c r="E123">
        <v>0</v>
      </c>
      <c r="F123">
        <v>3.75</v>
      </c>
      <c r="G123" t="s">
        <v>178</v>
      </c>
      <c r="H123">
        <v>2</v>
      </c>
      <c r="I123">
        <v>2</v>
      </c>
      <c r="J123">
        <v>2.25</v>
      </c>
      <c r="K123">
        <v>2.25</v>
      </c>
      <c r="L123">
        <v>0</v>
      </c>
      <c r="M123">
        <v>2</v>
      </c>
      <c r="N123">
        <v>2</v>
      </c>
    </row>
    <row r="124" spans="1:16" x14ac:dyDescent="0.2">
      <c r="A124" t="s">
        <v>170</v>
      </c>
      <c r="B124" t="s">
        <v>179</v>
      </c>
      <c r="C124">
        <v>1.35</v>
      </c>
      <c r="D124">
        <v>1</v>
      </c>
      <c r="E124">
        <v>7</v>
      </c>
      <c r="F124">
        <v>0.25</v>
      </c>
      <c r="H124">
        <v>0</v>
      </c>
      <c r="I124">
        <v>0</v>
      </c>
      <c r="J124">
        <v>0</v>
      </c>
      <c r="K124">
        <v>0</v>
      </c>
      <c r="L124">
        <v>0</v>
      </c>
      <c r="M124">
        <v>0</v>
      </c>
      <c r="N124">
        <v>0</v>
      </c>
    </row>
    <row r="125" spans="1:16" x14ac:dyDescent="0.2">
      <c r="A125" t="s">
        <v>180</v>
      </c>
      <c r="B125" t="s">
        <v>181</v>
      </c>
      <c r="C125">
        <v>0.02</v>
      </c>
      <c r="D125">
        <v>0</v>
      </c>
      <c r="E125">
        <v>0</v>
      </c>
      <c r="F125">
        <v>5</v>
      </c>
      <c r="H125">
        <v>0</v>
      </c>
      <c r="I125">
        <v>0</v>
      </c>
      <c r="J125">
        <v>0</v>
      </c>
      <c r="K125">
        <v>0</v>
      </c>
      <c r="L125">
        <v>0</v>
      </c>
      <c r="M125">
        <v>0</v>
      </c>
      <c r="N125">
        <v>0</v>
      </c>
    </row>
    <row r="126" spans="1:16" x14ac:dyDescent="0.2">
      <c r="A126" t="s">
        <v>180</v>
      </c>
      <c r="B126" t="s">
        <v>182</v>
      </c>
      <c r="C126">
        <v>0.18</v>
      </c>
      <c r="D126">
        <v>0</v>
      </c>
      <c r="E126">
        <v>3</v>
      </c>
      <c r="F126">
        <v>6.75</v>
      </c>
      <c r="H126">
        <v>0</v>
      </c>
      <c r="I126">
        <v>0</v>
      </c>
      <c r="J126">
        <v>0</v>
      </c>
      <c r="K126">
        <v>0</v>
      </c>
      <c r="L126">
        <v>0</v>
      </c>
      <c r="M126">
        <v>0</v>
      </c>
      <c r="N126">
        <v>0</v>
      </c>
    </row>
    <row r="127" spans="1:16" x14ac:dyDescent="0.2">
      <c r="A127" t="s">
        <v>180</v>
      </c>
      <c r="B127" t="s">
        <v>183</v>
      </c>
      <c r="C127">
        <v>0.01</v>
      </c>
      <c r="D127">
        <v>0</v>
      </c>
      <c r="E127">
        <v>0</v>
      </c>
      <c r="F127">
        <v>3</v>
      </c>
      <c r="H127">
        <v>0</v>
      </c>
      <c r="I127">
        <v>0</v>
      </c>
      <c r="J127">
        <v>0</v>
      </c>
      <c r="K127">
        <v>0</v>
      </c>
      <c r="L127">
        <v>0</v>
      </c>
      <c r="M127">
        <v>0</v>
      </c>
      <c r="N127">
        <v>0</v>
      </c>
    </row>
    <row r="128" spans="1:16" x14ac:dyDescent="0.2">
      <c r="A128" t="s">
        <v>180</v>
      </c>
      <c r="B128" t="s">
        <v>184</v>
      </c>
      <c r="C128">
        <v>0.23</v>
      </c>
      <c r="D128">
        <v>0</v>
      </c>
      <c r="E128">
        <v>4</v>
      </c>
      <c r="F128">
        <v>6</v>
      </c>
      <c r="H128">
        <v>0</v>
      </c>
      <c r="I128">
        <v>0</v>
      </c>
      <c r="J128">
        <v>0</v>
      </c>
      <c r="K128">
        <v>0</v>
      </c>
      <c r="L128">
        <v>0</v>
      </c>
      <c r="M128">
        <v>0</v>
      </c>
      <c r="N128">
        <v>0</v>
      </c>
    </row>
    <row r="129" spans="1:14" x14ac:dyDescent="0.2">
      <c r="A129" t="s">
        <v>185</v>
      </c>
      <c r="B129" t="s">
        <v>186</v>
      </c>
      <c r="C129">
        <v>0.12</v>
      </c>
      <c r="D129">
        <v>0</v>
      </c>
      <c r="E129">
        <v>2</v>
      </c>
      <c r="F129">
        <v>4</v>
      </c>
      <c r="H129">
        <v>0</v>
      </c>
      <c r="I129">
        <v>0</v>
      </c>
      <c r="J129">
        <v>0</v>
      </c>
      <c r="K129">
        <v>0</v>
      </c>
      <c r="L129">
        <v>0</v>
      </c>
      <c r="M129">
        <v>0</v>
      </c>
      <c r="N129">
        <v>0</v>
      </c>
    </row>
    <row r="130" spans="1:14" x14ac:dyDescent="0.2">
      <c r="A130" t="s">
        <v>185</v>
      </c>
      <c r="B130" t="s">
        <v>175</v>
      </c>
      <c r="C130">
        <v>0</v>
      </c>
      <c r="D130">
        <v>0</v>
      </c>
      <c r="E130">
        <v>0</v>
      </c>
      <c r="F130">
        <v>0</v>
      </c>
      <c r="H130">
        <v>0</v>
      </c>
      <c r="I130">
        <v>0</v>
      </c>
      <c r="J130">
        <v>0</v>
      </c>
      <c r="K130">
        <v>0</v>
      </c>
      <c r="L130">
        <v>0</v>
      </c>
      <c r="M130">
        <v>0</v>
      </c>
      <c r="N130">
        <v>0</v>
      </c>
    </row>
    <row r="131" spans="1:14" x14ac:dyDescent="0.2">
      <c r="A131" t="s">
        <v>185</v>
      </c>
      <c r="B131" t="s">
        <v>187</v>
      </c>
      <c r="C131">
        <v>0.3</v>
      </c>
      <c r="D131">
        <v>0</v>
      </c>
      <c r="E131">
        <v>6</v>
      </c>
      <c r="F131">
        <v>0</v>
      </c>
      <c r="H131">
        <v>0</v>
      </c>
      <c r="I131">
        <v>0</v>
      </c>
      <c r="J131">
        <v>0</v>
      </c>
      <c r="K131">
        <v>0</v>
      </c>
      <c r="L131">
        <v>0</v>
      </c>
      <c r="M131">
        <v>0</v>
      </c>
      <c r="N131">
        <v>0</v>
      </c>
    </row>
    <row r="132" spans="1:14" x14ac:dyDescent="0.2">
      <c r="A132" t="s">
        <v>185</v>
      </c>
      <c r="B132" t="s">
        <v>188</v>
      </c>
      <c r="C132">
        <v>0.49</v>
      </c>
      <c r="D132">
        <v>0</v>
      </c>
      <c r="E132">
        <v>9</v>
      </c>
      <c r="F132">
        <v>10</v>
      </c>
      <c r="H132">
        <v>0</v>
      </c>
      <c r="I132">
        <v>0</v>
      </c>
      <c r="J132">
        <v>0</v>
      </c>
      <c r="K132">
        <v>0</v>
      </c>
      <c r="L132">
        <v>0</v>
      </c>
      <c r="M132">
        <v>0</v>
      </c>
      <c r="N132">
        <v>0</v>
      </c>
    </row>
    <row r="133" spans="1:14" x14ac:dyDescent="0.2">
      <c r="A133" t="s">
        <v>185</v>
      </c>
      <c r="B133" t="s">
        <v>189</v>
      </c>
      <c r="C133">
        <v>0.06</v>
      </c>
      <c r="D133">
        <v>0</v>
      </c>
      <c r="E133">
        <v>1</v>
      </c>
      <c r="F133">
        <v>3</v>
      </c>
      <c r="H133">
        <v>0</v>
      </c>
      <c r="I133">
        <v>0</v>
      </c>
      <c r="J133">
        <v>0</v>
      </c>
      <c r="K133">
        <v>0</v>
      </c>
      <c r="L133">
        <v>0</v>
      </c>
      <c r="M133">
        <v>0</v>
      </c>
      <c r="N133">
        <v>0</v>
      </c>
    </row>
    <row r="134" spans="1:14" x14ac:dyDescent="0.2">
      <c r="A134" t="s">
        <v>185</v>
      </c>
      <c r="B134" t="s">
        <v>190</v>
      </c>
      <c r="C134">
        <v>0.01</v>
      </c>
      <c r="D134">
        <v>0</v>
      </c>
      <c r="E134">
        <v>0</v>
      </c>
      <c r="F134">
        <v>3</v>
      </c>
      <c r="H134">
        <v>0</v>
      </c>
      <c r="I134">
        <v>0</v>
      </c>
      <c r="J134">
        <v>0</v>
      </c>
      <c r="K134">
        <v>0</v>
      </c>
      <c r="L134">
        <v>0</v>
      </c>
      <c r="M134">
        <v>0</v>
      </c>
      <c r="N134">
        <v>0</v>
      </c>
    </row>
    <row r="135" spans="1:14" x14ac:dyDescent="0.2">
      <c r="A135" t="s">
        <v>185</v>
      </c>
      <c r="B135" t="s">
        <v>191</v>
      </c>
      <c r="C135">
        <v>1.59</v>
      </c>
      <c r="D135">
        <v>1</v>
      </c>
      <c r="E135">
        <v>11</v>
      </c>
      <c r="F135">
        <v>10</v>
      </c>
      <c r="G135" t="s">
        <v>89</v>
      </c>
      <c r="H135">
        <v>0</v>
      </c>
      <c r="I135">
        <v>0</v>
      </c>
      <c r="J135">
        <v>0</v>
      </c>
      <c r="K135">
        <v>0</v>
      </c>
      <c r="L135">
        <v>0</v>
      </c>
      <c r="M135">
        <v>0</v>
      </c>
      <c r="N135">
        <v>0</v>
      </c>
    </row>
    <row r="136" spans="1:14" x14ac:dyDescent="0.2">
      <c r="A136" t="s">
        <v>185</v>
      </c>
      <c r="B136" t="s">
        <v>192</v>
      </c>
      <c r="C136">
        <v>0</v>
      </c>
      <c r="D136">
        <v>0</v>
      </c>
      <c r="E136">
        <v>0</v>
      </c>
      <c r="F136">
        <v>0</v>
      </c>
      <c r="H136">
        <v>0</v>
      </c>
      <c r="I136">
        <v>0</v>
      </c>
      <c r="J136">
        <v>0</v>
      </c>
      <c r="K136">
        <v>0</v>
      </c>
      <c r="L136">
        <v>0</v>
      </c>
      <c r="M136">
        <v>0</v>
      </c>
      <c r="N136">
        <v>0</v>
      </c>
    </row>
    <row r="137" spans="1:14" x14ac:dyDescent="0.2">
      <c r="A137" t="s">
        <v>185</v>
      </c>
      <c r="B137" t="s">
        <v>193</v>
      </c>
      <c r="C137">
        <v>0.15</v>
      </c>
      <c r="D137">
        <v>0</v>
      </c>
      <c r="E137">
        <v>3</v>
      </c>
      <c r="F137">
        <v>0</v>
      </c>
      <c r="H137">
        <v>0</v>
      </c>
      <c r="I137">
        <v>0</v>
      </c>
      <c r="J137">
        <v>0</v>
      </c>
      <c r="K137">
        <v>0</v>
      </c>
      <c r="L137">
        <v>0</v>
      </c>
      <c r="M137">
        <v>0</v>
      </c>
      <c r="N137">
        <v>0</v>
      </c>
    </row>
    <row r="138" spans="1:14" x14ac:dyDescent="0.2">
      <c r="A138" t="s">
        <v>185</v>
      </c>
      <c r="B138" t="s">
        <v>194</v>
      </c>
      <c r="C138">
        <v>3.12</v>
      </c>
      <c r="D138">
        <v>3</v>
      </c>
      <c r="E138">
        <v>2</v>
      </c>
      <c r="F138">
        <v>6</v>
      </c>
      <c r="H138">
        <v>0</v>
      </c>
      <c r="I138">
        <v>0</v>
      </c>
      <c r="J138">
        <v>0</v>
      </c>
      <c r="K138">
        <v>0</v>
      </c>
      <c r="L138">
        <v>0</v>
      </c>
      <c r="M138">
        <v>0</v>
      </c>
      <c r="N138">
        <v>0</v>
      </c>
    </row>
    <row r="139" spans="1:14" x14ac:dyDescent="0.2">
      <c r="A139" t="s">
        <v>195</v>
      </c>
      <c r="B139" t="s">
        <v>196</v>
      </c>
      <c r="C139">
        <v>7.0000000000000007E-2</v>
      </c>
      <c r="D139">
        <v>0</v>
      </c>
      <c r="E139">
        <v>1</v>
      </c>
      <c r="F139">
        <v>4</v>
      </c>
      <c r="H139">
        <v>0</v>
      </c>
      <c r="I139">
        <v>0</v>
      </c>
      <c r="J139">
        <v>0</v>
      </c>
      <c r="K139">
        <v>0</v>
      </c>
      <c r="L139">
        <v>0</v>
      </c>
      <c r="M139">
        <v>0</v>
      </c>
      <c r="N139">
        <v>0</v>
      </c>
    </row>
    <row r="140" spans="1:14" x14ac:dyDescent="0.2">
      <c r="A140" t="s">
        <v>195</v>
      </c>
      <c r="B140" t="s">
        <v>197</v>
      </c>
      <c r="C140">
        <v>0.12</v>
      </c>
      <c r="D140">
        <v>0</v>
      </c>
      <c r="E140">
        <v>2</v>
      </c>
      <c r="F140">
        <v>4</v>
      </c>
      <c r="H140">
        <v>0</v>
      </c>
      <c r="I140">
        <v>0</v>
      </c>
      <c r="J140">
        <v>0</v>
      </c>
      <c r="K140">
        <v>0</v>
      </c>
      <c r="L140">
        <v>0</v>
      </c>
      <c r="M140">
        <v>0</v>
      </c>
      <c r="N140">
        <v>0</v>
      </c>
    </row>
    <row r="141" spans="1:14" x14ac:dyDescent="0.2">
      <c r="A141" t="s">
        <v>195</v>
      </c>
      <c r="B141" t="s">
        <v>198</v>
      </c>
      <c r="C141">
        <v>0.11</v>
      </c>
      <c r="D141">
        <v>0</v>
      </c>
      <c r="E141">
        <v>2</v>
      </c>
      <c r="F141">
        <v>2</v>
      </c>
      <c r="H141">
        <v>0</v>
      </c>
      <c r="I141">
        <v>0</v>
      </c>
      <c r="J141">
        <v>0</v>
      </c>
      <c r="K141">
        <v>0</v>
      </c>
      <c r="L141">
        <v>0</v>
      </c>
      <c r="M141">
        <v>0</v>
      </c>
      <c r="N141">
        <v>0</v>
      </c>
    </row>
    <row r="142" spans="1:14" x14ac:dyDescent="0.2">
      <c r="A142" t="s">
        <v>199</v>
      </c>
      <c r="B142" t="s">
        <v>200</v>
      </c>
      <c r="C142">
        <v>14.59</v>
      </c>
      <c r="D142">
        <v>14</v>
      </c>
      <c r="E142">
        <v>11</v>
      </c>
      <c r="F142">
        <v>9.25</v>
      </c>
      <c r="H142">
        <v>0</v>
      </c>
      <c r="I142">
        <v>0</v>
      </c>
      <c r="J142">
        <v>0</v>
      </c>
      <c r="K142">
        <v>0</v>
      </c>
      <c r="L142">
        <v>0</v>
      </c>
      <c r="M142">
        <v>0</v>
      </c>
      <c r="N142">
        <v>0</v>
      </c>
    </row>
    <row r="143" spans="1:14" x14ac:dyDescent="0.2">
      <c r="A143" t="s">
        <v>201</v>
      </c>
      <c r="B143" t="s">
        <v>202</v>
      </c>
      <c r="C143">
        <v>40.380000000000003</v>
      </c>
      <c r="D143">
        <v>40</v>
      </c>
      <c r="E143">
        <v>7</v>
      </c>
      <c r="F143">
        <v>6.5</v>
      </c>
      <c r="H143">
        <v>0</v>
      </c>
      <c r="I143">
        <v>0</v>
      </c>
      <c r="J143">
        <v>0</v>
      </c>
      <c r="K143">
        <v>0</v>
      </c>
      <c r="L143">
        <v>0</v>
      </c>
      <c r="M143">
        <v>0</v>
      </c>
      <c r="N143">
        <v>0</v>
      </c>
    </row>
    <row r="144" spans="1:14" x14ac:dyDescent="0.2">
      <c r="A144" t="s">
        <v>203</v>
      </c>
      <c r="B144" t="s">
        <v>204</v>
      </c>
      <c r="C144">
        <v>23.5</v>
      </c>
      <c r="D144">
        <v>23</v>
      </c>
      <c r="E144">
        <v>10</v>
      </c>
      <c r="F144">
        <v>0</v>
      </c>
      <c r="H144">
        <v>0</v>
      </c>
      <c r="I144">
        <v>0</v>
      </c>
      <c r="J144">
        <v>0</v>
      </c>
      <c r="K144">
        <v>0</v>
      </c>
      <c r="L144">
        <v>0</v>
      </c>
      <c r="M144">
        <v>0</v>
      </c>
      <c r="N144">
        <v>0</v>
      </c>
    </row>
    <row r="145" spans="1:16" x14ac:dyDescent="0.2">
      <c r="A145" t="s">
        <v>205</v>
      </c>
      <c r="B145" t="s">
        <v>206</v>
      </c>
      <c r="C145">
        <v>16.88</v>
      </c>
      <c r="D145">
        <v>16</v>
      </c>
      <c r="E145">
        <v>17</v>
      </c>
      <c r="F145">
        <v>6.5</v>
      </c>
      <c r="H145">
        <v>0</v>
      </c>
      <c r="I145">
        <v>0</v>
      </c>
      <c r="J145">
        <v>0</v>
      </c>
      <c r="K145">
        <v>0</v>
      </c>
      <c r="L145">
        <v>0</v>
      </c>
      <c r="M145">
        <v>0</v>
      </c>
      <c r="N145">
        <v>0</v>
      </c>
    </row>
    <row r="146" spans="1:16" x14ac:dyDescent="0.2">
      <c r="A146" t="s">
        <v>207</v>
      </c>
      <c r="B146" t="s">
        <v>208</v>
      </c>
      <c r="C146">
        <v>0</v>
      </c>
      <c r="D146">
        <v>0</v>
      </c>
      <c r="E146">
        <v>0</v>
      </c>
      <c r="F146">
        <v>0</v>
      </c>
      <c r="H146">
        <v>3.5</v>
      </c>
      <c r="I146">
        <v>0</v>
      </c>
      <c r="J146">
        <v>3.5</v>
      </c>
      <c r="K146">
        <v>3.5</v>
      </c>
      <c r="L146">
        <v>0</v>
      </c>
      <c r="M146">
        <v>3.5</v>
      </c>
      <c r="N146">
        <v>0</v>
      </c>
    </row>
    <row r="147" spans="1:16" x14ac:dyDescent="0.2">
      <c r="A147" t="s">
        <v>207</v>
      </c>
      <c r="B147" t="s">
        <v>209</v>
      </c>
      <c r="C147">
        <v>0</v>
      </c>
      <c r="D147">
        <v>0</v>
      </c>
      <c r="E147">
        <v>0</v>
      </c>
      <c r="F147">
        <v>0</v>
      </c>
      <c r="G147" t="s">
        <v>210</v>
      </c>
      <c r="H147">
        <v>118</v>
      </c>
      <c r="I147">
        <v>2</v>
      </c>
      <c r="J147">
        <v>118.25</v>
      </c>
      <c r="K147">
        <v>118.25</v>
      </c>
      <c r="L147">
        <v>0</v>
      </c>
      <c r="M147">
        <v>118</v>
      </c>
      <c r="N147">
        <v>2</v>
      </c>
    </row>
    <row r="148" spans="1:16" x14ac:dyDescent="0.2">
      <c r="A148" t="s">
        <v>207</v>
      </c>
      <c r="B148" t="s">
        <v>211</v>
      </c>
      <c r="C148">
        <v>0</v>
      </c>
      <c r="D148">
        <v>0</v>
      </c>
      <c r="E148">
        <v>0</v>
      </c>
      <c r="F148">
        <v>0</v>
      </c>
      <c r="H148">
        <v>23.5</v>
      </c>
      <c r="I148">
        <v>1</v>
      </c>
      <c r="J148">
        <v>23.625</v>
      </c>
      <c r="K148">
        <v>23.625</v>
      </c>
      <c r="L148">
        <v>0</v>
      </c>
      <c r="M148">
        <v>23.5</v>
      </c>
      <c r="N148">
        <v>1</v>
      </c>
    </row>
    <row r="149" spans="1:16" x14ac:dyDescent="0.2">
      <c r="A149" t="s">
        <v>207</v>
      </c>
      <c r="B149" t="s">
        <v>212</v>
      </c>
      <c r="C149">
        <v>0</v>
      </c>
      <c r="D149">
        <v>0</v>
      </c>
      <c r="E149">
        <v>0</v>
      </c>
      <c r="F149">
        <v>0</v>
      </c>
      <c r="H149">
        <v>0</v>
      </c>
      <c r="I149">
        <v>7</v>
      </c>
      <c r="J149">
        <v>0.875</v>
      </c>
      <c r="K149">
        <v>0.3125</v>
      </c>
      <c r="L149">
        <v>0.5625</v>
      </c>
      <c r="M149">
        <v>0</v>
      </c>
      <c r="N149">
        <v>2.5</v>
      </c>
      <c r="O149">
        <v>0</v>
      </c>
      <c r="P149">
        <v>7</v>
      </c>
    </row>
    <row r="150" spans="1:16" x14ac:dyDescent="0.2">
      <c r="A150" t="s">
        <v>207</v>
      </c>
      <c r="B150" t="s">
        <v>213</v>
      </c>
      <c r="C150">
        <v>0</v>
      </c>
      <c r="D150">
        <v>0</v>
      </c>
      <c r="E150">
        <v>0</v>
      </c>
      <c r="F150">
        <v>0</v>
      </c>
      <c r="G150" t="s">
        <v>87</v>
      </c>
      <c r="H150">
        <v>4</v>
      </c>
      <c r="I150">
        <v>2</v>
      </c>
      <c r="J150">
        <v>4.25</v>
      </c>
      <c r="K150">
        <v>4.25</v>
      </c>
      <c r="L150">
        <v>0</v>
      </c>
      <c r="M150">
        <v>4</v>
      </c>
      <c r="N150">
        <v>2</v>
      </c>
    </row>
    <row r="151" spans="1:16" x14ac:dyDescent="0.2">
      <c r="A151" t="s">
        <v>207</v>
      </c>
      <c r="B151" t="s">
        <v>175</v>
      </c>
      <c r="C151">
        <v>0</v>
      </c>
      <c r="D151">
        <v>0</v>
      </c>
      <c r="E151">
        <v>0</v>
      </c>
      <c r="F151">
        <v>0</v>
      </c>
      <c r="H151">
        <v>0</v>
      </c>
      <c r="I151">
        <v>0</v>
      </c>
      <c r="J151">
        <v>0</v>
      </c>
      <c r="K151">
        <v>0</v>
      </c>
      <c r="L151">
        <v>0</v>
      </c>
      <c r="M151">
        <v>0</v>
      </c>
      <c r="N151">
        <v>0</v>
      </c>
    </row>
    <row r="152" spans="1:16" x14ac:dyDescent="0.2">
      <c r="A152" t="s">
        <v>207</v>
      </c>
      <c r="B152" t="s">
        <v>214</v>
      </c>
      <c r="C152">
        <v>0</v>
      </c>
      <c r="D152">
        <v>0</v>
      </c>
      <c r="E152">
        <v>0</v>
      </c>
      <c r="F152">
        <v>0</v>
      </c>
      <c r="H152">
        <v>1</v>
      </c>
      <c r="I152">
        <v>0</v>
      </c>
      <c r="J152">
        <v>1</v>
      </c>
      <c r="K152">
        <v>1</v>
      </c>
      <c r="L152">
        <v>0</v>
      </c>
      <c r="M152">
        <v>1</v>
      </c>
      <c r="N152">
        <v>0</v>
      </c>
    </row>
    <row r="153" spans="1:16" x14ac:dyDescent="0.2">
      <c r="A153" t="s">
        <v>207</v>
      </c>
      <c r="B153" t="s">
        <v>175</v>
      </c>
      <c r="C153">
        <v>0</v>
      </c>
      <c r="D153">
        <v>0</v>
      </c>
      <c r="E153">
        <v>0</v>
      </c>
      <c r="F153">
        <v>0</v>
      </c>
      <c r="H153">
        <v>0</v>
      </c>
      <c r="I153">
        <v>0</v>
      </c>
      <c r="J153">
        <v>0</v>
      </c>
      <c r="K153">
        <v>0</v>
      </c>
      <c r="L153">
        <v>0</v>
      </c>
      <c r="M153">
        <v>0</v>
      </c>
      <c r="N153">
        <v>0</v>
      </c>
    </row>
    <row r="154" spans="1:16" x14ac:dyDescent="0.2">
      <c r="A154" t="s">
        <v>207</v>
      </c>
      <c r="B154" t="s">
        <v>215</v>
      </c>
      <c r="C154">
        <v>0</v>
      </c>
      <c r="D154">
        <v>0</v>
      </c>
      <c r="E154">
        <v>0</v>
      </c>
      <c r="F154">
        <v>0</v>
      </c>
      <c r="H154">
        <v>3</v>
      </c>
      <c r="I154">
        <v>0</v>
      </c>
      <c r="J154">
        <v>3</v>
      </c>
      <c r="K154">
        <v>3</v>
      </c>
      <c r="L154">
        <v>0</v>
      </c>
      <c r="M154">
        <v>3</v>
      </c>
      <c r="N154">
        <v>0</v>
      </c>
    </row>
    <row r="155" spans="1:16" x14ac:dyDescent="0.2">
      <c r="A155" t="s">
        <v>207</v>
      </c>
      <c r="B155" t="s">
        <v>216</v>
      </c>
      <c r="C155">
        <v>0</v>
      </c>
      <c r="D155">
        <v>0</v>
      </c>
      <c r="E155">
        <v>0</v>
      </c>
      <c r="F155">
        <v>0</v>
      </c>
      <c r="G155" t="s">
        <v>85</v>
      </c>
      <c r="H155">
        <v>3</v>
      </c>
      <c r="I155">
        <v>3</v>
      </c>
      <c r="J155">
        <v>3.375</v>
      </c>
      <c r="K155">
        <v>87.375</v>
      </c>
      <c r="L155">
        <v>-84</v>
      </c>
      <c r="M155">
        <v>87</v>
      </c>
      <c r="N155">
        <v>3</v>
      </c>
      <c r="O155">
        <v>3</v>
      </c>
      <c r="P155">
        <v>3</v>
      </c>
    </row>
    <row r="156" spans="1:16" x14ac:dyDescent="0.2">
      <c r="A156" t="s">
        <v>217</v>
      </c>
      <c r="B156" t="s">
        <v>218</v>
      </c>
      <c r="C156">
        <v>0</v>
      </c>
      <c r="D156">
        <v>0</v>
      </c>
      <c r="E156">
        <v>0</v>
      </c>
      <c r="F156">
        <v>0</v>
      </c>
      <c r="H156">
        <v>0</v>
      </c>
      <c r="I156">
        <v>2</v>
      </c>
      <c r="J156">
        <v>0.25</v>
      </c>
      <c r="K156">
        <v>0.25</v>
      </c>
      <c r="L156">
        <v>0</v>
      </c>
      <c r="M156">
        <v>0</v>
      </c>
      <c r="N156">
        <v>2</v>
      </c>
    </row>
    <row r="157" spans="1:16" x14ac:dyDescent="0.2">
      <c r="A157" t="s">
        <v>217</v>
      </c>
      <c r="B157" t="s">
        <v>219</v>
      </c>
      <c r="C157">
        <v>0</v>
      </c>
      <c r="D157">
        <v>0</v>
      </c>
      <c r="E157">
        <v>0</v>
      </c>
      <c r="F157">
        <v>0</v>
      </c>
      <c r="G157" t="s">
        <v>87</v>
      </c>
      <c r="H157">
        <v>7.5</v>
      </c>
      <c r="I157">
        <v>2</v>
      </c>
      <c r="J157">
        <v>7.75</v>
      </c>
      <c r="K157">
        <v>7.75</v>
      </c>
      <c r="L157">
        <v>0</v>
      </c>
      <c r="M157">
        <v>7.5</v>
      </c>
      <c r="N157">
        <v>2</v>
      </c>
    </row>
    <row r="158" spans="1:16" x14ac:dyDescent="0.2">
      <c r="A158" t="s">
        <v>217</v>
      </c>
      <c r="B158" t="s">
        <v>220</v>
      </c>
      <c r="C158">
        <v>0</v>
      </c>
      <c r="D158">
        <v>0</v>
      </c>
      <c r="E158">
        <v>0</v>
      </c>
      <c r="F158">
        <v>0</v>
      </c>
      <c r="G158" t="s">
        <v>87</v>
      </c>
      <c r="H158">
        <v>6.5</v>
      </c>
      <c r="I158">
        <v>2</v>
      </c>
      <c r="J158">
        <v>6.75</v>
      </c>
      <c r="K158">
        <v>1.25</v>
      </c>
      <c r="L158">
        <v>5.5</v>
      </c>
      <c r="M158">
        <v>1</v>
      </c>
      <c r="N158">
        <v>2</v>
      </c>
      <c r="O158">
        <v>6.5</v>
      </c>
      <c r="P158">
        <v>0</v>
      </c>
    </row>
    <row r="159" spans="1:16" x14ac:dyDescent="0.2">
      <c r="A159" t="s">
        <v>221</v>
      </c>
      <c r="B159" t="s">
        <v>222</v>
      </c>
      <c r="C159">
        <v>0</v>
      </c>
      <c r="D159">
        <v>0</v>
      </c>
      <c r="E159">
        <v>0</v>
      </c>
      <c r="F159">
        <v>0</v>
      </c>
      <c r="H159">
        <v>0</v>
      </c>
      <c r="I159">
        <v>2</v>
      </c>
      <c r="J159">
        <v>0.25</v>
      </c>
      <c r="K159">
        <v>0.25</v>
      </c>
      <c r="L159">
        <v>0</v>
      </c>
      <c r="M159">
        <v>0</v>
      </c>
      <c r="N159">
        <v>2</v>
      </c>
    </row>
    <row r="160" spans="1:16" x14ac:dyDescent="0.2">
      <c r="A160" t="s">
        <v>221</v>
      </c>
      <c r="B160" t="s">
        <v>223</v>
      </c>
      <c r="C160">
        <v>0</v>
      </c>
      <c r="D160">
        <v>0</v>
      </c>
      <c r="E160">
        <v>0</v>
      </c>
      <c r="F160">
        <v>0</v>
      </c>
      <c r="G160" t="s">
        <v>87</v>
      </c>
      <c r="H160">
        <v>4.5</v>
      </c>
      <c r="I160">
        <v>2</v>
      </c>
      <c r="J160">
        <v>4.75</v>
      </c>
      <c r="K160">
        <v>4.75</v>
      </c>
      <c r="L160">
        <v>0</v>
      </c>
      <c r="M160">
        <v>4.5</v>
      </c>
      <c r="N160">
        <v>2</v>
      </c>
    </row>
    <row r="161" spans="1:16" x14ac:dyDescent="0.2">
      <c r="A161" t="s">
        <v>221</v>
      </c>
      <c r="B161" t="s">
        <v>224</v>
      </c>
      <c r="C161">
        <v>0</v>
      </c>
      <c r="D161">
        <v>0</v>
      </c>
      <c r="E161">
        <v>0</v>
      </c>
      <c r="F161">
        <v>0</v>
      </c>
      <c r="G161" t="s">
        <v>87</v>
      </c>
      <c r="H161">
        <v>6.5</v>
      </c>
      <c r="I161">
        <v>0</v>
      </c>
      <c r="J161">
        <v>6.5</v>
      </c>
      <c r="K161">
        <v>6.5</v>
      </c>
      <c r="L161">
        <v>0</v>
      </c>
      <c r="M161">
        <v>6.5</v>
      </c>
      <c r="N161">
        <v>0</v>
      </c>
    </row>
    <row r="162" spans="1:16" x14ac:dyDescent="0.2">
      <c r="A162" t="s">
        <v>221</v>
      </c>
      <c r="B162" t="s">
        <v>225</v>
      </c>
      <c r="C162">
        <v>0</v>
      </c>
      <c r="D162">
        <v>0</v>
      </c>
      <c r="E162">
        <v>0</v>
      </c>
      <c r="F162">
        <v>0</v>
      </c>
      <c r="G162" t="s">
        <v>178</v>
      </c>
      <c r="H162">
        <v>1.5</v>
      </c>
      <c r="I162">
        <v>0</v>
      </c>
      <c r="J162">
        <v>1.5</v>
      </c>
      <c r="K162">
        <v>1.5</v>
      </c>
      <c r="L162">
        <v>0</v>
      </c>
      <c r="M162">
        <v>1.5</v>
      </c>
      <c r="N162">
        <v>0</v>
      </c>
    </row>
    <row r="163" spans="1:16" x14ac:dyDescent="0.2">
      <c r="A163" t="s">
        <v>221</v>
      </c>
      <c r="B163" t="s">
        <v>226</v>
      </c>
      <c r="C163">
        <v>0</v>
      </c>
      <c r="D163">
        <v>0</v>
      </c>
      <c r="E163">
        <v>0</v>
      </c>
      <c r="F163">
        <v>0</v>
      </c>
      <c r="H163">
        <v>20.5</v>
      </c>
      <c r="I163">
        <v>0</v>
      </c>
      <c r="J163">
        <v>20.5</v>
      </c>
      <c r="K163">
        <v>20.5</v>
      </c>
      <c r="L163">
        <v>0</v>
      </c>
      <c r="M163">
        <v>20.5</v>
      </c>
      <c r="N163">
        <v>0</v>
      </c>
    </row>
    <row r="164" spans="1:16" x14ac:dyDescent="0.2">
      <c r="A164" t="s">
        <v>221</v>
      </c>
      <c r="B164" t="s">
        <v>227</v>
      </c>
      <c r="C164">
        <v>0</v>
      </c>
      <c r="D164">
        <v>0</v>
      </c>
      <c r="E164">
        <v>0</v>
      </c>
      <c r="F164">
        <v>0</v>
      </c>
      <c r="H164">
        <v>33</v>
      </c>
      <c r="I164">
        <v>2</v>
      </c>
      <c r="J164">
        <v>33.25</v>
      </c>
      <c r="K164">
        <v>33.25</v>
      </c>
      <c r="L164">
        <v>0</v>
      </c>
      <c r="M164">
        <v>33</v>
      </c>
      <c r="N164">
        <v>2</v>
      </c>
    </row>
    <row r="165" spans="1:16" x14ac:dyDescent="0.2">
      <c r="A165" t="s">
        <v>221</v>
      </c>
      <c r="B165" t="s">
        <v>228</v>
      </c>
      <c r="C165">
        <v>0</v>
      </c>
      <c r="D165">
        <v>0</v>
      </c>
      <c r="E165">
        <v>0</v>
      </c>
      <c r="F165">
        <v>0</v>
      </c>
      <c r="H165">
        <v>3</v>
      </c>
      <c r="I165">
        <v>0</v>
      </c>
      <c r="J165">
        <v>3</v>
      </c>
      <c r="K165">
        <v>3</v>
      </c>
      <c r="L165">
        <v>0</v>
      </c>
      <c r="M165">
        <v>3</v>
      </c>
      <c r="N165">
        <v>0</v>
      </c>
    </row>
    <row r="166" spans="1:16" x14ac:dyDescent="0.2">
      <c r="A166" t="s">
        <v>221</v>
      </c>
      <c r="B166" t="s">
        <v>229</v>
      </c>
      <c r="C166">
        <v>0</v>
      </c>
      <c r="D166">
        <v>0</v>
      </c>
      <c r="E166">
        <v>0</v>
      </c>
      <c r="F166">
        <v>0</v>
      </c>
      <c r="H166">
        <v>0</v>
      </c>
      <c r="I166">
        <v>4</v>
      </c>
      <c r="J166">
        <v>0.5</v>
      </c>
      <c r="K166">
        <v>0.5</v>
      </c>
      <c r="L166">
        <v>0</v>
      </c>
      <c r="M166">
        <v>0</v>
      </c>
      <c r="N166">
        <v>4</v>
      </c>
    </row>
    <row r="167" spans="1:16" x14ac:dyDescent="0.2">
      <c r="A167" t="s">
        <v>221</v>
      </c>
      <c r="B167" t="s">
        <v>230</v>
      </c>
      <c r="C167">
        <v>0</v>
      </c>
      <c r="D167">
        <v>0</v>
      </c>
      <c r="E167">
        <v>0</v>
      </c>
      <c r="F167">
        <v>0</v>
      </c>
      <c r="G167" t="s">
        <v>78</v>
      </c>
      <c r="H167">
        <v>3</v>
      </c>
      <c r="I167">
        <v>2</v>
      </c>
      <c r="J167">
        <v>3.25</v>
      </c>
      <c r="K167">
        <v>3.25</v>
      </c>
      <c r="L167">
        <v>0</v>
      </c>
      <c r="M167">
        <v>3</v>
      </c>
      <c r="N167">
        <v>2</v>
      </c>
    </row>
    <row r="168" spans="1:16" x14ac:dyDescent="0.2">
      <c r="A168" t="s">
        <v>221</v>
      </c>
      <c r="B168" t="s">
        <v>231</v>
      </c>
      <c r="C168">
        <v>0</v>
      </c>
      <c r="D168">
        <v>0</v>
      </c>
      <c r="E168">
        <v>0</v>
      </c>
      <c r="F168">
        <v>0</v>
      </c>
      <c r="H168">
        <v>26</v>
      </c>
      <c r="I168">
        <v>0</v>
      </c>
      <c r="J168">
        <v>26</v>
      </c>
      <c r="K168">
        <v>26</v>
      </c>
      <c r="L168">
        <v>0</v>
      </c>
      <c r="M168">
        <v>26</v>
      </c>
      <c r="N168">
        <v>0</v>
      </c>
    </row>
    <row r="169" spans="1:16" x14ac:dyDescent="0.2">
      <c r="A169" t="s">
        <v>221</v>
      </c>
      <c r="B169" t="s">
        <v>232</v>
      </c>
      <c r="C169">
        <v>0</v>
      </c>
      <c r="D169">
        <v>0</v>
      </c>
      <c r="E169">
        <v>0</v>
      </c>
      <c r="F169">
        <v>0</v>
      </c>
      <c r="H169">
        <v>1</v>
      </c>
      <c r="I169">
        <v>0</v>
      </c>
      <c r="J169">
        <v>1</v>
      </c>
      <c r="K169">
        <v>1</v>
      </c>
      <c r="L169">
        <v>0</v>
      </c>
      <c r="M169">
        <v>1</v>
      </c>
      <c r="N169">
        <v>0</v>
      </c>
    </row>
    <row r="170" spans="1:16" x14ac:dyDescent="0.2">
      <c r="A170" t="s">
        <v>233</v>
      </c>
      <c r="B170" t="s">
        <v>234</v>
      </c>
      <c r="C170">
        <v>0</v>
      </c>
      <c r="D170">
        <v>0</v>
      </c>
      <c r="E170">
        <v>0</v>
      </c>
      <c r="F170">
        <v>0</v>
      </c>
      <c r="H170">
        <v>26</v>
      </c>
      <c r="I170">
        <v>0</v>
      </c>
      <c r="J170">
        <v>26</v>
      </c>
      <c r="K170">
        <v>26</v>
      </c>
      <c r="L170">
        <v>0</v>
      </c>
      <c r="M170">
        <v>26</v>
      </c>
      <c r="N170">
        <v>0</v>
      </c>
    </row>
    <row r="171" spans="1:16" x14ac:dyDescent="0.2">
      <c r="A171" t="s">
        <v>233</v>
      </c>
      <c r="B171" t="s">
        <v>235</v>
      </c>
      <c r="C171">
        <v>0</v>
      </c>
      <c r="D171">
        <v>0</v>
      </c>
      <c r="E171">
        <v>0</v>
      </c>
      <c r="F171">
        <v>0</v>
      </c>
      <c r="G171" t="s">
        <v>89</v>
      </c>
      <c r="H171">
        <v>61.5</v>
      </c>
      <c r="I171">
        <v>1</v>
      </c>
      <c r="J171">
        <v>61.625</v>
      </c>
      <c r="K171">
        <v>61.625</v>
      </c>
      <c r="L171">
        <v>0</v>
      </c>
      <c r="M171">
        <v>61.5</v>
      </c>
      <c r="N171">
        <v>1</v>
      </c>
    </row>
    <row r="172" spans="1:16" x14ac:dyDescent="0.2">
      <c r="A172" t="s">
        <v>233</v>
      </c>
      <c r="B172" t="s">
        <v>236</v>
      </c>
      <c r="C172">
        <v>0</v>
      </c>
      <c r="D172">
        <v>0</v>
      </c>
      <c r="E172">
        <v>0</v>
      </c>
      <c r="F172">
        <v>0</v>
      </c>
      <c r="H172">
        <v>13</v>
      </c>
      <c r="I172">
        <v>0</v>
      </c>
      <c r="J172">
        <v>13</v>
      </c>
      <c r="K172">
        <v>13</v>
      </c>
      <c r="L172">
        <v>0</v>
      </c>
      <c r="M172">
        <v>13</v>
      </c>
      <c r="N172">
        <v>0</v>
      </c>
    </row>
    <row r="173" spans="1:16" x14ac:dyDescent="0.2">
      <c r="A173" t="s">
        <v>233</v>
      </c>
      <c r="B173" t="s">
        <v>237</v>
      </c>
      <c r="C173">
        <v>0</v>
      </c>
      <c r="D173">
        <v>0</v>
      </c>
      <c r="E173">
        <v>0</v>
      </c>
      <c r="F173">
        <v>0</v>
      </c>
      <c r="H173">
        <v>74.5</v>
      </c>
      <c r="I173">
        <v>1</v>
      </c>
      <c r="J173">
        <v>74.625</v>
      </c>
      <c r="K173">
        <v>74.625</v>
      </c>
      <c r="L173">
        <v>0</v>
      </c>
      <c r="M173">
        <v>74.5</v>
      </c>
      <c r="N173">
        <v>1</v>
      </c>
    </row>
    <row r="174" spans="1:16" x14ac:dyDescent="0.2">
      <c r="A174" t="s">
        <v>233</v>
      </c>
      <c r="B174" t="s">
        <v>238</v>
      </c>
      <c r="C174">
        <v>0</v>
      </c>
      <c r="D174">
        <v>0</v>
      </c>
      <c r="E174">
        <v>0</v>
      </c>
      <c r="F174">
        <v>0</v>
      </c>
      <c r="H174">
        <v>40.5</v>
      </c>
      <c r="I174">
        <v>2</v>
      </c>
      <c r="J174">
        <v>40.75</v>
      </c>
      <c r="K174">
        <v>40.75</v>
      </c>
      <c r="L174">
        <v>0</v>
      </c>
      <c r="M174">
        <v>40.5</v>
      </c>
      <c r="N174">
        <v>2</v>
      </c>
    </row>
    <row r="175" spans="1:16" x14ac:dyDescent="0.2">
      <c r="A175" t="s">
        <v>233</v>
      </c>
      <c r="B175" t="s">
        <v>239</v>
      </c>
      <c r="C175">
        <v>0</v>
      </c>
      <c r="D175">
        <v>0</v>
      </c>
      <c r="E175">
        <v>0</v>
      </c>
      <c r="F175">
        <v>0</v>
      </c>
      <c r="H175">
        <v>1.5</v>
      </c>
      <c r="I175">
        <v>2</v>
      </c>
      <c r="J175">
        <v>1.75</v>
      </c>
      <c r="K175">
        <v>0.5</v>
      </c>
      <c r="L175">
        <v>1.25</v>
      </c>
      <c r="M175">
        <v>0</v>
      </c>
      <c r="N175">
        <v>4</v>
      </c>
      <c r="O175">
        <v>1.5</v>
      </c>
      <c r="P175">
        <v>2</v>
      </c>
    </row>
    <row r="176" spans="1:16" x14ac:dyDescent="0.2">
      <c r="A176" t="s">
        <v>233</v>
      </c>
      <c r="B176" t="s">
        <v>175</v>
      </c>
      <c r="C176">
        <v>0</v>
      </c>
      <c r="D176">
        <v>0</v>
      </c>
      <c r="E176">
        <v>0</v>
      </c>
      <c r="F176">
        <v>0</v>
      </c>
      <c r="H176">
        <v>0</v>
      </c>
      <c r="I176">
        <v>0</v>
      </c>
      <c r="J176">
        <v>0</v>
      </c>
      <c r="K176">
        <v>0</v>
      </c>
      <c r="L176">
        <v>0</v>
      </c>
      <c r="M176">
        <v>0</v>
      </c>
      <c r="N176">
        <v>0</v>
      </c>
    </row>
    <row r="177" spans="1:16" x14ac:dyDescent="0.2">
      <c r="A177" t="s">
        <v>233</v>
      </c>
      <c r="B177" t="s">
        <v>240</v>
      </c>
      <c r="C177">
        <v>0</v>
      </c>
      <c r="D177">
        <v>0</v>
      </c>
      <c r="E177">
        <v>0</v>
      </c>
      <c r="F177">
        <v>0</v>
      </c>
      <c r="H177">
        <v>7.5</v>
      </c>
      <c r="I177">
        <v>0</v>
      </c>
      <c r="J177">
        <v>7.5</v>
      </c>
      <c r="K177">
        <v>7.5</v>
      </c>
      <c r="L177">
        <v>0</v>
      </c>
      <c r="M177">
        <v>7.5</v>
      </c>
      <c r="N177">
        <v>0</v>
      </c>
    </row>
    <row r="178" spans="1:16" x14ac:dyDescent="0.2">
      <c r="A178" t="s">
        <v>233</v>
      </c>
      <c r="B178" t="s">
        <v>175</v>
      </c>
      <c r="C178">
        <v>0</v>
      </c>
      <c r="D178">
        <v>0</v>
      </c>
      <c r="E178">
        <v>0</v>
      </c>
      <c r="F178">
        <v>0</v>
      </c>
      <c r="H178">
        <v>0</v>
      </c>
      <c r="I178">
        <v>0</v>
      </c>
      <c r="J178">
        <v>0</v>
      </c>
      <c r="K178">
        <v>0</v>
      </c>
      <c r="L178">
        <v>0</v>
      </c>
      <c r="M178">
        <v>0</v>
      </c>
      <c r="N178">
        <v>0</v>
      </c>
    </row>
    <row r="179" spans="1:16" x14ac:dyDescent="0.2">
      <c r="A179" t="s">
        <v>233</v>
      </c>
      <c r="B179" t="s">
        <v>241</v>
      </c>
      <c r="C179">
        <v>0</v>
      </c>
      <c r="D179">
        <v>0</v>
      </c>
      <c r="E179">
        <v>0</v>
      </c>
      <c r="F179">
        <v>0</v>
      </c>
      <c r="H179">
        <v>1</v>
      </c>
      <c r="I179">
        <v>3</v>
      </c>
      <c r="J179">
        <v>1.375</v>
      </c>
      <c r="K179">
        <v>1.375</v>
      </c>
      <c r="L179">
        <v>0</v>
      </c>
      <c r="M179">
        <v>1</v>
      </c>
      <c r="N179">
        <v>3</v>
      </c>
    </row>
    <row r="180" spans="1:16" x14ac:dyDescent="0.2">
      <c r="A180" t="s">
        <v>233</v>
      </c>
      <c r="B180" t="s">
        <v>175</v>
      </c>
      <c r="C180">
        <v>0</v>
      </c>
      <c r="D180">
        <v>0</v>
      </c>
      <c r="E180">
        <v>0</v>
      </c>
      <c r="F180">
        <v>0</v>
      </c>
      <c r="H180">
        <v>0</v>
      </c>
      <c r="I180">
        <v>0</v>
      </c>
      <c r="J180">
        <v>0</v>
      </c>
      <c r="K180">
        <v>0</v>
      </c>
      <c r="L180">
        <v>0</v>
      </c>
      <c r="M180">
        <v>0</v>
      </c>
      <c r="N180">
        <v>0</v>
      </c>
    </row>
    <row r="181" spans="1:16" x14ac:dyDescent="0.2">
      <c r="A181" t="s">
        <v>233</v>
      </c>
      <c r="B181" t="s">
        <v>242</v>
      </c>
      <c r="C181">
        <v>0</v>
      </c>
      <c r="D181">
        <v>0</v>
      </c>
      <c r="E181">
        <v>0</v>
      </c>
      <c r="F181">
        <v>0</v>
      </c>
      <c r="H181">
        <v>13</v>
      </c>
      <c r="I181">
        <v>0</v>
      </c>
      <c r="J181">
        <v>13</v>
      </c>
      <c r="K181">
        <v>13</v>
      </c>
      <c r="L181">
        <v>0</v>
      </c>
      <c r="M181">
        <v>13</v>
      </c>
      <c r="N181">
        <v>0</v>
      </c>
    </row>
    <row r="182" spans="1:16" x14ac:dyDescent="0.2">
      <c r="A182" t="s">
        <v>233</v>
      </c>
      <c r="B182" t="s">
        <v>243</v>
      </c>
      <c r="C182">
        <v>0</v>
      </c>
      <c r="D182">
        <v>0</v>
      </c>
      <c r="E182">
        <v>0</v>
      </c>
      <c r="F182">
        <v>0</v>
      </c>
      <c r="H182">
        <v>12</v>
      </c>
      <c r="I182">
        <v>0</v>
      </c>
      <c r="J182">
        <v>12</v>
      </c>
      <c r="K182">
        <v>12</v>
      </c>
      <c r="L182">
        <v>0</v>
      </c>
      <c r="M182">
        <v>12</v>
      </c>
      <c r="N182">
        <v>0</v>
      </c>
    </row>
    <row r="183" spans="1:16" x14ac:dyDescent="0.2">
      <c r="A183" t="s">
        <v>244</v>
      </c>
      <c r="B183" t="s">
        <v>245</v>
      </c>
      <c r="C183">
        <v>0</v>
      </c>
      <c r="D183">
        <v>0</v>
      </c>
      <c r="E183">
        <v>0</v>
      </c>
      <c r="F183">
        <v>0</v>
      </c>
      <c r="H183">
        <v>0</v>
      </c>
      <c r="I183">
        <v>0</v>
      </c>
      <c r="J183">
        <v>0</v>
      </c>
      <c r="K183">
        <v>0</v>
      </c>
      <c r="L183">
        <v>0</v>
      </c>
      <c r="M183">
        <v>0</v>
      </c>
      <c r="N183">
        <v>0</v>
      </c>
    </row>
    <row r="184" spans="1:16" x14ac:dyDescent="0.2">
      <c r="A184" t="s">
        <v>244</v>
      </c>
      <c r="B184" t="s">
        <v>246</v>
      </c>
      <c r="C184">
        <v>0</v>
      </c>
      <c r="D184">
        <v>0</v>
      </c>
      <c r="E184">
        <v>0</v>
      </c>
      <c r="F184">
        <v>0</v>
      </c>
      <c r="G184" t="s">
        <v>178</v>
      </c>
      <c r="H184">
        <v>2</v>
      </c>
      <c r="I184">
        <v>2</v>
      </c>
      <c r="J184">
        <v>2.25</v>
      </c>
      <c r="K184">
        <v>2.25</v>
      </c>
      <c r="L184">
        <v>0</v>
      </c>
      <c r="M184">
        <v>2</v>
      </c>
      <c r="N184">
        <v>2</v>
      </c>
    </row>
    <row r="185" spans="1:16" x14ac:dyDescent="0.2">
      <c r="A185" t="s">
        <v>244</v>
      </c>
      <c r="B185" t="s">
        <v>247</v>
      </c>
      <c r="C185">
        <v>0</v>
      </c>
      <c r="D185">
        <v>0</v>
      </c>
      <c r="E185">
        <v>0</v>
      </c>
      <c r="F185">
        <v>0</v>
      </c>
      <c r="G185" t="s">
        <v>87</v>
      </c>
      <c r="H185">
        <v>1.5</v>
      </c>
      <c r="I185">
        <v>6</v>
      </c>
      <c r="J185">
        <v>2.25</v>
      </c>
      <c r="K185">
        <v>0.75</v>
      </c>
      <c r="L185">
        <v>1.5</v>
      </c>
      <c r="M185">
        <v>0</v>
      </c>
      <c r="N185">
        <v>6</v>
      </c>
      <c r="O185">
        <v>1.5</v>
      </c>
      <c r="P185">
        <v>0</v>
      </c>
    </row>
    <row r="186" spans="1:16" x14ac:dyDescent="0.2">
      <c r="A186" t="s">
        <v>248</v>
      </c>
      <c r="B186" t="s">
        <v>249</v>
      </c>
      <c r="C186">
        <v>0</v>
      </c>
      <c r="D186">
        <v>0</v>
      </c>
      <c r="E186">
        <v>0</v>
      </c>
      <c r="F186">
        <v>0</v>
      </c>
      <c r="H186">
        <v>0</v>
      </c>
      <c r="I186">
        <v>0</v>
      </c>
      <c r="J186">
        <v>0</v>
      </c>
      <c r="K186">
        <v>0</v>
      </c>
      <c r="L186">
        <v>0</v>
      </c>
      <c r="M186">
        <v>0</v>
      </c>
      <c r="N186">
        <v>0</v>
      </c>
    </row>
    <row r="187" spans="1:16" x14ac:dyDescent="0.2">
      <c r="A187" t="s">
        <v>248</v>
      </c>
      <c r="B187" t="s">
        <v>250</v>
      </c>
      <c r="C187">
        <v>0</v>
      </c>
      <c r="D187">
        <v>0</v>
      </c>
      <c r="E187">
        <v>0</v>
      </c>
      <c r="F187">
        <v>0</v>
      </c>
      <c r="H187">
        <v>0</v>
      </c>
      <c r="I187">
        <v>0</v>
      </c>
      <c r="J187">
        <v>0</v>
      </c>
      <c r="K187">
        <v>0</v>
      </c>
      <c r="L187">
        <v>0</v>
      </c>
      <c r="M187">
        <v>0</v>
      </c>
      <c r="N187">
        <v>0</v>
      </c>
    </row>
    <row r="188" spans="1:16" x14ac:dyDescent="0.2">
      <c r="A188" t="s">
        <v>248</v>
      </c>
      <c r="B188" t="s">
        <v>251</v>
      </c>
      <c r="C188">
        <v>0</v>
      </c>
      <c r="D188">
        <v>0</v>
      </c>
      <c r="E188">
        <v>0</v>
      </c>
      <c r="F188">
        <v>0</v>
      </c>
      <c r="H188">
        <v>0</v>
      </c>
      <c r="I188">
        <v>0</v>
      </c>
      <c r="J188">
        <v>0</v>
      </c>
      <c r="K188">
        <v>0</v>
      </c>
      <c r="L188">
        <v>0</v>
      </c>
      <c r="M188">
        <v>0</v>
      </c>
      <c r="N188">
        <v>0</v>
      </c>
    </row>
    <row r="189" spans="1:16" x14ac:dyDescent="0.2">
      <c r="A189" t="s">
        <v>248</v>
      </c>
      <c r="B189" t="s">
        <v>252</v>
      </c>
      <c r="C189">
        <v>0</v>
      </c>
      <c r="D189">
        <v>0</v>
      </c>
      <c r="E189">
        <v>0</v>
      </c>
      <c r="F189">
        <v>0</v>
      </c>
      <c r="H189">
        <v>0</v>
      </c>
      <c r="I189">
        <v>0</v>
      </c>
      <c r="J189">
        <v>0</v>
      </c>
      <c r="K189">
        <v>0</v>
      </c>
      <c r="L189">
        <v>0</v>
      </c>
      <c r="M189">
        <v>0</v>
      </c>
      <c r="N189">
        <v>0</v>
      </c>
    </row>
    <row r="190" spans="1:16" x14ac:dyDescent="0.2">
      <c r="A190" t="s">
        <v>248</v>
      </c>
      <c r="B190" t="s">
        <v>253</v>
      </c>
      <c r="C190">
        <v>0</v>
      </c>
      <c r="D190">
        <v>0</v>
      </c>
      <c r="E190">
        <v>0</v>
      </c>
      <c r="F190">
        <v>0</v>
      </c>
      <c r="H190">
        <v>0</v>
      </c>
      <c r="I190">
        <v>0</v>
      </c>
      <c r="J190">
        <v>0</v>
      </c>
      <c r="K190">
        <v>0</v>
      </c>
      <c r="L190">
        <v>0</v>
      </c>
      <c r="M190">
        <v>0</v>
      </c>
      <c r="N190">
        <v>0</v>
      </c>
    </row>
    <row r="191" spans="1:16" x14ac:dyDescent="0.2">
      <c r="A191" t="s">
        <v>248</v>
      </c>
      <c r="B191" t="s">
        <v>254</v>
      </c>
      <c r="C191">
        <v>0</v>
      </c>
      <c r="D191">
        <v>0</v>
      </c>
      <c r="E191">
        <v>0</v>
      </c>
      <c r="F191">
        <v>0</v>
      </c>
      <c r="H191">
        <v>0</v>
      </c>
      <c r="I191">
        <v>0</v>
      </c>
      <c r="J191">
        <v>0</v>
      </c>
      <c r="K191">
        <v>0</v>
      </c>
      <c r="L191">
        <v>0</v>
      </c>
      <c r="M191">
        <v>0</v>
      </c>
      <c r="N191">
        <v>0</v>
      </c>
    </row>
    <row r="192" spans="1:16" x14ac:dyDescent="0.2">
      <c r="A192" t="s">
        <v>248</v>
      </c>
      <c r="B192" t="s">
        <v>255</v>
      </c>
      <c r="C192">
        <v>0</v>
      </c>
      <c r="D192">
        <v>0</v>
      </c>
      <c r="E192">
        <v>0</v>
      </c>
      <c r="F192">
        <v>0</v>
      </c>
      <c r="H192">
        <v>0</v>
      </c>
      <c r="I192">
        <v>0</v>
      </c>
      <c r="J192">
        <v>0</v>
      </c>
      <c r="K192">
        <v>0</v>
      </c>
      <c r="L192">
        <v>0</v>
      </c>
      <c r="M192">
        <v>0</v>
      </c>
      <c r="N192">
        <v>0</v>
      </c>
    </row>
    <row r="193" spans="1:14" x14ac:dyDescent="0.2">
      <c r="A193" t="s">
        <v>248</v>
      </c>
      <c r="B193" t="s">
        <v>256</v>
      </c>
      <c r="C193">
        <v>0</v>
      </c>
      <c r="D193">
        <v>0</v>
      </c>
      <c r="E193">
        <v>0</v>
      </c>
      <c r="F193">
        <v>0</v>
      </c>
      <c r="H193">
        <v>0</v>
      </c>
      <c r="I193">
        <v>0</v>
      </c>
      <c r="J193">
        <v>0</v>
      </c>
      <c r="K193">
        <v>0</v>
      </c>
      <c r="L193">
        <v>0</v>
      </c>
      <c r="M193">
        <v>0</v>
      </c>
      <c r="N193">
        <v>0</v>
      </c>
    </row>
    <row r="194" spans="1:14" x14ac:dyDescent="0.2">
      <c r="A194" t="s">
        <v>248</v>
      </c>
      <c r="B194" t="s">
        <v>257</v>
      </c>
      <c r="C194">
        <v>0</v>
      </c>
      <c r="D194">
        <v>0</v>
      </c>
      <c r="E194">
        <v>0</v>
      </c>
      <c r="F194">
        <v>0</v>
      </c>
      <c r="H194">
        <v>0</v>
      </c>
      <c r="I194">
        <v>0</v>
      </c>
      <c r="J194">
        <v>0</v>
      </c>
      <c r="K194">
        <v>0</v>
      </c>
      <c r="L194">
        <v>0</v>
      </c>
      <c r="M194">
        <v>0</v>
      </c>
      <c r="N194">
        <v>0</v>
      </c>
    </row>
    <row r="195" spans="1:14" x14ac:dyDescent="0.2">
      <c r="A195" t="s">
        <v>248</v>
      </c>
      <c r="B195" t="s">
        <v>258</v>
      </c>
      <c r="C195">
        <v>0</v>
      </c>
      <c r="D195">
        <v>0</v>
      </c>
      <c r="E195">
        <v>0</v>
      </c>
      <c r="F195">
        <v>0</v>
      </c>
      <c r="H195">
        <v>0</v>
      </c>
      <c r="I195">
        <v>0</v>
      </c>
      <c r="J195">
        <v>0</v>
      </c>
      <c r="K195">
        <v>0</v>
      </c>
      <c r="L195">
        <v>0</v>
      </c>
      <c r="M195">
        <v>0</v>
      </c>
      <c r="N195">
        <v>0</v>
      </c>
    </row>
    <row r="196" spans="1:14" x14ac:dyDescent="0.2">
      <c r="A196" t="s">
        <v>248</v>
      </c>
      <c r="B196" t="s">
        <v>259</v>
      </c>
      <c r="C196">
        <v>0</v>
      </c>
      <c r="D196">
        <v>0</v>
      </c>
      <c r="E196">
        <v>0</v>
      </c>
      <c r="F196">
        <v>0</v>
      </c>
      <c r="H196">
        <v>0</v>
      </c>
      <c r="I196">
        <v>0</v>
      </c>
      <c r="J196">
        <v>0</v>
      </c>
      <c r="K196">
        <v>0</v>
      </c>
      <c r="L196">
        <v>0</v>
      </c>
      <c r="M196">
        <v>0</v>
      </c>
      <c r="N196">
        <v>0</v>
      </c>
    </row>
    <row r="197" spans="1:14" x14ac:dyDescent="0.2">
      <c r="A197" t="s">
        <v>248</v>
      </c>
      <c r="B197" t="s">
        <v>260</v>
      </c>
      <c r="C197">
        <v>0</v>
      </c>
      <c r="D197">
        <v>0</v>
      </c>
      <c r="E197">
        <v>0</v>
      </c>
      <c r="F197">
        <v>0</v>
      </c>
      <c r="H197">
        <v>0</v>
      </c>
      <c r="I197">
        <v>0</v>
      </c>
      <c r="J197">
        <v>0</v>
      </c>
      <c r="K197">
        <v>0</v>
      </c>
      <c r="L197">
        <v>0</v>
      </c>
      <c r="M197">
        <v>0</v>
      </c>
      <c r="N197">
        <v>0</v>
      </c>
    </row>
    <row r="198" spans="1:14" x14ac:dyDescent="0.2">
      <c r="A198" t="s">
        <v>248</v>
      </c>
      <c r="B198" t="s">
        <v>261</v>
      </c>
      <c r="C198">
        <v>0</v>
      </c>
      <c r="D198">
        <v>0</v>
      </c>
      <c r="E198">
        <v>0</v>
      </c>
      <c r="F198">
        <v>0</v>
      </c>
      <c r="H198">
        <v>0</v>
      </c>
      <c r="I198">
        <v>0</v>
      </c>
      <c r="J198">
        <v>0</v>
      </c>
      <c r="K198">
        <v>0</v>
      </c>
      <c r="L198">
        <v>0</v>
      </c>
      <c r="M198">
        <v>0</v>
      </c>
      <c r="N198">
        <v>0</v>
      </c>
    </row>
    <row r="199" spans="1:14" x14ac:dyDescent="0.2">
      <c r="A199" t="s">
        <v>248</v>
      </c>
      <c r="B199" t="s">
        <v>259</v>
      </c>
      <c r="C199">
        <v>0</v>
      </c>
      <c r="D199">
        <v>0</v>
      </c>
      <c r="E199">
        <v>0</v>
      </c>
      <c r="F199">
        <v>0</v>
      </c>
      <c r="H199">
        <v>0</v>
      </c>
      <c r="I199">
        <v>0</v>
      </c>
      <c r="J199">
        <v>0</v>
      </c>
      <c r="K199">
        <v>0</v>
      </c>
      <c r="L199">
        <v>0</v>
      </c>
      <c r="M199">
        <v>0</v>
      </c>
      <c r="N199">
        <v>0</v>
      </c>
    </row>
    <row r="200" spans="1:14" x14ac:dyDescent="0.2">
      <c r="A200" t="s">
        <v>248</v>
      </c>
      <c r="B200" t="s">
        <v>262</v>
      </c>
      <c r="C200">
        <v>0</v>
      </c>
      <c r="D200">
        <v>0</v>
      </c>
      <c r="E200">
        <v>0</v>
      </c>
      <c r="F200">
        <v>0</v>
      </c>
      <c r="H200">
        <v>0</v>
      </c>
      <c r="I200">
        <v>0</v>
      </c>
      <c r="J200">
        <v>0</v>
      </c>
      <c r="K200">
        <v>0</v>
      </c>
      <c r="L200">
        <v>0</v>
      </c>
      <c r="M200">
        <v>0</v>
      </c>
      <c r="N200">
        <v>0</v>
      </c>
    </row>
    <row r="201" spans="1:14" x14ac:dyDescent="0.2">
      <c r="A201" t="s">
        <v>248</v>
      </c>
      <c r="B201" t="s">
        <v>261</v>
      </c>
      <c r="C201">
        <v>0</v>
      </c>
      <c r="D201">
        <v>0</v>
      </c>
      <c r="E201">
        <v>0</v>
      </c>
      <c r="F201">
        <v>0</v>
      </c>
      <c r="H201">
        <v>0</v>
      </c>
      <c r="I201">
        <v>0</v>
      </c>
      <c r="J201">
        <v>0</v>
      </c>
      <c r="K201">
        <v>0</v>
      </c>
      <c r="L201">
        <v>0</v>
      </c>
      <c r="M201">
        <v>0</v>
      </c>
      <c r="N201">
        <v>0</v>
      </c>
    </row>
    <row r="202" spans="1:14" x14ac:dyDescent="0.2">
      <c r="A202" t="s">
        <v>248</v>
      </c>
      <c r="B202" t="s">
        <v>259</v>
      </c>
      <c r="C202">
        <v>0</v>
      </c>
      <c r="D202">
        <v>0</v>
      </c>
      <c r="E202">
        <v>0</v>
      </c>
      <c r="F202">
        <v>0</v>
      </c>
      <c r="H202">
        <v>0</v>
      </c>
      <c r="I202">
        <v>0</v>
      </c>
      <c r="J202">
        <v>0</v>
      </c>
      <c r="K202">
        <v>0</v>
      </c>
      <c r="L202">
        <v>0</v>
      </c>
      <c r="M202">
        <v>0</v>
      </c>
      <c r="N202">
        <v>0</v>
      </c>
    </row>
    <row r="203" spans="1:14" x14ac:dyDescent="0.2">
      <c r="A203" t="s">
        <v>248</v>
      </c>
      <c r="B203" t="s">
        <v>263</v>
      </c>
      <c r="C203">
        <v>0</v>
      </c>
      <c r="D203">
        <v>0</v>
      </c>
      <c r="E203">
        <v>0</v>
      </c>
      <c r="F203">
        <v>0</v>
      </c>
      <c r="H203">
        <v>0</v>
      </c>
      <c r="I203">
        <v>0</v>
      </c>
      <c r="J203">
        <v>0</v>
      </c>
      <c r="K203">
        <v>0</v>
      </c>
      <c r="L203">
        <v>0</v>
      </c>
      <c r="M203">
        <v>0</v>
      </c>
      <c r="N203">
        <v>0</v>
      </c>
    </row>
    <row r="204" spans="1:14" x14ac:dyDescent="0.2">
      <c r="A204" t="s">
        <v>248</v>
      </c>
      <c r="B204" t="s">
        <v>264</v>
      </c>
      <c r="C204">
        <v>0</v>
      </c>
      <c r="D204">
        <v>0</v>
      </c>
      <c r="E204">
        <v>0</v>
      </c>
      <c r="F204">
        <v>0</v>
      </c>
      <c r="H204">
        <v>0</v>
      </c>
      <c r="I204">
        <v>0</v>
      </c>
      <c r="J204">
        <v>0</v>
      </c>
      <c r="K204">
        <v>0</v>
      </c>
      <c r="L204">
        <v>0</v>
      </c>
      <c r="M204">
        <v>0</v>
      </c>
      <c r="N204">
        <v>0</v>
      </c>
    </row>
    <row r="205" spans="1:14" x14ac:dyDescent="0.2">
      <c r="A205" t="s">
        <v>248</v>
      </c>
      <c r="B205" t="s">
        <v>259</v>
      </c>
      <c r="C205">
        <v>0</v>
      </c>
      <c r="D205">
        <v>0</v>
      </c>
      <c r="E205">
        <v>0</v>
      </c>
      <c r="F205">
        <v>0</v>
      </c>
      <c r="H205">
        <v>0</v>
      </c>
      <c r="I205">
        <v>0</v>
      </c>
      <c r="J205">
        <v>0</v>
      </c>
      <c r="K205">
        <v>0</v>
      </c>
      <c r="L205">
        <v>0</v>
      </c>
      <c r="M205">
        <v>0</v>
      </c>
      <c r="N205">
        <v>0</v>
      </c>
    </row>
    <row r="206" spans="1:14" x14ac:dyDescent="0.2">
      <c r="A206" t="s">
        <v>248</v>
      </c>
      <c r="B206" t="s">
        <v>265</v>
      </c>
      <c r="C206">
        <v>0</v>
      </c>
      <c r="D206">
        <v>0</v>
      </c>
      <c r="E206">
        <v>0</v>
      </c>
      <c r="F206">
        <v>0</v>
      </c>
      <c r="H206">
        <v>0</v>
      </c>
      <c r="I206">
        <v>0</v>
      </c>
      <c r="J206">
        <v>0</v>
      </c>
      <c r="K206">
        <v>0</v>
      </c>
      <c r="L206">
        <v>0</v>
      </c>
      <c r="M206">
        <v>0</v>
      </c>
      <c r="N206">
        <v>0</v>
      </c>
    </row>
    <row r="207" spans="1:14" x14ac:dyDescent="0.2">
      <c r="A207" t="s">
        <v>248</v>
      </c>
      <c r="B207" t="s">
        <v>266</v>
      </c>
      <c r="C207">
        <v>0</v>
      </c>
      <c r="D207">
        <v>0</v>
      </c>
      <c r="E207">
        <v>0</v>
      </c>
      <c r="F207">
        <v>0</v>
      </c>
      <c r="H207">
        <v>0</v>
      </c>
      <c r="I207">
        <v>0</v>
      </c>
      <c r="J207">
        <v>0</v>
      </c>
      <c r="K207">
        <v>0</v>
      </c>
      <c r="L207">
        <v>0</v>
      </c>
      <c r="M207">
        <v>0</v>
      </c>
      <c r="N207">
        <v>0</v>
      </c>
    </row>
    <row r="208" spans="1:14" x14ac:dyDescent="0.2">
      <c r="A208" t="s">
        <v>248</v>
      </c>
      <c r="B208" t="s">
        <v>267</v>
      </c>
      <c r="C208">
        <v>0</v>
      </c>
      <c r="D208">
        <v>0</v>
      </c>
      <c r="E208">
        <v>0</v>
      </c>
      <c r="F208">
        <v>0</v>
      </c>
      <c r="H208">
        <v>0</v>
      </c>
      <c r="I208">
        <v>0</v>
      </c>
      <c r="J208">
        <v>0</v>
      </c>
      <c r="K208">
        <v>0</v>
      </c>
      <c r="L208">
        <v>0</v>
      </c>
      <c r="M208">
        <v>0</v>
      </c>
      <c r="N208">
        <v>0</v>
      </c>
    </row>
    <row r="209" spans="1:14" x14ac:dyDescent="0.2">
      <c r="A209" t="s">
        <v>248</v>
      </c>
      <c r="B209" t="s">
        <v>268</v>
      </c>
      <c r="C209">
        <v>0</v>
      </c>
      <c r="D209">
        <v>0</v>
      </c>
      <c r="E209">
        <v>0</v>
      </c>
      <c r="F209">
        <v>0</v>
      </c>
      <c r="H209">
        <v>0</v>
      </c>
      <c r="I209">
        <v>0</v>
      </c>
      <c r="J209">
        <v>0</v>
      </c>
      <c r="K209">
        <v>0</v>
      </c>
      <c r="L209">
        <v>0</v>
      </c>
      <c r="M209">
        <v>0</v>
      </c>
      <c r="N209">
        <v>0</v>
      </c>
    </row>
    <row r="210" spans="1:14" x14ac:dyDescent="0.2">
      <c r="A210" t="s">
        <v>248</v>
      </c>
      <c r="B210" t="s">
        <v>269</v>
      </c>
      <c r="C210">
        <v>0</v>
      </c>
      <c r="D210">
        <v>0</v>
      </c>
      <c r="E210">
        <v>0</v>
      </c>
      <c r="F210">
        <v>0</v>
      </c>
      <c r="H210">
        <v>0</v>
      </c>
      <c r="I210">
        <v>0</v>
      </c>
      <c r="J210">
        <v>0</v>
      </c>
      <c r="K210">
        <v>0</v>
      </c>
      <c r="L210">
        <v>0</v>
      </c>
      <c r="M210">
        <v>0</v>
      </c>
      <c r="N210">
        <v>0</v>
      </c>
    </row>
    <row r="211" spans="1:14" x14ac:dyDescent="0.2">
      <c r="A211" t="s">
        <v>248</v>
      </c>
      <c r="B211" t="s">
        <v>270</v>
      </c>
      <c r="C211">
        <v>0</v>
      </c>
      <c r="D211">
        <v>0</v>
      </c>
      <c r="E211">
        <v>0</v>
      </c>
      <c r="F211">
        <v>0</v>
      </c>
      <c r="H211">
        <v>0</v>
      </c>
      <c r="I211">
        <v>0</v>
      </c>
      <c r="J211">
        <v>0</v>
      </c>
      <c r="K211">
        <v>0</v>
      </c>
      <c r="L211">
        <v>0</v>
      </c>
      <c r="M211">
        <v>0</v>
      </c>
      <c r="N211">
        <v>0</v>
      </c>
    </row>
    <row r="212" spans="1:14" x14ac:dyDescent="0.2">
      <c r="A212" t="s">
        <v>248</v>
      </c>
      <c r="B212" t="s">
        <v>271</v>
      </c>
      <c r="C212">
        <v>0</v>
      </c>
      <c r="D212">
        <v>0</v>
      </c>
      <c r="E212">
        <v>0</v>
      </c>
      <c r="F212">
        <v>0</v>
      </c>
      <c r="H212">
        <v>0</v>
      </c>
      <c r="I212">
        <v>0</v>
      </c>
      <c r="J212">
        <v>0</v>
      </c>
      <c r="K212">
        <v>0</v>
      </c>
      <c r="L212">
        <v>0</v>
      </c>
      <c r="M212">
        <v>0</v>
      </c>
      <c r="N212">
        <v>0</v>
      </c>
    </row>
    <row r="213" spans="1:14" x14ac:dyDescent="0.2">
      <c r="A213" t="s">
        <v>248</v>
      </c>
      <c r="B213" t="s">
        <v>272</v>
      </c>
      <c r="C213">
        <v>0</v>
      </c>
      <c r="D213">
        <v>0</v>
      </c>
      <c r="E213">
        <v>0</v>
      </c>
      <c r="F213">
        <v>0</v>
      </c>
      <c r="H213">
        <v>0</v>
      </c>
      <c r="I213">
        <v>0</v>
      </c>
      <c r="J213">
        <v>0</v>
      </c>
      <c r="K213">
        <v>0</v>
      </c>
      <c r="L213">
        <v>0</v>
      </c>
      <c r="M213">
        <v>0</v>
      </c>
      <c r="N213">
        <v>0</v>
      </c>
    </row>
    <row r="214" spans="1:14" x14ac:dyDescent="0.2">
      <c r="A214" t="s">
        <v>248</v>
      </c>
      <c r="B214" t="s">
        <v>273</v>
      </c>
      <c r="C214">
        <v>0</v>
      </c>
      <c r="D214">
        <v>0</v>
      </c>
      <c r="E214">
        <v>0</v>
      </c>
      <c r="F214">
        <v>0</v>
      </c>
      <c r="H214">
        <v>0</v>
      </c>
      <c r="I214">
        <v>0</v>
      </c>
      <c r="J214">
        <v>0</v>
      </c>
      <c r="K214">
        <v>0</v>
      </c>
      <c r="L214">
        <v>0</v>
      </c>
      <c r="M214">
        <v>0</v>
      </c>
      <c r="N21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Issues of the Grange raw</vt:lpstr>
      <vt:lpstr>Sale of Corn Prices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2024-04-19T11:10:08Z</dcterms:created>
  <dcterms:modified xsi:type="dcterms:W3CDTF">2025-09-22T18:24:18Z</dcterms:modified>
</cp:coreProperties>
</file>
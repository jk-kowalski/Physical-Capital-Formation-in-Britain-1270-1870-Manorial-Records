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86B4CB64-506B-4544-866D-0AB32941DB91}" xr6:coauthVersionLast="47" xr6:coauthVersionMax="47" xr10:uidLastSave="{00000000-0000-0000-0000-000000000000}"/>
  <bookViews>
    <workbookView xWindow="9960" yWindow="500" windowWidth="18840" windowHeight="15720" activeTab="3" xr2:uid="{AA6480DE-F593-2D4A-BA07-CD7ECDE07DE4}"/>
  </bookViews>
  <sheets>
    <sheet name="Overview" sheetId="1" r:id="rId1"/>
    <sheet name="Receipts" sheetId="2" r:id="rId2"/>
    <sheet name="Expenses" sheetId="3" r:id="rId3"/>
    <sheet name="Issues of the Grange" sheetId="4" r:id="rId4"/>
    <sheet name="Issues of the Mill" sheetId="5" r:id="rId5"/>
    <sheet name="Stoc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1" l="1"/>
  <c r="B68" i="2"/>
  <c r="F68" i="2"/>
  <c r="I68" i="2"/>
  <c r="I6" i="2"/>
  <c r="I13" i="2"/>
  <c r="I65" i="2"/>
  <c r="F8" i="1"/>
  <c r="F9" i="1"/>
  <c r="C8" i="1"/>
  <c r="D8" i="1"/>
  <c r="B8" i="1"/>
  <c r="F6" i="1"/>
  <c r="F7" i="1"/>
  <c r="F5" i="1"/>
  <c r="C5" i="1"/>
  <c r="D5" i="1"/>
  <c r="C6" i="1"/>
  <c r="D6" i="1"/>
  <c r="C7" i="1"/>
  <c r="D7" i="1"/>
  <c r="B7" i="1"/>
  <c r="B6" i="1"/>
  <c r="B5" i="1"/>
  <c r="F67" i="2"/>
  <c r="C68" i="2"/>
  <c r="D68" i="2"/>
  <c r="F16" i="2" l="1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C65" i="2"/>
  <c r="D65" i="2"/>
  <c r="B65" i="2"/>
  <c r="F6" i="2"/>
  <c r="C6" i="2"/>
  <c r="D6" i="2"/>
  <c r="B6" i="2"/>
  <c r="F5" i="2"/>
  <c r="F9" i="2"/>
  <c r="F10" i="2"/>
  <c r="F11" i="2"/>
  <c r="F12" i="2"/>
  <c r="F13" i="2"/>
  <c r="F4" i="2"/>
  <c r="C13" i="2"/>
  <c r="D13" i="2"/>
  <c r="B13" i="2"/>
</calcChain>
</file>

<file path=xl/sharedStrings.xml><?xml version="1.0" encoding="utf-8"?>
<sst xmlns="http://schemas.openxmlformats.org/spreadsheetml/2006/main" count="204" uniqueCount="149">
  <si>
    <t xml:space="preserve"> </t>
  </si>
  <si>
    <t>CASH ACCOUNT</t>
  </si>
  <si>
    <t>RECEIPTS</t>
  </si>
  <si>
    <t>Rents</t>
  </si>
  <si>
    <t>Perquisites</t>
  </si>
  <si>
    <t>Sum of the above (incl. arrears if listed)</t>
  </si>
  <si>
    <t xml:space="preserve">Total recorded in the accounts </t>
  </si>
  <si>
    <t>EXPENSES</t>
  </si>
  <si>
    <t>Cost of ploughs</t>
  </si>
  <si>
    <t>Cost of ploughs - strictly capital expenses</t>
  </si>
  <si>
    <t>Cost of wagons</t>
  </si>
  <si>
    <t>Repair of buildings</t>
  </si>
  <si>
    <t>Cost of harvest</t>
  </si>
  <si>
    <t>Sum of the above</t>
  </si>
  <si>
    <t>Total of all expenses</t>
  </si>
  <si>
    <t>Capital Expenses</t>
  </si>
  <si>
    <t>Owed by the reeve</t>
  </si>
  <si>
    <t>From accounts</t>
  </si>
  <si>
    <t>Allowances</t>
  </si>
  <si>
    <t>Cash Deliveries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</si>
  <si>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</si>
  <si>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</si>
  <si>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</si>
  <si>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</si>
  <si>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</si>
  <si>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Wheat</t>
  </si>
  <si>
    <t>Curall</t>
  </si>
  <si>
    <t>Barley</t>
  </si>
  <si>
    <t>Oats</t>
  </si>
  <si>
    <t>Beans</t>
  </si>
  <si>
    <t>Peas</t>
  </si>
  <si>
    <t>Vetches</t>
  </si>
  <si>
    <t>Total value of production (sum of the above)</t>
  </si>
  <si>
    <t>Value of sales</t>
  </si>
  <si>
    <t>MILL ACCOUNT</t>
  </si>
  <si>
    <t>Issues of the mill</t>
  </si>
  <si>
    <t>1st grade malt</t>
  </si>
  <si>
    <t>2nd grade malt</t>
  </si>
  <si>
    <t>oatmeal</t>
  </si>
  <si>
    <t>fine bran</t>
  </si>
  <si>
    <t>eel</t>
  </si>
  <si>
    <t>STOCK ACCOUNT</t>
  </si>
  <si>
    <t>Livestock</t>
  </si>
  <si>
    <t xml:space="preserve">plough horses </t>
  </si>
  <si>
    <t>oxen</t>
  </si>
  <si>
    <t>cows</t>
  </si>
  <si>
    <t>yearlings</t>
  </si>
  <si>
    <t>Total (but incomplete)</t>
  </si>
  <si>
    <t>Wool</t>
  </si>
  <si>
    <t>Coarse wool</t>
  </si>
  <si>
    <t>Lamb's wool</t>
  </si>
  <si>
    <t>Wool locks</t>
  </si>
  <si>
    <t>Hides</t>
  </si>
  <si>
    <t>Ox hides</t>
  </si>
  <si>
    <t>Mare</t>
  </si>
  <si>
    <t>Steer</t>
  </si>
  <si>
    <t>calves</t>
  </si>
  <si>
    <t>pigs</t>
  </si>
  <si>
    <t>Woolskins (incl. 10 in tithe)</t>
  </si>
  <si>
    <t>Bareskins (total)</t>
  </si>
  <si>
    <t>Lambskins (excl. 8 in tithe)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</si>
  <si>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</si>
  <si>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</si>
  <si>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</si>
  <si>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</si>
  <si>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</si>
  <si>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</si>
  <si>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</si>
  <si>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</si>
  <si>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</si>
  <si>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</si>
  <si>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</si>
  <si>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</si>
  <si>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</si>
  <si>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</si>
  <si>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</si>
  <si>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</si>
  <si>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</si>
  <si>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</si>
  <si>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t>£</t>
  </si>
  <si>
    <t xml:space="preserve">s </t>
  </si>
  <si>
    <t>d</t>
  </si>
  <si>
    <t>Total in £</t>
  </si>
  <si>
    <t>Error</t>
  </si>
  <si>
    <t>Note</t>
  </si>
  <si>
    <t>Notes</t>
  </si>
  <si>
    <t>TAUNTON BOROUGH MANOR</t>
  </si>
  <si>
    <t>TAUNTON BOROUGH MANOR RECEIPTS</t>
  </si>
  <si>
    <t>TAUNTON BOROUGH MANOR EXPENSES</t>
  </si>
  <si>
    <t>TAUNTON BOROUGH GRANGE ACCOUNT</t>
  </si>
  <si>
    <t>TAUNTON BOROUGH MILL ACCOUNT</t>
  </si>
  <si>
    <t>rents of assize</t>
  </si>
  <si>
    <t>in quittances of two reeves for the year</t>
  </si>
  <si>
    <t>in default of a certain tenement which belonged to Roginald le Dygher</t>
  </si>
  <si>
    <t>one plot which belonged to Walter Pokoc</t>
  </si>
  <si>
    <t>Total recorded in accounts</t>
  </si>
  <si>
    <t>Total</t>
  </si>
  <si>
    <t>from stallage this year</t>
  </si>
  <si>
    <t>from those who brewed ale</t>
  </si>
  <si>
    <t>from toll corn sold this year</t>
  </si>
  <si>
    <t>from tolls of the market</t>
  </si>
  <si>
    <t>from Thomas Segar</t>
  </si>
  <si>
    <t>from Thomas le Norays</t>
  </si>
  <si>
    <t>from Robert le Ropere</t>
  </si>
  <si>
    <t>from John Churihman</t>
  </si>
  <si>
    <t>from the bailiff</t>
  </si>
  <si>
    <t>from Richard de la Lake</t>
  </si>
  <si>
    <t>from Thomas le Lorm</t>
  </si>
  <si>
    <t>from John de Orchard</t>
  </si>
  <si>
    <t>from John Balke</t>
  </si>
  <si>
    <t>from John le Frye</t>
  </si>
  <si>
    <t>from Robert le Large</t>
  </si>
  <si>
    <t>from a certain stranger</t>
  </si>
  <si>
    <t>from John Boveney</t>
  </si>
  <si>
    <t>from WIlliam Cridewey</t>
  </si>
  <si>
    <t>from Alice la Chalonere</t>
  </si>
  <si>
    <t>from Adam Akewombe</t>
  </si>
  <si>
    <t>from William le Flettere</t>
  </si>
  <si>
    <t>from Adam Akewombe for transgression</t>
  </si>
  <si>
    <t>from William Galpyn</t>
  </si>
  <si>
    <t>from John Elys</t>
  </si>
  <si>
    <t>from Nicholas le Whyte</t>
  </si>
  <si>
    <t>from Walter de Buddelye</t>
  </si>
  <si>
    <t>from Gilber Dauwe</t>
  </si>
  <si>
    <t>from John Gulye</t>
  </si>
  <si>
    <t>from Philip Leg</t>
  </si>
  <si>
    <t>from Sevarus de Torre</t>
  </si>
  <si>
    <t>from Joan atte Mor</t>
  </si>
  <si>
    <t>from Richard le Dygher</t>
  </si>
  <si>
    <t>frm Roginald Tatkelake</t>
  </si>
  <si>
    <t>from Matilda la Fatte</t>
  </si>
  <si>
    <t>from Roger Elyot of Tiverton</t>
  </si>
  <si>
    <t>from William Byhsshop</t>
  </si>
  <si>
    <t>from Roger de Tyverton</t>
  </si>
  <si>
    <t>from Richard Spyring</t>
  </si>
  <si>
    <t>from John Russel</t>
  </si>
  <si>
    <t>from a certain house beside the north gate</t>
  </si>
  <si>
    <t>from a certain forge</t>
  </si>
  <si>
    <t>Total of all receipts recorded in accounts</t>
  </si>
  <si>
    <t>Total of all receipts (calculated here)</t>
  </si>
  <si>
    <t>Total of all receipts (calculated here) incl arrears</t>
  </si>
  <si>
    <t>nothing</t>
  </si>
  <si>
    <t>Quittances &amp; Defaults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</si>
  <si>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</si>
  <si>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</si>
  <si>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</si>
  <si>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</si>
  <si>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</si>
  <si>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TAUNTON BOROUGH MANOR STOCK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</si>
</sst>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0" borderId="0" xfId="0" applyFont="1"/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/>
    <xf numFmtId="2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0" fillId="2" borderId="0" xfId="0" applyFill="1"/>
    <xf numFmtId="2" fontId="0" fillId="0" borderId="0" xfId="0" applyNumberFormat="1"/>
    <xf numFmtId="0" fontId="6" fillId="0" borderId="0" xfId="0" applyFo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7" fillId="0" borderId="0" xfId="0" applyFont="1"/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2" fontId="0" fillId="2" borderId="0" xfId="0" applyNumberFormat="1" applyFill="1"/>
    <xf numFmtId="2" fontId="6" fillId="0" borderId="0" xfId="0" applyNumberFormat="1" applyFont="1"/>
    <xf numFmtId="2" fontId="6" fillId="2" borderId="0" xfId="0" applyNumberFormat="1" applyFont="1" applyFill="1"/>
    <xf numFmtId="0" fontId="10" fillId="2" borderId="1" xfId="0" applyFont="1" applyFill="1" applyBorder="1"/>
    <xf numFmtId="2" fontId="11" fillId="2" borderId="2" xfId="0" applyNumberFormat="1" applyFont="1" applyFill="1" applyBorder="1" applyAlignment="1">
      <alignment horizontal="right"/>
    </xf>
    <xf numFmtId="0" fontId="6" fillId="2" borderId="2" xfId="0" applyFont="1" applyFill="1" applyBorder="1"/>
    <xf numFmtId="0" fontId="9" fillId="2" borderId="2" xfId="0" applyFont="1" applyFill="1" applyBorder="1"/>
    <xf numFmtId="0" fontId="9" fillId="2" borderId="3" xfId="0" applyFont="1" applyFill="1" applyBorder="1"/>
    <xf numFmtId="0" fontId="12" fillId="3" borderId="4" xfId="0" applyFont="1" applyFill="1" applyBorder="1"/>
    <xf numFmtId="2" fontId="9" fillId="0" borderId="0" xfId="0" applyNumberFormat="1" applyFont="1"/>
    <xf numFmtId="0" fontId="9" fillId="0" borderId="0" xfId="0" applyFont="1"/>
    <xf numFmtId="0" fontId="9" fillId="0" borderId="5" xfId="0" applyFont="1" applyBorder="1"/>
    <xf numFmtId="0" fontId="12" fillId="4" borderId="4" xfId="0" applyFont="1" applyFill="1" applyBorder="1"/>
    <xf numFmtId="0" fontId="10" fillId="0" borderId="4" xfId="0" applyFont="1" applyBorder="1"/>
    <xf numFmtId="10" fontId="12" fillId="3" borderId="4" xfId="0" applyNumberFormat="1" applyFont="1" applyFill="1" applyBorder="1"/>
    <xf numFmtId="10" fontId="9" fillId="0" borderId="0" xfId="0" applyNumberFormat="1" applyFont="1"/>
    <xf numFmtId="0" fontId="13" fillId="0" borderId="0" xfId="0" applyFont="1"/>
    <xf numFmtId="10" fontId="12" fillId="4" borderId="6" xfId="0" applyNumberFormat="1" applyFont="1" applyFill="1" applyBorder="1"/>
    <xf numFmtId="10" fontId="9" fillId="0" borderId="7" xfId="0" applyNumberFormat="1" applyFont="1" applyBorder="1"/>
    <xf numFmtId="0" fontId="6" fillId="0" borderId="7" xfId="0" applyFont="1" applyBorder="1"/>
    <xf numFmtId="0" fontId="9" fillId="0" borderId="7" xfId="0" applyFont="1" applyBorder="1"/>
    <xf numFmtId="0" fontId="9" fillId="0" borderId="8" xfId="0" applyFont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A82E-CC51-B747-91B4-397AA6D4A600}">
  <dimension ref="A1:I118"/>
  <sheetViews>
    <sheetView topLeftCell="A101" workbookViewId="0">
      <selection activeCell="B111" sqref="B111"/>
    </sheetView>
  </sheetViews>
  <sheetFormatPr baseColWidth="10" defaultRowHeight="16" x14ac:dyDescent="0.2"/>
  <cols>
    <col min="1" max="1" width="78.33203125" bestFit="1" customWidth="1"/>
    <col min="6" max="6" width="10.83203125" style="14"/>
  </cols>
  <sheetData>
    <row r="1" spans="1:9" ht="19" x14ac:dyDescent="0.25">
      <c r="A1" s="1" t="s">
        <v>86</v>
      </c>
      <c r="B1" s="8" t="s">
        <v>79</v>
      </c>
      <c r="C1" s="9" t="s">
        <v>80</v>
      </c>
      <c r="D1" s="9" t="s">
        <v>81</v>
      </c>
      <c r="E1" s="10"/>
      <c r="F1" s="11" t="s">
        <v>82</v>
      </c>
      <c r="G1" s="12" t="s">
        <v>83</v>
      </c>
      <c r="I1" s="1" t="s">
        <v>84</v>
      </c>
    </row>
    <row r="2" spans="1:9" x14ac:dyDescent="0.2">
      <c r="A2" t="s">
        <v>0</v>
      </c>
    </row>
    <row r="3" spans="1:9" x14ac:dyDescent="0.2">
      <c r="A3" s="2" t="s">
        <v>1</v>
      </c>
      <c r="B3" s="13"/>
      <c r="C3" s="13"/>
      <c r="D3" s="13"/>
      <c r="E3" s="13"/>
      <c r="F3" s="26"/>
      <c r="G3" s="13"/>
    </row>
    <row r="4" spans="1:9" x14ac:dyDescent="0.2">
      <c r="A4" s="2" t="s">
        <v>2</v>
      </c>
      <c r="B4" s="13"/>
      <c r="C4" s="13"/>
      <c r="D4" s="13"/>
      <c r="E4" s="13"/>
      <c r="F4" s="26"/>
      <c r="G4" s="13"/>
    </row>
    <row r="5" spans="1:9" x14ac:dyDescent="0.2">
      <c r="A5" t="s">
        <v>3</v>
      </c>
      <c r="B5">
        <f>Receipts!B6</f>
        <v>22</v>
      </c>
      <c r="C5">
        <f>Receipts!C6</f>
        <v>16</v>
      </c>
      <c r="D5">
        <f>Receipts!D6</f>
        <v>2</v>
      </c>
      <c r="F5" s="14">
        <f>B5+C5/20+D5/240</f>
        <v>22.808333333333334</v>
      </c>
    </row>
    <row r="6" spans="1:9" x14ac:dyDescent="0.2">
      <c r="A6" t="s">
        <v>142</v>
      </c>
      <c r="B6">
        <f>Receipts!B13</f>
        <v>0</v>
      </c>
      <c r="C6">
        <f>Receipts!C13</f>
        <v>4</v>
      </c>
      <c r="D6">
        <f>Receipts!D13</f>
        <v>12</v>
      </c>
      <c r="F6" s="14">
        <f t="shared" ref="F6:F9" si="0">B6+C6/20+D6/240</f>
        <v>0.25</v>
      </c>
    </row>
    <row r="7" spans="1:9" x14ac:dyDescent="0.2">
      <c r="A7" t="s">
        <v>4</v>
      </c>
      <c r="B7">
        <f>Receipts!B65</f>
        <v>9</v>
      </c>
      <c r="C7">
        <f>Receipts!C65</f>
        <v>44</v>
      </c>
      <c r="D7">
        <f>Receipts!D65</f>
        <v>162</v>
      </c>
      <c r="F7" s="14">
        <f t="shared" si="0"/>
        <v>11.875</v>
      </c>
    </row>
    <row r="8" spans="1:9" x14ac:dyDescent="0.2">
      <c r="A8" s="3" t="s">
        <v>5</v>
      </c>
      <c r="B8" s="13">
        <f>SUM(B5:B7)</f>
        <v>31</v>
      </c>
      <c r="C8" s="13">
        <f t="shared" ref="C8:D8" si="1">SUM(C5:C7)</f>
        <v>64</v>
      </c>
      <c r="D8" s="13">
        <f t="shared" si="1"/>
        <v>176</v>
      </c>
      <c r="E8" s="13"/>
      <c r="F8" s="26">
        <f t="shared" si="0"/>
        <v>34.933333333333337</v>
      </c>
      <c r="G8" s="13"/>
    </row>
    <row r="9" spans="1:9" x14ac:dyDescent="0.2">
      <c r="A9" s="3" t="s">
        <v>6</v>
      </c>
      <c r="B9" s="13">
        <v>34</v>
      </c>
      <c r="C9" s="13">
        <v>8</v>
      </c>
      <c r="D9" s="13">
        <v>8</v>
      </c>
      <c r="E9" s="13"/>
      <c r="F9" s="26">
        <f t="shared" si="0"/>
        <v>34.43333333333333</v>
      </c>
      <c r="G9" s="28">
        <f>F9-F8</f>
        <v>-0.50000000000000711</v>
      </c>
    </row>
    <row r="11" spans="1:9" x14ac:dyDescent="0.2">
      <c r="A11" s="2" t="s">
        <v>7</v>
      </c>
      <c r="B11" s="13"/>
      <c r="C11" s="13"/>
      <c r="D11" s="13"/>
      <c r="E11" s="13"/>
      <c r="F11" s="26"/>
      <c r="G11" s="13"/>
    </row>
    <row r="12" spans="1:9" x14ac:dyDescent="0.2">
      <c r="A12" t="s">
        <v>8</v>
      </c>
      <c r="B12" t="s">
        <v>141</v>
      </c>
    </row>
    <row r="13" spans="1:9" x14ac:dyDescent="0.2">
      <c r="A13" t="s">
        <v>9</v>
      </c>
    </row>
    <row r="14" spans="1:9" x14ac:dyDescent="0.2">
      <c r="A14" t="s">
        <v>10</v>
      </c>
    </row>
    <row r="15" spans="1:9" x14ac:dyDescent="0.2">
      <c r="A15" t="s">
        <v>11</v>
      </c>
    </row>
    <row r="16" spans="1:9" x14ac:dyDescent="0.2">
      <c r="A16" t="s">
        <v>12</v>
      </c>
    </row>
    <row r="17" spans="1:7" x14ac:dyDescent="0.2">
      <c r="A17" s="3" t="s">
        <v>13</v>
      </c>
      <c r="B17" s="13"/>
      <c r="C17" s="13"/>
      <c r="D17" s="13"/>
      <c r="E17" s="13"/>
      <c r="F17" s="26"/>
      <c r="G17" s="13"/>
    </row>
    <row r="18" spans="1:7" x14ac:dyDescent="0.2">
      <c r="A18" s="3" t="s">
        <v>14</v>
      </c>
      <c r="B18" s="13"/>
      <c r="C18" s="13"/>
      <c r="D18" s="13"/>
      <c r="E18" s="13"/>
      <c r="F18" s="26"/>
      <c r="G18" s="13"/>
    </row>
    <row r="19" spans="1:7" x14ac:dyDescent="0.2">
      <c r="A19" s="3" t="s">
        <v>15</v>
      </c>
      <c r="B19" s="13"/>
      <c r="C19" s="13"/>
      <c r="D19" s="13"/>
      <c r="E19" s="13"/>
      <c r="F19" s="26"/>
      <c r="G19" s="13"/>
    </row>
    <row r="20" spans="1:7" x14ac:dyDescent="0.2">
      <c r="B20" t="s">
        <v>141</v>
      </c>
    </row>
    <row r="21" spans="1:7" x14ac:dyDescent="0.2">
      <c r="A21" t="s">
        <v>16</v>
      </c>
    </row>
    <row r="22" spans="1:7" x14ac:dyDescent="0.2">
      <c r="A22" t="s">
        <v>17</v>
      </c>
    </row>
    <row r="24" spans="1:7" x14ac:dyDescent="0.2">
      <c r="A24" t="s">
        <v>18</v>
      </c>
    </row>
    <row r="25" spans="1:7" x14ac:dyDescent="0.2">
      <c r="A25" t="s">
        <v>19</v>
      </c>
    </row>
    <row r="26" spans="1:7" x14ac:dyDescent="0.2">
      <c r="A26" s="3" t="s">
        <v>13</v>
      </c>
      <c r="B26" s="13"/>
      <c r="C26" s="13"/>
      <c r="D26" s="13"/>
      <c r="E26" s="13"/>
      <c r="F26" s="26"/>
      <c r="G26" s="13"/>
    </row>
    <row r="27" spans="1:7" x14ac:dyDescent="0.2">
      <c r="A27" s="3" t="s">
        <v>20</v>
      </c>
      <c r="B27" s="13"/>
      <c r="C27" s="13"/>
      <c r="D27" s="13"/>
      <c r="E27" s="13"/>
      <c r="F27" s="26"/>
      <c r="G27" s="13"/>
    </row>
    <row r="29" spans="1:7" x14ac:dyDescent="0.2">
      <c r="A29" t="s">
        <v>21</v>
      </c>
    </row>
    <row r="30" spans="1:7" x14ac:dyDescent="0.2">
      <c r="A30" t="s">
        <v>22</v>
      </c>
    </row>
    <row r="32" spans="1:7" x14ac:dyDescent="0.2">
      <c r="A32" s="2" t="s">
        <v>23</v>
      </c>
      <c r="B32" s="13"/>
      <c r="C32" s="13"/>
      <c r="D32" s="13"/>
      <c r="E32" s="13"/>
      <c r="F32" s="26"/>
      <c r="G32" s="13"/>
    </row>
    <row r="33" spans="1:7" x14ac:dyDescent="0.2">
      <c r="A33" s="4" t="s">
        <v>24</v>
      </c>
      <c r="B33" t="s">
        <v>141</v>
      </c>
    </row>
    <row r="34" spans="1:7" x14ac:dyDescent="0.2">
      <c r="A34" t="s">
        <v>25</v>
      </c>
    </row>
    <row r="35" spans="1:7" x14ac:dyDescent="0.2">
      <c r="A35" t="s">
        <v>26</v>
      </c>
    </row>
    <row r="36" spans="1:7" x14ac:dyDescent="0.2">
      <c r="A36" t="s">
        <v>27</v>
      </c>
    </row>
    <row r="37" spans="1:7" x14ac:dyDescent="0.2">
      <c r="A37" t="s">
        <v>28</v>
      </c>
    </row>
    <row r="38" spans="1:7" x14ac:dyDescent="0.2">
      <c r="A38" t="s">
        <v>29</v>
      </c>
    </row>
    <row r="39" spans="1:7" x14ac:dyDescent="0.2">
      <c r="A39" t="s">
        <v>30</v>
      </c>
    </row>
    <row r="40" spans="1:7" x14ac:dyDescent="0.2">
      <c r="A40" t="s">
        <v>31</v>
      </c>
    </row>
    <row r="41" spans="1:7" x14ac:dyDescent="0.2">
      <c r="A41" s="3" t="s">
        <v>32</v>
      </c>
      <c r="B41" s="13"/>
      <c r="C41" s="13"/>
      <c r="D41" s="13"/>
      <c r="E41" s="13"/>
      <c r="F41" s="26"/>
      <c r="G41" s="13"/>
    </row>
    <row r="42" spans="1:7" x14ac:dyDescent="0.2">
      <c r="A42" s="3" t="s">
        <v>33</v>
      </c>
      <c r="B42" s="13"/>
      <c r="C42" s="13"/>
      <c r="D42" s="13"/>
      <c r="E42" s="13"/>
      <c r="F42" s="26"/>
      <c r="G42" s="13"/>
    </row>
    <row r="44" spans="1:7" x14ac:dyDescent="0.2">
      <c r="A44" s="2" t="s">
        <v>34</v>
      </c>
      <c r="B44" s="13"/>
      <c r="C44" s="13"/>
      <c r="D44" s="13"/>
      <c r="E44" s="13"/>
      <c r="F44" s="26"/>
      <c r="G44" s="13"/>
    </row>
    <row r="45" spans="1:7" x14ac:dyDescent="0.2">
      <c r="A45" s="4" t="s">
        <v>35</v>
      </c>
      <c r="B45" t="s">
        <v>141</v>
      </c>
    </row>
    <row r="46" spans="1:7" x14ac:dyDescent="0.2">
      <c r="A46" t="s">
        <v>25</v>
      </c>
    </row>
    <row r="47" spans="1:7" x14ac:dyDescent="0.2">
      <c r="A47" t="s">
        <v>27</v>
      </c>
    </row>
    <row r="48" spans="1:7" x14ac:dyDescent="0.2">
      <c r="A48" t="s">
        <v>36</v>
      </c>
    </row>
    <row r="49" spans="1:7" x14ac:dyDescent="0.2">
      <c r="A49" t="s">
        <v>37</v>
      </c>
    </row>
    <row r="50" spans="1:7" x14ac:dyDescent="0.2">
      <c r="A50" t="s">
        <v>38</v>
      </c>
    </row>
    <row r="51" spans="1:7" x14ac:dyDescent="0.2">
      <c r="A51" s="5" t="s">
        <v>39</v>
      </c>
    </row>
    <row r="52" spans="1:7" x14ac:dyDescent="0.2">
      <c r="A52" s="5" t="s">
        <v>40</v>
      </c>
    </row>
    <row r="53" spans="1:7" x14ac:dyDescent="0.2">
      <c r="A53" s="3" t="s">
        <v>32</v>
      </c>
      <c r="B53" s="13"/>
      <c r="C53" s="13"/>
      <c r="D53" s="13"/>
      <c r="E53" s="13"/>
      <c r="F53" s="26"/>
      <c r="G53" s="13"/>
    </row>
    <row r="54" spans="1:7" x14ac:dyDescent="0.2">
      <c r="A54" s="3" t="s">
        <v>33</v>
      </c>
      <c r="B54" s="13"/>
      <c r="C54" s="13"/>
      <c r="D54" s="13"/>
      <c r="E54" s="13"/>
      <c r="F54" s="26"/>
      <c r="G54" s="13"/>
    </row>
    <row r="56" spans="1:7" x14ac:dyDescent="0.2">
      <c r="A56" s="2" t="s">
        <v>41</v>
      </c>
      <c r="B56" s="13"/>
      <c r="C56" s="13"/>
      <c r="D56" s="13"/>
      <c r="E56" s="13"/>
      <c r="F56" s="26"/>
      <c r="G56" s="13"/>
    </row>
    <row r="57" spans="1:7" x14ac:dyDescent="0.2">
      <c r="A57" s="4" t="s">
        <v>42</v>
      </c>
      <c r="B57" t="s">
        <v>141</v>
      </c>
    </row>
    <row r="58" spans="1:7" x14ac:dyDescent="0.2">
      <c r="A58" t="s">
        <v>43</v>
      </c>
    </row>
    <row r="59" spans="1:7" x14ac:dyDescent="0.2">
      <c r="A59" t="s">
        <v>44</v>
      </c>
    </row>
    <row r="60" spans="1:7" x14ac:dyDescent="0.2">
      <c r="A60" t="s">
        <v>45</v>
      </c>
    </row>
    <row r="61" spans="1:7" x14ac:dyDescent="0.2">
      <c r="A61" t="s">
        <v>46</v>
      </c>
    </row>
    <row r="62" spans="1:7" x14ac:dyDescent="0.2">
      <c r="A62" s="3" t="s">
        <v>47</v>
      </c>
      <c r="B62" s="13"/>
      <c r="C62" s="13"/>
      <c r="D62" s="13"/>
      <c r="E62" s="13"/>
      <c r="F62" s="26"/>
      <c r="G62" s="13"/>
    </row>
    <row r="63" spans="1:7" x14ac:dyDescent="0.2">
      <c r="A63" s="3" t="s">
        <v>33</v>
      </c>
      <c r="B63" s="13"/>
      <c r="C63" s="13"/>
      <c r="D63" s="13"/>
      <c r="E63" s="13"/>
      <c r="F63" s="26"/>
      <c r="G63" s="13"/>
    </row>
    <row r="65" spans="1:7" x14ac:dyDescent="0.2">
      <c r="A65" s="2" t="s">
        <v>48</v>
      </c>
      <c r="B65" s="13"/>
      <c r="C65" s="13"/>
      <c r="D65" s="13"/>
      <c r="E65" s="13"/>
      <c r="F65" s="26"/>
      <c r="G65" s="13"/>
    </row>
    <row r="66" spans="1:7" x14ac:dyDescent="0.2">
      <c r="A66" t="s">
        <v>49</v>
      </c>
      <c r="B66" t="s">
        <v>141</v>
      </c>
    </row>
    <row r="67" spans="1:7" x14ac:dyDescent="0.2">
      <c r="A67" t="s">
        <v>50</v>
      </c>
    </row>
    <row r="68" spans="1:7" x14ac:dyDescent="0.2">
      <c r="A68" t="s">
        <v>51</v>
      </c>
    </row>
    <row r="69" spans="1:7" x14ac:dyDescent="0.2">
      <c r="A69" s="3" t="s">
        <v>32</v>
      </c>
      <c r="B69" s="13"/>
      <c r="C69" s="13"/>
      <c r="D69" s="13"/>
      <c r="E69" s="13"/>
      <c r="F69" s="26"/>
      <c r="G69" s="13"/>
    </row>
    <row r="70" spans="1:7" x14ac:dyDescent="0.2">
      <c r="A70" s="3" t="s">
        <v>33</v>
      </c>
      <c r="B70" s="13"/>
      <c r="C70" s="13"/>
      <c r="D70" s="13"/>
      <c r="E70" s="13"/>
      <c r="F70" s="26"/>
      <c r="G70" s="13"/>
    </row>
    <row r="71" spans="1:7" x14ac:dyDescent="0.2">
      <c r="A71" s="4"/>
    </row>
    <row r="72" spans="1:7" x14ac:dyDescent="0.2">
      <c r="A72" s="2" t="s">
        <v>52</v>
      </c>
      <c r="B72" s="13"/>
      <c r="C72" s="13"/>
      <c r="D72" s="13"/>
      <c r="E72" s="13"/>
      <c r="F72" s="26"/>
      <c r="G72" s="13"/>
    </row>
    <row r="73" spans="1:7" x14ac:dyDescent="0.2">
      <c r="A73" t="s">
        <v>53</v>
      </c>
      <c r="B73" t="s">
        <v>141</v>
      </c>
    </row>
    <row r="74" spans="1:7" x14ac:dyDescent="0.2">
      <c r="A74" t="s">
        <v>54</v>
      </c>
    </row>
    <row r="75" spans="1:7" x14ac:dyDescent="0.2">
      <c r="A75" t="s">
        <v>55</v>
      </c>
    </row>
    <row r="76" spans="1:7" x14ac:dyDescent="0.2">
      <c r="A76" t="s">
        <v>56</v>
      </c>
    </row>
    <row r="77" spans="1:7" x14ac:dyDescent="0.2">
      <c r="A77" t="s">
        <v>57</v>
      </c>
    </row>
    <row r="78" spans="1:7" x14ac:dyDescent="0.2">
      <c r="A78" s="6" t="s">
        <v>58</v>
      </c>
    </row>
    <row r="79" spans="1:7" x14ac:dyDescent="0.2">
      <c r="A79" s="6" t="s">
        <v>59</v>
      </c>
    </row>
    <row r="80" spans="1:7" x14ac:dyDescent="0.2">
      <c r="A80" t="s">
        <v>60</v>
      </c>
    </row>
    <row r="81" spans="1:7" x14ac:dyDescent="0.2">
      <c r="A81" t="s">
        <v>61</v>
      </c>
    </row>
    <row r="82" spans="1:7" x14ac:dyDescent="0.2">
      <c r="A82" t="s">
        <v>62</v>
      </c>
    </row>
    <row r="83" spans="1:7" x14ac:dyDescent="0.2">
      <c r="A83" s="3" t="s">
        <v>32</v>
      </c>
      <c r="B83" s="13"/>
      <c r="C83" s="13"/>
      <c r="D83" s="13"/>
      <c r="E83" s="13"/>
      <c r="F83" s="26"/>
      <c r="G83" s="13"/>
    </row>
    <row r="84" spans="1:7" x14ac:dyDescent="0.2">
      <c r="A84" s="3" t="s">
        <v>33</v>
      </c>
      <c r="B84" s="13"/>
      <c r="C84" s="13"/>
      <c r="D84" s="13"/>
      <c r="E84" s="13"/>
      <c r="F84" s="26"/>
      <c r="G84" s="13"/>
    </row>
    <row r="86" spans="1:7" x14ac:dyDescent="0.2">
      <c r="A86" s="2" t="s">
        <v>63</v>
      </c>
      <c r="B86" s="13"/>
      <c r="C86" s="13"/>
      <c r="D86" s="13"/>
      <c r="E86" s="13"/>
      <c r="F86" s="26"/>
      <c r="G86" s="13"/>
    </row>
    <row r="87" spans="1:7" ht="17" x14ac:dyDescent="0.2">
      <c r="A87" s="7" t="s">
        <v>64</v>
      </c>
      <c r="B87" t="s">
        <v>141</v>
      </c>
    </row>
    <row r="88" spans="1:7" x14ac:dyDescent="0.2">
      <c r="A88" t="s">
        <v>65</v>
      </c>
    </row>
    <row r="89" spans="1:7" x14ac:dyDescent="0.2">
      <c r="A89" t="s">
        <v>66</v>
      </c>
    </row>
    <row r="90" spans="1:7" x14ac:dyDescent="0.2">
      <c r="A90" t="s">
        <v>67</v>
      </c>
    </row>
    <row r="91" spans="1:7" x14ac:dyDescent="0.2">
      <c r="A91" s="3" t="s">
        <v>32</v>
      </c>
      <c r="B91" s="13"/>
      <c r="C91" s="13"/>
      <c r="D91" s="13"/>
      <c r="E91" s="13"/>
      <c r="F91" s="26"/>
      <c r="G91" s="13"/>
    </row>
    <row r="92" spans="1:7" x14ac:dyDescent="0.2">
      <c r="A92" s="3" t="s">
        <v>33</v>
      </c>
      <c r="B92" s="13"/>
      <c r="C92" s="13"/>
      <c r="D92" s="13"/>
      <c r="E92" s="13"/>
      <c r="F92" s="26"/>
      <c r="G92" s="13"/>
    </row>
    <row r="94" spans="1:7" x14ac:dyDescent="0.2">
      <c r="A94" s="2" t="s">
        <v>68</v>
      </c>
      <c r="B94" s="13"/>
      <c r="C94" s="13"/>
      <c r="D94" s="13"/>
      <c r="E94" s="13"/>
      <c r="F94" s="26"/>
      <c r="G94" s="13"/>
    </row>
    <row r="95" spans="1:7" x14ac:dyDescent="0.2">
      <c r="A95" t="s">
        <v>69</v>
      </c>
      <c r="B95" t="s">
        <v>141</v>
      </c>
    </row>
    <row r="96" spans="1:7" x14ac:dyDescent="0.2">
      <c r="A96" t="s">
        <v>70</v>
      </c>
    </row>
    <row r="97" spans="1:7" x14ac:dyDescent="0.2">
      <c r="A97" t="s">
        <v>71</v>
      </c>
    </row>
    <row r="98" spans="1:7" x14ac:dyDescent="0.2">
      <c r="A98" s="3" t="s">
        <v>72</v>
      </c>
      <c r="B98" s="13"/>
      <c r="C98" s="13"/>
      <c r="D98" s="13"/>
      <c r="E98" s="13"/>
      <c r="F98" s="26"/>
      <c r="G98" s="13"/>
    </row>
    <row r="99" spans="1:7" x14ac:dyDescent="0.2">
      <c r="A99" s="3" t="s">
        <v>33</v>
      </c>
      <c r="B99" s="13"/>
      <c r="C99" s="13"/>
      <c r="D99" s="13"/>
      <c r="E99" s="13"/>
      <c r="F99" s="26"/>
      <c r="G99" s="13"/>
    </row>
    <row r="101" spans="1:7" x14ac:dyDescent="0.2">
      <c r="A101" s="2" t="s">
        <v>73</v>
      </c>
      <c r="B101" s="13"/>
      <c r="C101" s="13"/>
      <c r="D101" s="13"/>
      <c r="E101" s="13"/>
      <c r="F101" s="26"/>
      <c r="G101" s="13"/>
    </row>
    <row r="102" spans="1:7" x14ac:dyDescent="0.2">
      <c r="A102" t="s">
        <v>74</v>
      </c>
      <c r="B102" t="s">
        <v>141</v>
      </c>
    </row>
    <row r="103" spans="1:7" x14ac:dyDescent="0.2">
      <c r="A103" t="s">
        <v>75</v>
      </c>
    </row>
    <row r="104" spans="1:7" x14ac:dyDescent="0.2">
      <c r="A104" t="s">
        <v>76</v>
      </c>
    </row>
    <row r="105" spans="1:7" x14ac:dyDescent="0.2">
      <c r="A105" s="3" t="s">
        <v>32</v>
      </c>
      <c r="B105" s="13"/>
      <c r="C105" s="13"/>
      <c r="D105" s="13"/>
      <c r="E105" s="13"/>
      <c r="F105" s="26"/>
      <c r="G105" s="13"/>
    </row>
    <row r="106" spans="1:7" x14ac:dyDescent="0.2">
      <c r="A106" s="3" t="s">
        <v>33</v>
      </c>
      <c r="B106" s="13"/>
      <c r="C106" s="13"/>
      <c r="D106" s="13"/>
      <c r="E106" s="13"/>
      <c r="F106" s="26"/>
      <c r="G106" s="13"/>
    </row>
    <row r="108" spans="1:7" ht="17" thickBot="1" x14ac:dyDescent="0.25"/>
    <row r="109" spans="1:7" ht="17" thickBot="1" x14ac:dyDescent="0.25">
      <c r="A109" s="29"/>
      <c r="B109" s="30" t="s">
        <v>82</v>
      </c>
      <c r="C109" s="31"/>
      <c r="D109" s="32"/>
      <c r="E109" s="33"/>
    </row>
    <row r="110" spans="1:7" x14ac:dyDescent="0.2">
      <c r="A110" s="34" t="s">
        <v>143</v>
      </c>
      <c r="B110" s="35" t="s">
        <v>141</v>
      </c>
      <c r="C110" s="15"/>
      <c r="D110" s="36"/>
      <c r="E110" s="37"/>
    </row>
    <row r="111" spans="1:7" x14ac:dyDescent="0.2">
      <c r="A111" s="38" t="s">
        <v>144</v>
      </c>
      <c r="B111" s="35"/>
      <c r="C111" s="15"/>
      <c r="D111" s="36"/>
      <c r="E111" s="37"/>
    </row>
    <row r="112" spans="1:7" x14ac:dyDescent="0.2">
      <c r="A112" s="38" t="s">
        <v>145</v>
      </c>
      <c r="B112" s="35"/>
      <c r="C112" s="15"/>
      <c r="D112" s="36"/>
      <c r="E112" s="37"/>
    </row>
    <row r="113" spans="1:5" x14ac:dyDescent="0.2">
      <c r="A113" s="38" t="s">
        <v>146</v>
      </c>
      <c r="B113" s="35"/>
      <c r="C113" s="15"/>
      <c r="D113" s="36"/>
      <c r="E113" s="37"/>
    </row>
    <row r="114" spans="1:5" x14ac:dyDescent="0.2">
      <c r="A114" s="39"/>
      <c r="B114" s="36"/>
      <c r="C114" s="15"/>
      <c r="D114" s="36"/>
      <c r="E114" s="37"/>
    </row>
    <row r="115" spans="1:5" x14ac:dyDescent="0.2">
      <c r="A115" s="40" t="s">
        <v>77</v>
      </c>
      <c r="B115" s="41"/>
      <c r="C115" s="42"/>
      <c r="D115" s="36"/>
      <c r="E115" s="37"/>
    </row>
    <row r="116" spans="1:5" x14ac:dyDescent="0.2">
      <c r="A116" s="38" t="s">
        <v>78</v>
      </c>
      <c r="B116" s="41"/>
      <c r="C116" s="15"/>
      <c r="D116" s="36"/>
      <c r="E116" s="37"/>
    </row>
    <row r="117" spans="1:5" x14ac:dyDescent="0.2">
      <c r="A117" s="39"/>
      <c r="B117" s="36"/>
      <c r="C117" s="15"/>
      <c r="D117" s="36"/>
      <c r="E117" s="37"/>
    </row>
    <row r="118" spans="1:5" ht="17" thickBot="1" x14ac:dyDescent="0.25">
      <c r="A118" s="43" t="s">
        <v>147</v>
      </c>
      <c r="B118" s="44"/>
      <c r="C118" s="45"/>
      <c r="D118" s="46"/>
      <c r="E118" s="4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B8EE-D6CF-E449-8165-C210DC4159F0}">
  <dimension ref="A1:I69"/>
  <sheetViews>
    <sheetView workbookViewId="0">
      <pane xSplit="1" ySplit="2" topLeftCell="B23" activePane="bottomRight" state="frozen"/>
      <selection pane="topRight" activeCell="B1" sqref="B1"/>
      <selection pane="bottomLeft" activeCell="A3" sqref="A3"/>
      <selection pane="bottomRight" activeCell="B69" sqref="B69"/>
    </sheetView>
  </sheetViews>
  <sheetFormatPr baseColWidth="10" defaultRowHeight="16" x14ac:dyDescent="0.2"/>
  <cols>
    <col min="1" max="1" width="60.1640625" bestFit="1" customWidth="1"/>
    <col min="2" max="2" width="10.6640625" customWidth="1"/>
    <col min="6" max="6" width="10.83203125" style="14"/>
    <col min="9" max="9" width="10.83203125" style="15"/>
  </cols>
  <sheetData>
    <row r="1" spans="1:9" x14ac:dyDescent="0.2">
      <c r="A1" s="4" t="s">
        <v>87</v>
      </c>
    </row>
    <row r="2" spans="1:9" x14ac:dyDescent="0.2">
      <c r="A2" s="4"/>
      <c r="B2" s="16" t="s">
        <v>79</v>
      </c>
      <c r="C2" s="17" t="s">
        <v>80</v>
      </c>
      <c r="D2" s="17" t="s">
        <v>81</v>
      </c>
      <c r="E2" s="4"/>
      <c r="F2" s="18" t="s">
        <v>82</v>
      </c>
      <c r="G2" s="4" t="s">
        <v>85</v>
      </c>
      <c r="I2" s="19" t="s">
        <v>83</v>
      </c>
    </row>
    <row r="3" spans="1:9" x14ac:dyDescent="0.2">
      <c r="A3" s="4" t="s">
        <v>3</v>
      </c>
    </row>
    <row r="4" spans="1:9" x14ac:dyDescent="0.2">
      <c r="A4" t="s">
        <v>91</v>
      </c>
      <c r="B4">
        <v>22</v>
      </c>
      <c r="C4">
        <v>16</v>
      </c>
      <c r="D4">
        <v>2</v>
      </c>
      <c r="F4" s="14">
        <f>B4+C4/20+D4/240</f>
        <v>22.808333333333334</v>
      </c>
    </row>
    <row r="5" spans="1:9" x14ac:dyDescent="0.2">
      <c r="A5" s="4" t="s">
        <v>95</v>
      </c>
      <c r="B5">
        <v>22</v>
      </c>
      <c r="C5">
        <v>16</v>
      </c>
      <c r="D5">
        <v>2</v>
      </c>
      <c r="F5" s="14">
        <f t="shared" ref="F5:F67" si="0">B5+C5/20+D5/240</f>
        <v>22.808333333333334</v>
      </c>
    </row>
    <row r="6" spans="1:9" x14ac:dyDescent="0.2">
      <c r="A6" s="4" t="s">
        <v>96</v>
      </c>
      <c r="B6">
        <f>B4</f>
        <v>22</v>
      </c>
      <c r="C6">
        <f t="shared" ref="C6:D6" si="1">C4</f>
        <v>16</v>
      </c>
      <c r="D6">
        <f t="shared" si="1"/>
        <v>2</v>
      </c>
      <c r="F6" s="14">
        <f t="shared" si="0"/>
        <v>22.808333333333334</v>
      </c>
      <c r="I6" s="27">
        <f>F6-F5</f>
        <v>0</v>
      </c>
    </row>
    <row r="8" spans="1:9" x14ac:dyDescent="0.2">
      <c r="A8" s="4" t="s">
        <v>142</v>
      </c>
    </row>
    <row r="9" spans="1:9" x14ac:dyDescent="0.2">
      <c r="A9" t="s">
        <v>92</v>
      </c>
      <c r="C9">
        <v>4</v>
      </c>
      <c r="F9" s="14">
        <f t="shared" si="0"/>
        <v>0.2</v>
      </c>
    </row>
    <row r="10" spans="1:9" x14ac:dyDescent="0.2">
      <c r="A10" t="s">
        <v>93</v>
      </c>
      <c r="D10">
        <v>6</v>
      </c>
      <c r="F10" s="14">
        <f t="shared" si="0"/>
        <v>2.5000000000000001E-2</v>
      </c>
    </row>
    <row r="11" spans="1:9" x14ac:dyDescent="0.2">
      <c r="A11" t="s">
        <v>94</v>
      </c>
      <c r="D11">
        <v>6</v>
      </c>
      <c r="F11" s="14">
        <f t="shared" si="0"/>
        <v>2.5000000000000001E-2</v>
      </c>
    </row>
    <row r="12" spans="1:9" x14ac:dyDescent="0.2">
      <c r="A12" s="4" t="s">
        <v>95</v>
      </c>
      <c r="C12">
        <v>5</v>
      </c>
      <c r="F12" s="14">
        <f t="shared" si="0"/>
        <v>0.25</v>
      </c>
    </row>
    <row r="13" spans="1:9" x14ac:dyDescent="0.2">
      <c r="A13" s="4" t="s">
        <v>96</v>
      </c>
      <c r="B13">
        <f>SUM(B9:B11)</f>
        <v>0</v>
      </c>
      <c r="C13">
        <f t="shared" ref="C13:D13" si="2">SUM(C9:C11)</f>
        <v>4</v>
      </c>
      <c r="D13">
        <f t="shared" si="2"/>
        <v>12</v>
      </c>
      <c r="F13" s="14">
        <f t="shared" si="0"/>
        <v>0.25</v>
      </c>
      <c r="I13" s="27">
        <f>F13-F12</f>
        <v>0</v>
      </c>
    </row>
    <row r="15" spans="1:9" x14ac:dyDescent="0.2">
      <c r="A15" s="4" t="s">
        <v>4</v>
      </c>
    </row>
    <row r="16" spans="1:9" x14ac:dyDescent="0.2">
      <c r="A16" t="s">
        <v>97</v>
      </c>
      <c r="C16">
        <v>13</v>
      </c>
      <c r="F16" s="14">
        <f t="shared" si="0"/>
        <v>0.65</v>
      </c>
    </row>
    <row r="17" spans="1:6" x14ac:dyDescent="0.2">
      <c r="A17" t="s">
        <v>98</v>
      </c>
      <c r="B17">
        <v>3</v>
      </c>
      <c r="C17">
        <v>1</v>
      </c>
      <c r="F17" s="14">
        <f t="shared" si="0"/>
        <v>3.05</v>
      </c>
    </row>
    <row r="18" spans="1:6" x14ac:dyDescent="0.2">
      <c r="A18" t="s">
        <v>98</v>
      </c>
      <c r="B18">
        <v>3</v>
      </c>
      <c r="D18">
        <v>6</v>
      </c>
      <c r="F18" s="14">
        <f t="shared" si="0"/>
        <v>3.0249999999999999</v>
      </c>
    </row>
    <row r="19" spans="1:6" x14ac:dyDescent="0.2">
      <c r="A19" t="s">
        <v>99</v>
      </c>
      <c r="C19">
        <v>8</v>
      </c>
      <c r="F19" s="14">
        <f t="shared" si="0"/>
        <v>0.4</v>
      </c>
    </row>
    <row r="20" spans="1:6" x14ac:dyDescent="0.2">
      <c r="A20" t="s">
        <v>100</v>
      </c>
      <c r="B20">
        <v>3</v>
      </c>
      <c r="C20">
        <v>10</v>
      </c>
      <c r="F20" s="14">
        <f t="shared" si="0"/>
        <v>3.5</v>
      </c>
    </row>
    <row r="21" spans="1:6" x14ac:dyDescent="0.2">
      <c r="A21" t="s">
        <v>101</v>
      </c>
      <c r="D21">
        <v>3</v>
      </c>
      <c r="F21" s="14">
        <f t="shared" si="0"/>
        <v>1.2500000000000001E-2</v>
      </c>
    </row>
    <row r="22" spans="1:6" x14ac:dyDescent="0.2">
      <c r="A22" t="s">
        <v>102</v>
      </c>
      <c r="D22">
        <v>6</v>
      </c>
      <c r="F22" s="14">
        <f t="shared" si="0"/>
        <v>2.5000000000000001E-2</v>
      </c>
    </row>
    <row r="23" spans="1:6" x14ac:dyDescent="0.2">
      <c r="A23" t="s">
        <v>103</v>
      </c>
      <c r="D23">
        <v>6</v>
      </c>
      <c r="F23" s="14">
        <f t="shared" si="0"/>
        <v>2.5000000000000001E-2</v>
      </c>
    </row>
    <row r="24" spans="1:6" x14ac:dyDescent="0.2">
      <c r="A24" t="s">
        <v>104</v>
      </c>
      <c r="D24">
        <v>3</v>
      </c>
      <c r="F24" s="14">
        <f t="shared" si="0"/>
        <v>1.2500000000000001E-2</v>
      </c>
    </row>
    <row r="25" spans="1:6" x14ac:dyDescent="0.2">
      <c r="A25" t="s">
        <v>105</v>
      </c>
      <c r="C25">
        <v>1</v>
      </c>
      <c r="F25" s="14">
        <f t="shared" si="0"/>
        <v>0.05</v>
      </c>
    </row>
    <row r="26" spans="1:6" x14ac:dyDescent="0.2">
      <c r="A26" t="s">
        <v>106</v>
      </c>
      <c r="D26">
        <v>6</v>
      </c>
      <c r="F26" s="14">
        <f t="shared" si="0"/>
        <v>2.5000000000000001E-2</v>
      </c>
    </row>
    <row r="27" spans="1:6" x14ac:dyDescent="0.2">
      <c r="A27" t="s">
        <v>107</v>
      </c>
      <c r="D27">
        <v>3</v>
      </c>
      <c r="F27" s="14">
        <f t="shared" si="0"/>
        <v>1.2500000000000001E-2</v>
      </c>
    </row>
    <row r="28" spans="1:6" x14ac:dyDescent="0.2">
      <c r="A28" t="s">
        <v>108</v>
      </c>
      <c r="D28">
        <v>6</v>
      </c>
      <c r="F28" s="14">
        <f t="shared" si="0"/>
        <v>2.5000000000000001E-2</v>
      </c>
    </row>
    <row r="29" spans="1:6" x14ac:dyDescent="0.2">
      <c r="A29" t="s">
        <v>109</v>
      </c>
      <c r="D29">
        <v>6</v>
      </c>
      <c r="F29" s="14">
        <f t="shared" si="0"/>
        <v>2.5000000000000001E-2</v>
      </c>
    </row>
    <row r="30" spans="1:6" x14ac:dyDescent="0.2">
      <c r="A30" t="s">
        <v>110</v>
      </c>
      <c r="D30">
        <v>3</v>
      </c>
      <c r="F30" s="14">
        <f t="shared" si="0"/>
        <v>1.2500000000000001E-2</v>
      </c>
    </row>
    <row r="31" spans="1:6" x14ac:dyDescent="0.2">
      <c r="A31" t="s">
        <v>111</v>
      </c>
      <c r="D31">
        <v>6</v>
      </c>
      <c r="F31" s="14">
        <f t="shared" si="0"/>
        <v>2.5000000000000001E-2</v>
      </c>
    </row>
    <row r="32" spans="1:6" x14ac:dyDescent="0.2">
      <c r="A32" t="s">
        <v>112</v>
      </c>
      <c r="D32">
        <v>3</v>
      </c>
      <c r="F32" s="14">
        <f t="shared" si="0"/>
        <v>1.2500000000000001E-2</v>
      </c>
    </row>
    <row r="33" spans="1:6" x14ac:dyDescent="0.2">
      <c r="A33" t="s">
        <v>109</v>
      </c>
      <c r="D33">
        <v>6</v>
      </c>
      <c r="F33" s="14">
        <f t="shared" si="0"/>
        <v>2.5000000000000001E-2</v>
      </c>
    </row>
    <row r="34" spans="1:6" x14ac:dyDescent="0.2">
      <c r="A34" t="s">
        <v>113</v>
      </c>
      <c r="D34">
        <v>3</v>
      </c>
      <c r="F34" s="14">
        <f t="shared" si="0"/>
        <v>1.2500000000000001E-2</v>
      </c>
    </row>
    <row r="35" spans="1:6" x14ac:dyDescent="0.2">
      <c r="A35" t="s">
        <v>109</v>
      </c>
      <c r="D35">
        <v>6</v>
      </c>
      <c r="F35" s="14">
        <f t="shared" si="0"/>
        <v>2.5000000000000001E-2</v>
      </c>
    </row>
    <row r="36" spans="1:6" x14ac:dyDescent="0.2">
      <c r="A36" t="s">
        <v>114</v>
      </c>
      <c r="D36">
        <v>3</v>
      </c>
      <c r="F36" s="14">
        <f t="shared" si="0"/>
        <v>1.2500000000000001E-2</v>
      </c>
    </row>
    <row r="37" spans="1:6" x14ac:dyDescent="0.2">
      <c r="A37" t="s">
        <v>115</v>
      </c>
      <c r="D37">
        <v>3</v>
      </c>
      <c r="F37" s="14">
        <f t="shared" si="0"/>
        <v>1.2500000000000001E-2</v>
      </c>
    </row>
    <row r="38" spans="1:6" x14ac:dyDescent="0.2">
      <c r="A38" t="s">
        <v>116</v>
      </c>
      <c r="D38">
        <v>3</v>
      </c>
      <c r="F38" s="14">
        <f t="shared" si="0"/>
        <v>1.2500000000000001E-2</v>
      </c>
    </row>
    <row r="39" spans="1:6" x14ac:dyDescent="0.2">
      <c r="A39" t="s">
        <v>117</v>
      </c>
      <c r="D39">
        <v>3</v>
      </c>
      <c r="F39" s="14">
        <f t="shared" si="0"/>
        <v>1.2500000000000001E-2</v>
      </c>
    </row>
    <row r="40" spans="1:6" x14ac:dyDescent="0.2">
      <c r="A40" t="s">
        <v>116</v>
      </c>
      <c r="C40">
        <v>2</v>
      </c>
      <c r="D40">
        <v>6</v>
      </c>
      <c r="F40" s="14">
        <f t="shared" si="0"/>
        <v>0.125</v>
      </c>
    </row>
    <row r="41" spans="1:6" x14ac:dyDescent="0.2">
      <c r="A41" t="s">
        <v>118</v>
      </c>
      <c r="D41">
        <v>3</v>
      </c>
      <c r="F41" s="14">
        <f t="shared" si="0"/>
        <v>1.2500000000000001E-2</v>
      </c>
    </row>
    <row r="42" spans="1:6" x14ac:dyDescent="0.2">
      <c r="A42" t="s">
        <v>110</v>
      </c>
      <c r="D42">
        <v>3</v>
      </c>
      <c r="F42" s="14">
        <f t="shared" si="0"/>
        <v>1.2500000000000001E-2</v>
      </c>
    </row>
    <row r="43" spans="1:6" x14ac:dyDescent="0.2">
      <c r="A43" t="s">
        <v>119</v>
      </c>
      <c r="D43">
        <v>3</v>
      </c>
      <c r="F43" s="14">
        <f t="shared" si="0"/>
        <v>1.2500000000000001E-2</v>
      </c>
    </row>
    <row r="44" spans="1:6" x14ac:dyDescent="0.2">
      <c r="A44" t="s">
        <v>120</v>
      </c>
      <c r="D44">
        <v>6</v>
      </c>
      <c r="F44" s="14">
        <f t="shared" si="0"/>
        <v>2.5000000000000001E-2</v>
      </c>
    </row>
    <row r="45" spans="1:6" x14ac:dyDescent="0.2">
      <c r="A45" t="s">
        <v>121</v>
      </c>
      <c r="C45">
        <v>1</v>
      </c>
      <c r="F45" s="14">
        <f t="shared" si="0"/>
        <v>0.05</v>
      </c>
    </row>
    <row r="46" spans="1:6" x14ac:dyDescent="0.2">
      <c r="A46" t="s">
        <v>122</v>
      </c>
      <c r="D46">
        <v>3</v>
      </c>
      <c r="F46" s="14">
        <f t="shared" si="0"/>
        <v>1.2500000000000001E-2</v>
      </c>
    </row>
    <row r="47" spans="1:6" x14ac:dyDescent="0.2">
      <c r="A47" t="s">
        <v>123</v>
      </c>
      <c r="D47">
        <v>3</v>
      </c>
      <c r="F47" s="14">
        <f t="shared" si="0"/>
        <v>1.2500000000000001E-2</v>
      </c>
    </row>
    <row r="48" spans="1:6" x14ac:dyDescent="0.2">
      <c r="A48" t="s">
        <v>124</v>
      </c>
      <c r="D48">
        <v>6</v>
      </c>
      <c r="F48" s="14">
        <f t="shared" si="0"/>
        <v>2.5000000000000001E-2</v>
      </c>
    </row>
    <row r="49" spans="1:6" x14ac:dyDescent="0.2">
      <c r="A49" t="s">
        <v>125</v>
      </c>
      <c r="D49">
        <v>4</v>
      </c>
      <c r="F49" s="14">
        <f t="shared" si="0"/>
        <v>1.6666666666666666E-2</v>
      </c>
    </row>
    <row r="50" spans="1:6" x14ac:dyDescent="0.2">
      <c r="A50" t="s">
        <v>126</v>
      </c>
      <c r="D50">
        <v>2</v>
      </c>
      <c r="F50" s="14">
        <f t="shared" si="0"/>
        <v>8.3333333333333332E-3</v>
      </c>
    </row>
    <row r="51" spans="1:6" x14ac:dyDescent="0.2">
      <c r="A51" t="s">
        <v>127</v>
      </c>
      <c r="D51">
        <v>6</v>
      </c>
      <c r="F51" s="14">
        <f t="shared" si="0"/>
        <v>2.5000000000000001E-2</v>
      </c>
    </row>
    <row r="52" spans="1:6" x14ac:dyDescent="0.2">
      <c r="A52" t="s">
        <v>128</v>
      </c>
      <c r="D52">
        <v>6</v>
      </c>
      <c r="F52" s="14">
        <f t="shared" si="0"/>
        <v>2.5000000000000001E-2</v>
      </c>
    </row>
    <row r="53" spans="1:6" x14ac:dyDescent="0.2">
      <c r="A53" t="s">
        <v>109</v>
      </c>
      <c r="D53">
        <v>3</v>
      </c>
      <c r="F53" s="14">
        <f t="shared" si="0"/>
        <v>1.2500000000000001E-2</v>
      </c>
    </row>
    <row r="54" spans="1:6" x14ac:dyDescent="0.2">
      <c r="A54" t="s">
        <v>129</v>
      </c>
      <c r="D54">
        <v>3</v>
      </c>
      <c r="F54" s="14">
        <f t="shared" si="0"/>
        <v>1.2500000000000001E-2</v>
      </c>
    </row>
    <row r="55" spans="1:6" x14ac:dyDescent="0.2">
      <c r="A55" t="s">
        <v>130</v>
      </c>
      <c r="D55">
        <v>3</v>
      </c>
      <c r="F55" s="14">
        <f t="shared" si="0"/>
        <v>1.2500000000000001E-2</v>
      </c>
    </row>
    <row r="56" spans="1:6" x14ac:dyDescent="0.2">
      <c r="A56" t="s">
        <v>131</v>
      </c>
      <c r="C56">
        <v>1</v>
      </c>
      <c r="F56" s="14">
        <f t="shared" si="0"/>
        <v>0.05</v>
      </c>
    </row>
    <row r="57" spans="1:6" x14ac:dyDescent="0.2">
      <c r="A57" t="s">
        <v>101</v>
      </c>
      <c r="D57">
        <v>3</v>
      </c>
      <c r="F57" s="14">
        <f t="shared" si="0"/>
        <v>1.2500000000000001E-2</v>
      </c>
    </row>
    <row r="58" spans="1:6" x14ac:dyDescent="0.2">
      <c r="A58" t="s">
        <v>132</v>
      </c>
      <c r="D58">
        <v>3</v>
      </c>
      <c r="F58" s="14">
        <f t="shared" si="0"/>
        <v>1.2500000000000001E-2</v>
      </c>
    </row>
    <row r="59" spans="1:6" x14ac:dyDescent="0.2">
      <c r="A59" t="s">
        <v>133</v>
      </c>
      <c r="C59">
        <v>1</v>
      </c>
      <c r="F59" s="14">
        <f t="shared" si="0"/>
        <v>0.05</v>
      </c>
    </row>
    <row r="60" spans="1:6" x14ac:dyDescent="0.2">
      <c r="A60" t="s">
        <v>134</v>
      </c>
      <c r="D60">
        <v>3</v>
      </c>
      <c r="F60" s="14">
        <f t="shared" si="0"/>
        <v>1.2500000000000001E-2</v>
      </c>
    </row>
    <row r="61" spans="1:6" x14ac:dyDescent="0.2">
      <c r="A61" t="s">
        <v>135</v>
      </c>
      <c r="D61">
        <v>3</v>
      </c>
      <c r="F61" s="14">
        <f t="shared" si="0"/>
        <v>1.2500000000000001E-2</v>
      </c>
    </row>
    <row r="62" spans="1:6" x14ac:dyDescent="0.2">
      <c r="A62" t="s">
        <v>136</v>
      </c>
      <c r="C62">
        <v>5</v>
      </c>
      <c r="F62" s="14">
        <f t="shared" si="0"/>
        <v>0.25</v>
      </c>
    </row>
    <row r="63" spans="1:6" x14ac:dyDescent="0.2">
      <c r="A63" t="s">
        <v>137</v>
      </c>
      <c r="C63">
        <v>1</v>
      </c>
      <c r="D63">
        <v>6</v>
      </c>
      <c r="F63" s="14">
        <f t="shared" si="0"/>
        <v>7.5000000000000011E-2</v>
      </c>
    </row>
    <row r="64" spans="1:6" x14ac:dyDescent="0.2">
      <c r="A64" s="4" t="s">
        <v>95</v>
      </c>
      <c r="B64">
        <v>11</v>
      </c>
      <c r="C64">
        <v>17</v>
      </c>
      <c r="D64">
        <v>6</v>
      </c>
      <c r="F64" s="14">
        <f t="shared" si="0"/>
        <v>11.875</v>
      </c>
    </row>
    <row r="65" spans="1:9" x14ac:dyDescent="0.2">
      <c r="A65" s="4" t="s">
        <v>96</v>
      </c>
      <c r="B65">
        <f>SUM(B16:B63)</f>
        <v>9</v>
      </c>
      <c r="C65">
        <f t="shared" ref="C65:D65" si="3">SUM(C16:C63)</f>
        <v>44</v>
      </c>
      <c r="D65">
        <f t="shared" si="3"/>
        <v>162</v>
      </c>
      <c r="F65" s="14">
        <f t="shared" si="0"/>
        <v>11.875</v>
      </c>
      <c r="I65" s="27">
        <f>F65-F64</f>
        <v>0</v>
      </c>
    </row>
    <row r="67" spans="1:9" x14ac:dyDescent="0.2">
      <c r="A67" s="4" t="s">
        <v>138</v>
      </c>
      <c r="B67">
        <v>34</v>
      </c>
      <c r="C67">
        <v>8</v>
      </c>
      <c r="D67">
        <v>8</v>
      </c>
      <c r="F67" s="14">
        <f t="shared" si="0"/>
        <v>34.43333333333333</v>
      </c>
    </row>
    <row r="68" spans="1:9" x14ac:dyDescent="0.2">
      <c r="A68" s="4" t="s">
        <v>139</v>
      </c>
      <c r="B68">
        <f>B65+B13+B6</f>
        <v>31</v>
      </c>
      <c r="C68">
        <f t="shared" ref="C68:D68" si="4">C65+C13+C6</f>
        <v>64</v>
      </c>
      <c r="D68">
        <f t="shared" si="4"/>
        <v>176</v>
      </c>
      <c r="F68" s="14">
        <f>B68+C68/20+D68/240</f>
        <v>34.933333333333337</v>
      </c>
      <c r="I68" s="27">
        <f>F68-F67</f>
        <v>0.50000000000000711</v>
      </c>
    </row>
    <row r="69" spans="1:9" x14ac:dyDescent="0.2">
      <c r="A69" s="4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DCB9-2C4F-464D-A20B-6B8B04D95290}">
  <dimension ref="A1:J3"/>
  <sheetViews>
    <sheetView workbookViewId="0">
      <selection activeCell="A3" sqref="A3"/>
    </sheetView>
  </sheetViews>
  <sheetFormatPr baseColWidth="10" defaultRowHeight="16" x14ac:dyDescent="0.2"/>
  <cols>
    <col min="1" max="1" width="21" bestFit="1" customWidth="1"/>
  </cols>
  <sheetData>
    <row r="1" spans="1:10" x14ac:dyDescent="0.2">
      <c r="A1" s="4" t="s">
        <v>88</v>
      </c>
      <c r="F1" s="14"/>
      <c r="H1" s="15"/>
    </row>
    <row r="2" spans="1:10" x14ac:dyDescent="0.2">
      <c r="B2" s="16" t="s">
        <v>79</v>
      </c>
      <c r="C2" s="17" t="s">
        <v>80</v>
      </c>
      <c r="D2" s="17" t="s">
        <v>81</v>
      </c>
      <c r="E2" s="4"/>
      <c r="F2" s="20" t="s">
        <v>82</v>
      </c>
      <c r="H2" s="19" t="s">
        <v>83</v>
      </c>
      <c r="I2" s="17" t="s">
        <v>84</v>
      </c>
      <c r="J2" s="21"/>
    </row>
    <row r="3" spans="1:10" x14ac:dyDescent="0.2">
      <c r="A3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BF4B-ACE5-3F47-9A4E-51E41F1BDC82}">
  <dimension ref="A1:A3"/>
  <sheetViews>
    <sheetView tabSelected="1" workbookViewId="0">
      <selection activeCell="A3" sqref="A3"/>
    </sheetView>
  </sheetViews>
  <sheetFormatPr baseColWidth="10" defaultRowHeight="16" x14ac:dyDescent="0.2"/>
  <sheetData>
    <row r="1" spans="1:1" x14ac:dyDescent="0.2">
      <c r="A1" s="4" t="s">
        <v>89</v>
      </c>
    </row>
    <row r="3" spans="1:1" x14ac:dyDescent="0.2">
      <c r="A3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BD82-4F30-9847-81AE-7FFB8AC27D97}">
  <dimension ref="A1:A3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 s="4" t="s">
        <v>90</v>
      </c>
    </row>
    <row r="3" spans="1:1" x14ac:dyDescent="0.2">
      <c r="A3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0ACB-58AF-444F-8448-64667FE8FA08}">
  <dimension ref="A1:N10"/>
  <sheetViews>
    <sheetView workbookViewId="0">
      <selection activeCell="A2" sqref="A2"/>
    </sheetView>
  </sheetViews>
  <sheetFormatPr baseColWidth="10" defaultRowHeight="16" x14ac:dyDescent="0.2"/>
  <cols>
    <col min="1" max="1" width="32.33203125" bestFit="1" customWidth="1"/>
  </cols>
  <sheetData>
    <row r="1" spans="1:14" x14ac:dyDescent="0.2">
      <c r="A1" s="22" t="s">
        <v>148</v>
      </c>
    </row>
    <row r="3" spans="1:14" ht="17" customHeight="1" x14ac:dyDescent="0.2">
      <c r="A3" s="7" t="s">
        <v>141</v>
      </c>
      <c r="B3" s="7"/>
      <c r="C3" s="48"/>
      <c r="D3" s="48"/>
      <c r="E3" s="48"/>
      <c r="F3" s="48"/>
      <c r="G3" s="48"/>
      <c r="H3" s="48"/>
      <c r="I3" s="7"/>
      <c r="J3" s="7"/>
      <c r="K3" s="25"/>
      <c r="L3" s="7"/>
      <c r="M3" s="7"/>
    </row>
    <row r="4" spans="1:14" x14ac:dyDescent="0.2">
      <c r="A4" s="23"/>
      <c r="B4" s="24"/>
      <c r="C4" s="24"/>
      <c r="D4" s="4"/>
      <c r="E4" s="4"/>
      <c r="F4" s="24"/>
      <c r="G4" s="24"/>
      <c r="H4" s="24"/>
      <c r="I4" s="24"/>
      <c r="J4" s="24"/>
      <c r="K4" s="24"/>
      <c r="L4" s="23"/>
      <c r="M4" s="23"/>
      <c r="N4" s="24"/>
    </row>
    <row r="10" spans="1:14" x14ac:dyDescent="0.2">
      <c r="A10" s="4"/>
      <c r="B10" s="17"/>
      <c r="C10" s="17"/>
      <c r="D10" s="4"/>
      <c r="E10" s="4"/>
      <c r="I10" s="23"/>
      <c r="K10" s="4"/>
    </row>
  </sheetData>
  <mergeCells count="2"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Receipts</vt:lpstr>
      <vt:lpstr>Expenses</vt:lpstr>
      <vt:lpstr>Issues of the Grange</vt:lpstr>
      <vt:lpstr>Issues of the Mill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Gierok</dc:creator>
  <cp:lastModifiedBy>Victoria Gierok</cp:lastModifiedBy>
  <dcterms:created xsi:type="dcterms:W3CDTF">2022-08-14T16:18:54Z</dcterms:created>
  <dcterms:modified xsi:type="dcterms:W3CDTF">2025-08-29T15:09:01Z</dcterms:modified>
</cp:coreProperties>
</file>